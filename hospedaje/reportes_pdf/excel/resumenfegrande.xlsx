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ESCRITORIO\FE GRANDE\RESUMEN\JULIO\"/>
    </mc:Choice>
  </mc:AlternateContent>
  <xr:revisionPtr revIDLastSave="0" documentId="13_ncr:1_{5402B540-9081-49CB-B64D-B2DE84DE79C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1" sheetId="2" r:id="rId1"/>
    <sheet name="H3" sheetId="3" r:id="rId2"/>
    <sheet name="ACONCAGUA" sheetId="1" r:id="rId3"/>
    <sheet name="LT" sheetId="4" r:id="rId4"/>
    <sheet name="H2" sheetId="6" r:id="rId5"/>
  </sheets>
  <definedNames>
    <definedName name="_xlnm._FilterDatabase" localSheetId="2" hidden="1">ACONCAGUA!$AL$9:$AN$9</definedName>
    <definedName name="_xlnm._FilterDatabase" localSheetId="0" hidden="1">'H1'!$B$9:$F$153</definedName>
    <definedName name="_xlnm._FilterDatabase" localSheetId="4" hidden="1">'H2'!$I$9:$K$9</definedName>
    <definedName name="_xlnm._FilterDatabase" localSheetId="1" hidden="1">'H3'!$AL$9:$AN$9</definedName>
    <definedName name="_xlnm._FilterDatabase" localSheetId="3" hidden="1">LT!$AK$9:$AM$9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79" i="2" l="1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AG765" i="2"/>
  <c r="AH765" i="2"/>
  <c r="AI765" i="2"/>
  <c r="AJ765" i="2"/>
  <c r="AK765" i="2"/>
  <c r="G765" i="2"/>
  <c r="AL762" i="2"/>
  <c r="AN762" i="2" s="1"/>
  <c r="AL761" i="2"/>
  <c r="AN761" i="2" s="1"/>
  <c r="AL726" i="2"/>
  <c r="AN726" i="2" s="1"/>
  <c r="AL727" i="2"/>
  <c r="AN727" i="2" s="1"/>
  <c r="AL728" i="2"/>
  <c r="AN728" i="2" s="1"/>
  <c r="AL729" i="2"/>
  <c r="AN729" i="2"/>
  <c r="AL730" i="2"/>
  <c r="AN730" i="2" s="1"/>
  <c r="AL731" i="2"/>
  <c r="AN731" i="2"/>
  <c r="AL732" i="2"/>
  <c r="AN732" i="2" s="1"/>
  <c r="AL174" i="3"/>
  <c r="AN174" i="3" s="1"/>
  <c r="AL175" i="3"/>
  <c r="AN175" i="3" s="1"/>
  <c r="AL176" i="3"/>
  <c r="AN176" i="3" s="1"/>
  <c r="AL177" i="3"/>
  <c r="AN177" i="3" s="1"/>
  <c r="AL178" i="3"/>
  <c r="AN178" i="3"/>
  <c r="AL179" i="3"/>
  <c r="AN179" i="3" s="1"/>
  <c r="AL180" i="3"/>
  <c r="AN180" i="3" s="1"/>
  <c r="AL181" i="3"/>
  <c r="AN181" i="3" s="1"/>
  <c r="AL182" i="3"/>
  <c r="AN182" i="3" s="1"/>
  <c r="AL183" i="3"/>
  <c r="AN183" i="3" s="1"/>
  <c r="AL184" i="3"/>
  <c r="AN184" i="3" s="1"/>
  <c r="AL185" i="3"/>
  <c r="AN185" i="3" s="1"/>
  <c r="AL186" i="3"/>
  <c r="AN186" i="3"/>
  <c r="AL187" i="3"/>
  <c r="AN187" i="3" s="1"/>
  <c r="AL188" i="3"/>
  <c r="AN188" i="3" s="1"/>
  <c r="AL189" i="3"/>
  <c r="AN189" i="3" s="1"/>
  <c r="AL190" i="3"/>
  <c r="AN190" i="3" s="1"/>
  <c r="I57" i="6"/>
  <c r="K57" i="6" s="1"/>
  <c r="I58" i="6"/>
  <c r="K58" i="6"/>
  <c r="I59" i="6"/>
  <c r="K59" i="6" s="1"/>
  <c r="AL114" i="1"/>
  <c r="AN114" i="1" s="1"/>
  <c r="AL115" i="1"/>
  <c r="AN115" i="1" s="1"/>
  <c r="AL100" i="1"/>
  <c r="AN100" i="1" s="1"/>
  <c r="AN787" i="2"/>
  <c r="AN786" i="2"/>
  <c r="AN781" i="2"/>
  <c r="I13" i="6"/>
  <c r="K13" i="6" s="1"/>
  <c r="I14" i="6"/>
  <c r="K14" i="6" s="1"/>
  <c r="I15" i="6"/>
  <c r="K15" i="6" s="1"/>
  <c r="I16" i="6"/>
  <c r="K16" i="6" s="1"/>
  <c r="I17" i="6"/>
  <c r="K17" i="6" s="1"/>
  <c r="I18" i="6"/>
  <c r="K18" i="6" s="1"/>
  <c r="I19" i="6"/>
  <c r="K19" i="6" s="1"/>
  <c r="I20" i="6"/>
  <c r="K20" i="6" s="1"/>
  <c r="I21" i="6"/>
  <c r="K21" i="6" s="1"/>
  <c r="I22" i="6"/>
  <c r="K22" i="6" s="1"/>
  <c r="I23" i="6"/>
  <c r="K23" i="6" s="1"/>
  <c r="I24" i="6"/>
  <c r="K24" i="6" s="1"/>
  <c r="I25" i="6"/>
  <c r="K25" i="6" s="1"/>
  <c r="I26" i="6"/>
  <c r="K26" i="6" s="1"/>
  <c r="I27" i="6"/>
  <c r="K27" i="6" s="1"/>
  <c r="I28" i="6"/>
  <c r="K28" i="6" s="1"/>
  <c r="I29" i="6"/>
  <c r="K29" i="6" s="1"/>
  <c r="I30" i="6"/>
  <c r="K30" i="6" s="1"/>
  <c r="I31" i="6"/>
  <c r="K31" i="6" s="1"/>
  <c r="I32" i="6"/>
  <c r="K32" i="6" s="1"/>
  <c r="I33" i="6"/>
  <c r="K33" i="6" s="1"/>
  <c r="I34" i="6"/>
  <c r="K34" i="6" s="1"/>
  <c r="I35" i="6"/>
  <c r="K35" i="6" s="1"/>
  <c r="I36" i="6"/>
  <c r="K36" i="6" s="1"/>
  <c r="I37" i="6"/>
  <c r="K37" i="6" s="1"/>
  <c r="I38" i="6"/>
  <c r="K38" i="6" s="1"/>
  <c r="I39" i="6"/>
  <c r="K39" i="6" s="1"/>
  <c r="I40" i="6"/>
  <c r="K40" i="6" s="1"/>
  <c r="I41" i="6"/>
  <c r="K41" i="6" s="1"/>
  <c r="I42" i="6"/>
  <c r="K42" i="6" s="1"/>
  <c r="I43" i="6"/>
  <c r="K43" i="6" s="1"/>
  <c r="I44" i="6"/>
  <c r="K44" i="6" s="1"/>
  <c r="I45" i="6"/>
  <c r="K45" i="6" s="1"/>
  <c r="I46" i="6"/>
  <c r="K46" i="6" s="1"/>
  <c r="I47" i="6"/>
  <c r="K47" i="6" s="1"/>
  <c r="I48" i="6"/>
  <c r="K48" i="6" s="1"/>
  <c r="I49" i="6"/>
  <c r="K49" i="6" s="1"/>
  <c r="I50" i="6"/>
  <c r="K50" i="6" s="1"/>
  <c r="I69" i="6"/>
  <c r="K69" i="6" s="1"/>
  <c r="K72" i="6" s="1"/>
  <c r="H61" i="6"/>
  <c r="G61" i="6"/>
  <c r="I56" i="6"/>
  <c r="K56" i="6" s="1"/>
  <c r="I55" i="6"/>
  <c r="K55" i="6" s="1"/>
  <c r="I54" i="6"/>
  <c r="K54" i="6" s="1"/>
  <c r="I53" i="6"/>
  <c r="K53" i="6" s="1"/>
  <c r="I52" i="6"/>
  <c r="K52" i="6" s="1"/>
  <c r="I51" i="6"/>
  <c r="K51" i="6" s="1"/>
  <c r="I12" i="6"/>
  <c r="K12" i="6" s="1"/>
  <c r="I11" i="6"/>
  <c r="K11" i="6" s="1"/>
  <c r="I10" i="6"/>
  <c r="K10" i="6" s="1"/>
  <c r="AL166" i="3"/>
  <c r="AN166" i="3" s="1"/>
  <c r="AL167" i="3"/>
  <c r="AN167" i="3" s="1"/>
  <c r="AL168" i="3"/>
  <c r="AN168" i="3" s="1"/>
  <c r="AL169" i="3"/>
  <c r="AN169" i="3" s="1"/>
  <c r="AL170" i="3"/>
  <c r="AN170" i="3" s="1"/>
  <c r="AL171" i="3"/>
  <c r="AN171" i="3" s="1"/>
  <c r="AL172" i="3"/>
  <c r="AN172" i="3" s="1"/>
  <c r="AL173" i="3"/>
  <c r="AN173" i="3" s="1"/>
  <c r="AL117" i="3"/>
  <c r="AN117" i="3" s="1"/>
  <c r="AL162" i="3"/>
  <c r="AN162" i="3" s="1"/>
  <c r="AL163" i="3"/>
  <c r="AN163" i="3" s="1"/>
  <c r="AL150" i="3"/>
  <c r="AN150" i="3" s="1"/>
  <c r="AL151" i="3"/>
  <c r="AN151" i="3" s="1"/>
  <c r="AL756" i="2"/>
  <c r="AN756" i="2" s="1"/>
  <c r="AL733" i="2"/>
  <c r="AN733" i="2" s="1"/>
  <c r="AL734" i="2"/>
  <c r="AN734" i="2" s="1"/>
  <c r="AL735" i="2"/>
  <c r="AN735" i="2" s="1"/>
  <c r="AL736" i="2"/>
  <c r="AN736" i="2" s="1"/>
  <c r="AL737" i="2"/>
  <c r="AN737" i="2" s="1"/>
  <c r="AL738" i="2"/>
  <c r="AN738" i="2" s="1"/>
  <c r="AL739" i="2"/>
  <c r="AN739" i="2" s="1"/>
  <c r="AL740" i="2"/>
  <c r="AN740" i="2" s="1"/>
  <c r="AL741" i="2"/>
  <c r="AN741" i="2" s="1"/>
  <c r="AL742" i="2"/>
  <c r="AN742" i="2" s="1"/>
  <c r="AL743" i="2"/>
  <c r="AN743" i="2" s="1"/>
  <c r="AL744" i="2"/>
  <c r="AN744" i="2" s="1"/>
  <c r="AL745" i="2"/>
  <c r="AN745" i="2" s="1"/>
  <c r="AL746" i="2"/>
  <c r="AN746" i="2" s="1"/>
  <c r="AL747" i="2"/>
  <c r="AN747" i="2" s="1"/>
  <c r="AL748" i="2"/>
  <c r="AN748" i="2" s="1"/>
  <c r="AL749" i="2"/>
  <c r="AN749" i="2" s="1"/>
  <c r="AL750" i="2"/>
  <c r="AN750" i="2" s="1"/>
  <c r="AL751" i="2"/>
  <c r="AN751" i="2" s="1"/>
  <c r="AL752" i="2"/>
  <c r="AN752" i="2" s="1"/>
  <c r="AL753" i="2"/>
  <c r="AN753" i="2" s="1"/>
  <c r="AL754" i="2"/>
  <c r="AN754" i="2" s="1"/>
  <c r="AL755" i="2"/>
  <c r="AN755" i="2" s="1"/>
  <c r="AL576" i="2"/>
  <c r="AN576" i="2" s="1"/>
  <c r="AL577" i="2"/>
  <c r="AN577" i="2" s="1"/>
  <c r="AL578" i="2"/>
  <c r="AN578" i="2" s="1"/>
  <c r="AL579" i="2"/>
  <c r="AN579" i="2" s="1"/>
  <c r="AL580" i="2"/>
  <c r="AN580" i="2" s="1"/>
  <c r="AL581" i="2"/>
  <c r="AN581" i="2" s="1"/>
  <c r="AL582" i="2"/>
  <c r="AN582" i="2" s="1"/>
  <c r="AL583" i="2"/>
  <c r="AN583" i="2" s="1"/>
  <c r="AL584" i="2"/>
  <c r="AN584" i="2" s="1"/>
  <c r="AL585" i="2"/>
  <c r="AN585" i="2" s="1"/>
  <c r="AL586" i="2"/>
  <c r="AN586" i="2" s="1"/>
  <c r="AL587" i="2"/>
  <c r="AN587" i="2" s="1"/>
  <c r="AL588" i="2"/>
  <c r="AN588" i="2" s="1"/>
  <c r="AL589" i="2"/>
  <c r="AN589" i="2" s="1"/>
  <c r="AL590" i="2"/>
  <c r="AN590" i="2" s="1"/>
  <c r="AL591" i="2"/>
  <c r="AN591" i="2" s="1"/>
  <c r="AL592" i="2"/>
  <c r="AN592" i="2" s="1"/>
  <c r="AL593" i="2"/>
  <c r="AN593" i="2" s="1"/>
  <c r="AL594" i="2"/>
  <c r="AN594" i="2" s="1"/>
  <c r="AL595" i="2"/>
  <c r="AN595" i="2" s="1"/>
  <c r="AL596" i="2"/>
  <c r="AN596" i="2" s="1"/>
  <c r="AL597" i="2"/>
  <c r="AN597" i="2" s="1"/>
  <c r="AL598" i="2"/>
  <c r="AN598" i="2" s="1"/>
  <c r="AL599" i="2"/>
  <c r="AN599" i="2" s="1"/>
  <c r="AL600" i="2"/>
  <c r="AN600" i="2" s="1"/>
  <c r="AL601" i="2"/>
  <c r="AN601" i="2" s="1"/>
  <c r="AL602" i="2"/>
  <c r="AN602" i="2" s="1"/>
  <c r="AL603" i="2"/>
  <c r="AN603" i="2" s="1"/>
  <c r="AL604" i="2"/>
  <c r="AN604" i="2" s="1"/>
  <c r="AL605" i="2"/>
  <c r="AN605" i="2" s="1"/>
  <c r="AL606" i="2"/>
  <c r="AN606" i="2" s="1"/>
  <c r="AL607" i="2"/>
  <c r="AN607" i="2" s="1"/>
  <c r="AL608" i="2"/>
  <c r="AN608" i="2" s="1"/>
  <c r="AL609" i="2"/>
  <c r="AN609" i="2" s="1"/>
  <c r="AL610" i="2"/>
  <c r="AN610" i="2" s="1"/>
  <c r="AL611" i="2"/>
  <c r="AN611" i="2" s="1"/>
  <c r="AL612" i="2"/>
  <c r="AN612" i="2" s="1"/>
  <c r="AL613" i="2"/>
  <c r="AN613" i="2" s="1"/>
  <c r="AL614" i="2"/>
  <c r="AN614" i="2" s="1"/>
  <c r="AL615" i="2"/>
  <c r="AN615" i="2" s="1"/>
  <c r="AL616" i="2"/>
  <c r="AN616" i="2" s="1"/>
  <c r="AL617" i="2"/>
  <c r="AN617" i="2" s="1"/>
  <c r="AL618" i="2"/>
  <c r="AN618" i="2" s="1"/>
  <c r="AL619" i="2"/>
  <c r="AN619" i="2" s="1"/>
  <c r="AL620" i="2"/>
  <c r="AN620" i="2" s="1"/>
  <c r="AL621" i="2"/>
  <c r="AN621" i="2" s="1"/>
  <c r="AL622" i="2"/>
  <c r="AN622" i="2" s="1"/>
  <c r="AL623" i="2"/>
  <c r="AN623" i="2" s="1"/>
  <c r="AL624" i="2"/>
  <c r="AN624" i="2" s="1"/>
  <c r="AL625" i="2"/>
  <c r="AN625" i="2" s="1"/>
  <c r="AL626" i="2"/>
  <c r="AN626" i="2" s="1"/>
  <c r="AL627" i="2"/>
  <c r="AN627" i="2" s="1"/>
  <c r="AL628" i="2"/>
  <c r="AN628" i="2" s="1"/>
  <c r="AL629" i="2"/>
  <c r="AN629" i="2" s="1"/>
  <c r="AL630" i="2"/>
  <c r="AN630" i="2" s="1"/>
  <c r="AL631" i="2"/>
  <c r="AN631" i="2" s="1"/>
  <c r="AL632" i="2"/>
  <c r="AN632" i="2" s="1"/>
  <c r="AL633" i="2"/>
  <c r="AN633" i="2" s="1"/>
  <c r="AL634" i="2"/>
  <c r="AN634" i="2" s="1"/>
  <c r="AL635" i="2"/>
  <c r="AN635" i="2" s="1"/>
  <c r="AL636" i="2"/>
  <c r="AN636" i="2" s="1"/>
  <c r="AL637" i="2"/>
  <c r="AN637" i="2" s="1"/>
  <c r="AL638" i="2"/>
  <c r="AN638" i="2" s="1"/>
  <c r="AL639" i="2"/>
  <c r="AN639" i="2" s="1"/>
  <c r="AL640" i="2"/>
  <c r="AN640" i="2" s="1"/>
  <c r="AL641" i="2"/>
  <c r="AN641" i="2" s="1"/>
  <c r="AL642" i="2"/>
  <c r="AN642" i="2" s="1"/>
  <c r="AL643" i="2"/>
  <c r="AN643" i="2" s="1"/>
  <c r="AL644" i="2"/>
  <c r="AN644" i="2" s="1"/>
  <c r="AL645" i="2"/>
  <c r="AN645" i="2" s="1"/>
  <c r="AL646" i="2"/>
  <c r="AN646" i="2" s="1"/>
  <c r="AL647" i="2"/>
  <c r="AN647" i="2" s="1"/>
  <c r="AL648" i="2"/>
  <c r="AN648" i="2" s="1"/>
  <c r="AL649" i="2"/>
  <c r="AN649" i="2" s="1"/>
  <c r="AL650" i="2"/>
  <c r="AN650" i="2" s="1"/>
  <c r="AL651" i="2"/>
  <c r="AN651" i="2" s="1"/>
  <c r="AL652" i="2"/>
  <c r="AN652" i="2" s="1"/>
  <c r="AL653" i="2"/>
  <c r="AN653" i="2" s="1"/>
  <c r="AL654" i="2"/>
  <c r="AN654" i="2" s="1"/>
  <c r="AL655" i="2"/>
  <c r="AN655" i="2" s="1"/>
  <c r="AL656" i="2"/>
  <c r="AN656" i="2" s="1"/>
  <c r="AL657" i="2"/>
  <c r="AN657" i="2" s="1"/>
  <c r="AL658" i="2"/>
  <c r="AN658" i="2" s="1"/>
  <c r="AL659" i="2"/>
  <c r="AN659" i="2" s="1"/>
  <c r="AL660" i="2"/>
  <c r="AN660" i="2" s="1"/>
  <c r="AL661" i="2"/>
  <c r="AN661" i="2" s="1"/>
  <c r="AL662" i="2"/>
  <c r="AN662" i="2" s="1"/>
  <c r="AL663" i="2"/>
  <c r="AN663" i="2" s="1"/>
  <c r="AL664" i="2"/>
  <c r="AN664" i="2" s="1"/>
  <c r="AL665" i="2"/>
  <c r="AN665" i="2" s="1"/>
  <c r="AL666" i="2"/>
  <c r="AN666" i="2" s="1"/>
  <c r="AL667" i="2"/>
  <c r="AN667" i="2" s="1"/>
  <c r="AL668" i="2"/>
  <c r="AN668" i="2" s="1"/>
  <c r="AL669" i="2"/>
  <c r="AN669" i="2" s="1"/>
  <c r="AL670" i="2"/>
  <c r="AN670" i="2" s="1"/>
  <c r="AL671" i="2"/>
  <c r="AN671" i="2" s="1"/>
  <c r="AL672" i="2"/>
  <c r="AN672" i="2" s="1"/>
  <c r="AL673" i="2"/>
  <c r="AN673" i="2" s="1"/>
  <c r="AL674" i="2"/>
  <c r="AN674" i="2" s="1"/>
  <c r="AL675" i="2"/>
  <c r="AN675" i="2" s="1"/>
  <c r="AL676" i="2"/>
  <c r="AN676" i="2" s="1"/>
  <c r="AL677" i="2"/>
  <c r="AN677" i="2" s="1"/>
  <c r="AL678" i="2"/>
  <c r="AN678" i="2" s="1"/>
  <c r="AL679" i="2"/>
  <c r="AN679" i="2" s="1"/>
  <c r="AL680" i="2"/>
  <c r="AN680" i="2" s="1"/>
  <c r="AL681" i="2"/>
  <c r="AN681" i="2" s="1"/>
  <c r="AL682" i="2"/>
  <c r="AN682" i="2" s="1"/>
  <c r="AL683" i="2"/>
  <c r="AN683" i="2" s="1"/>
  <c r="AL684" i="2"/>
  <c r="AN684" i="2" s="1"/>
  <c r="AL685" i="2"/>
  <c r="AN685" i="2" s="1"/>
  <c r="AL686" i="2"/>
  <c r="AN686" i="2" s="1"/>
  <c r="AL687" i="2"/>
  <c r="AN687" i="2" s="1"/>
  <c r="AL688" i="2"/>
  <c r="AN688" i="2" s="1"/>
  <c r="AL689" i="2"/>
  <c r="AN689" i="2" s="1"/>
  <c r="AL690" i="2"/>
  <c r="AN690" i="2" s="1"/>
  <c r="AL691" i="2"/>
  <c r="AN691" i="2" s="1"/>
  <c r="AL692" i="2"/>
  <c r="AN692" i="2" s="1"/>
  <c r="AL693" i="2"/>
  <c r="AN693" i="2" s="1"/>
  <c r="AL694" i="2"/>
  <c r="AN694" i="2" s="1"/>
  <c r="AL695" i="2"/>
  <c r="AN695" i="2" s="1"/>
  <c r="AL696" i="2"/>
  <c r="AN696" i="2" s="1"/>
  <c r="AL697" i="2"/>
  <c r="AN697" i="2" s="1"/>
  <c r="AL698" i="2"/>
  <c r="AN698" i="2" s="1"/>
  <c r="AL699" i="2"/>
  <c r="AN699" i="2" s="1"/>
  <c r="AL700" i="2"/>
  <c r="AN700" i="2" s="1"/>
  <c r="AL701" i="2"/>
  <c r="AN701" i="2" s="1"/>
  <c r="AL702" i="2"/>
  <c r="AN702" i="2" s="1"/>
  <c r="AL703" i="2"/>
  <c r="AN703" i="2" s="1"/>
  <c r="AL704" i="2"/>
  <c r="AN704" i="2" s="1"/>
  <c r="AL705" i="2"/>
  <c r="AN705" i="2" s="1"/>
  <c r="AL706" i="2"/>
  <c r="AN706" i="2" s="1"/>
  <c r="AL707" i="2"/>
  <c r="AN707" i="2" s="1"/>
  <c r="AL708" i="2"/>
  <c r="AN708" i="2" s="1"/>
  <c r="AL709" i="2"/>
  <c r="AN709" i="2" s="1"/>
  <c r="AL710" i="2"/>
  <c r="AN710" i="2" s="1"/>
  <c r="AL711" i="2"/>
  <c r="AN711" i="2" s="1"/>
  <c r="AL712" i="2"/>
  <c r="AN712" i="2" s="1"/>
  <c r="AL713" i="2"/>
  <c r="AN713" i="2" s="1"/>
  <c r="AL714" i="2"/>
  <c r="AN714" i="2" s="1"/>
  <c r="AL715" i="2"/>
  <c r="AN715" i="2" s="1"/>
  <c r="AL716" i="2"/>
  <c r="AN716" i="2" s="1"/>
  <c r="AL717" i="2"/>
  <c r="AN717" i="2" s="1"/>
  <c r="AL718" i="2"/>
  <c r="AN718" i="2" s="1"/>
  <c r="AL719" i="2"/>
  <c r="AN719" i="2" s="1"/>
  <c r="AL720" i="2"/>
  <c r="AN720" i="2" s="1"/>
  <c r="AL721" i="2"/>
  <c r="AN721" i="2" s="1"/>
  <c r="AL722" i="2"/>
  <c r="AN722" i="2" s="1"/>
  <c r="AL723" i="2"/>
  <c r="AN723" i="2" s="1"/>
  <c r="AL724" i="2"/>
  <c r="AN724" i="2" s="1"/>
  <c r="AL725" i="2"/>
  <c r="AN725" i="2" s="1"/>
  <c r="AL757" i="2"/>
  <c r="AN757" i="2" s="1"/>
  <c r="AL758" i="2"/>
  <c r="AN758" i="2" s="1"/>
  <c r="AL759" i="2"/>
  <c r="AN759" i="2" s="1"/>
  <c r="AL760" i="2"/>
  <c r="AN760" i="2" s="1"/>
  <c r="AL763" i="2"/>
  <c r="AN763" i="2" s="1"/>
  <c r="AL559" i="2"/>
  <c r="AN559" i="2" s="1"/>
  <c r="AL560" i="2"/>
  <c r="AN560" i="2" s="1"/>
  <c r="AL561" i="2"/>
  <c r="AN561" i="2" s="1"/>
  <c r="AL562" i="2"/>
  <c r="AN562" i="2" s="1"/>
  <c r="AL563" i="2"/>
  <c r="AN563" i="2" s="1"/>
  <c r="AL564" i="2"/>
  <c r="AN564" i="2" s="1"/>
  <c r="AL565" i="2"/>
  <c r="AN565" i="2" s="1"/>
  <c r="AL566" i="2"/>
  <c r="AN566" i="2" s="1"/>
  <c r="AL567" i="2"/>
  <c r="AN567" i="2" s="1"/>
  <c r="AL568" i="2"/>
  <c r="AN568" i="2" s="1"/>
  <c r="AL569" i="2"/>
  <c r="AN569" i="2" s="1"/>
  <c r="AL570" i="2"/>
  <c r="AN570" i="2" s="1"/>
  <c r="AL571" i="2"/>
  <c r="AN571" i="2" s="1"/>
  <c r="AL572" i="2"/>
  <c r="AN572" i="2" s="1"/>
  <c r="AL573" i="2"/>
  <c r="AN573" i="2" s="1"/>
  <c r="AL574" i="2"/>
  <c r="AN574" i="2" s="1"/>
  <c r="AL575" i="2"/>
  <c r="AN575" i="2" s="1"/>
  <c r="AL556" i="2"/>
  <c r="AN556" i="2" s="1"/>
  <c r="AL557" i="2"/>
  <c r="AN557" i="2" s="1"/>
  <c r="AL558" i="2"/>
  <c r="AN558" i="2" s="1"/>
  <c r="AL550" i="2"/>
  <c r="AN550" i="2" s="1"/>
  <c r="AL551" i="2"/>
  <c r="AN551" i="2" s="1"/>
  <c r="AL552" i="2"/>
  <c r="AN552" i="2" s="1"/>
  <c r="AL553" i="2"/>
  <c r="AN553" i="2" s="1"/>
  <c r="AL554" i="2"/>
  <c r="AN554" i="2" s="1"/>
  <c r="AL555" i="2"/>
  <c r="AN555" i="2" s="1"/>
  <c r="AL93" i="1"/>
  <c r="AN93" i="1" s="1"/>
  <c r="AL94" i="1"/>
  <c r="AN94" i="1" s="1"/>
  <c r="AL95" i="1"/>
  <c r="AN95" i="1" s="1"/>
  <c r="AL96" i="1"/>
  <c r="AN96" i="1" s="1"/>
  <c r="AL97" i="1"/>
  <c r="AN97" i="1" s="1"/>
  <c r="AL98" i="1"/>
  <c r="AN98" i="1" s="1"/>
  <c r="AL99" i="1"/>
  <c r="AN99" i="1" s="1"/>
  <c r="AL101" i="1"/>
  <c r="AN101" i="1" s="1"/>
  <c r="AL102" i="1"/>
  <c r="AN102" i="1" s="1"/>
  <c r="AL103" i="1"/>
  <c r="AN103" i="1" s="1"/>
  <c r="AL104" i="1"/>
  <c r="AN104" i="1"/>
  <c r="AL105" i="1"/>
  <c r="AN105" i="1" s="1"/>
  <c r="AL106" i="1"/>
  <c r="AN106" i="1" s="1"/>
  <c r="AL107" i="1"/>
  <c r="AN107" i="1" s="1"/>
  <c r="AL108" i="1"/>
  <c r="AN108" i="1" s="1"/>
  <c r="AL109" i="1"/>
  <c r="AN109" i="1" s="1"/>
  <c r="AL110" i="1"/>
  <c r="AN110" i="1" s="1"/>
  <c r="AL111" i="1"/>
  <c r="AN111" i="1" s="1"/>
  <c r="AL112" i="1"/>
  <c r="AN112" i="1" s="1"/>
  <c r="AL113" i="1"/>
  <c r="AN113" i="1" s="1"/>
  <c r="K63" i="6" l="1"/>
  <c r="K71" i="6" s="1"/>
  <c r="AN782" i="2" s="1"/>
  <c r="I61" i="6"/>
  <c r="AL535" i="2"/>
  <c r="AN535" i="2" s="1"/>
  <c r="AL536" i="2"/>
  <c r="AN536" i="2" s="1"/>
  <c r="AL537" i="2"/>
  <c r="AN537" i="2" s="1"/>
  <c r="AL538" i="2"/>
  <c r="AN538" i="2" s="1"/>
  <c r="AL539" i="2"/>
  <c r="AN539" i="2" s="1"/>
  <c r="AL540" i="2"/>
  <c r="AN540" i="2" s="1"/>
  <c r="AL541" i="2"/>
  <c r="AN541" i="2" s="1"/>
  <c r="AL542" i="2"/>
  <c r="AN542" i="2" s="1"/>
  <c r="AL543" i="2"/>
  <c r="AN543" i="2" s="1"/>
  <c r="AL544" i="2"/>
  <c r="AN544" i="2" s="1"/>
  <c r="AL545" i="2"/>
  <c r="AN545" i="2" s="1"/>
  <c r="AL546" i="2"/>
  <c r="AN546" i="2" s="1"/>
  <c r="AL547" i="2"/>
  <c r="AN547" i="2" s="1"/>
  <c r="AL548" i="2"/>
  <c r="AN548" i="2" s="1"/>
  <c r="AL549" i="2"/>
  <c r="AN549" i="2" s="1"/>
  <c r="AL158" i="3"/>
  <c r="AN158" i="3" s="1"/>
  <c r="AL159" i="3"/>
  <c r="AN159" i="3" s="1"/>
  <c r="AL160" i="3"/>
  <c r="AN160" i="3" s="1"/>
  <c r="AL161" i="3"/>
  <c r="AN161" i="3" s="1"/>
  <c r="AL164" i="3"/>
  <c r="AN164" i="3" s="1"/>
  <c r="AL165" i="3"/>
  <c r="AN165" i="3" s="1"/>
  <c r="AL116" i="3"/>
  <c r="AN116" i="3" s="1"/>
  <c r="AL101" i="3"/>
  <c r="AN101" i="3" s="1"/>
  <c r="AL141" i="3"/>
  <c r="AN141" i="3" s="1"/>
  <c r="AL144" i="3"/>
  <c r="AN144" i="3" s="1"/>
  <c r="AL145" i="3"/>
  <c r="AN145" i="3" s="1"/>
  <c r="AL158" i="2"/>
  <c r="AN158" i="2" s="1"/>
  <c r="AL159" i="2"/>
  <c r="AN159" i="2" s="1"/>
  <c r="AL160" i="2"/>
  <c r="AN160" i="2" s="1"/>
  <c r="AL161" i="2"/>
  <c r="AN161" i="2" s="1"/>
  <c r="AL162" i="2"/>
  <c r="AN162" i="2" s="1"/>
  <c r="AL163" i="2"/>
  <c r="AN163" i="2" s="1"/>
  <c r="AL164" i="2"/>
  <c r="AN164" i="2" s="1"/>
  <c r="AL165" i="2"/>
  <c r="AN165" i="2" s="1"/>
  <c r="AL166" i="2"/>
  <c r="AN166" i="2" s="1"/>
  <c r="AL167" i="2"/>
  <c r="AN167" i="2" s="1"/>
  <c r="AL168" i="2"/>
  <c r="AN168" i="2" s="1"/>
  <c r="AL169" i="2"/>
  <c r="AN169" i="2" s="1"/>
  <c r="AL170" i="2"/>
  <c r="AN170" i="2" s="1"/>
  <c r="AL171" i="2"/>
  <c r="AN171" i="2" s="1"/>
  <c r="AL172" i="2"/>
  <c r="AN172" i="2" s="1"/>
  <c r="AL173" i="2"/>
  <c r="AN173" i="2" s="1"/>
  <c r="AL174" i="2"/>
  <c r="AN174" i="2" s="1"/>
  <c r="AL100" i="3"/>
  <c r="AN100" i="3" s="1"/>
  <c r="AL152" i="3"/>
  <c r="AN152" i="3" s="1"/>
  <c r="AL102" i="3"/>
  <c r="AN102" i="3" s="1"/>
  <c r="AL103" i="3"/>
  <c r="AN103" i="3" s="1"/>
  <c r="AL104" i="3"/>
  <c r="AN104" i="3" s="1"/>
  <c r="AL105" i="3"/>
  <c r="AN105" i="3" s="1"/>
  <c r="AL106" i="3"/>
  <c r="AN106" i="3" s="1"/>
  <c r="AL107" i="3"/>
  <c r="AN107" i="3" s="1"/>
  <c r="AL108" i="3"/>
  <c r="AN108" i="3" s="1"/>
  <c r="AL109" i="3"/>
  <c r="AN109" i="3" s="1"/>
  <c r="AL110" i="3"/>
  <c r="AN110" i="3" s="1"/>
  <c r="AL111" i="3"/>
  <c r="AN111" i="3" s="1"/>
  <c r="AL113" i="3"/>
  <c r="AN113" i="3" s="1"/>
  <c r="AL114" i="3"/>
  <c r="AN114" i="3" s="1"/>
  <c r="AL154" i="3"/>
  <c r="AN154" i="3" s="1"/>
  <c r="AL155" i="3"/>
  <c r="AN155" i="3" s="1"/>
  <c r="AL153" i="3"/>
  <c r="AN153" i="3" s="1"/>
  <c r="AL191" i="3"/>
  <c r="AN191" i="3" s="1"/>
  <c r="AL192" i="3"/>
  <c r="AN192" i="3" s="1"/>
  <c r="AL193" i="3"/>
  <c r="AN193" i="3" s="1"/>
  <c r="AL194" i="3"/>
  <c r="AN194" i="3" s="1"/>
  <c r="AL195" i="3"/>
  <c r="AN195" i="3" s="1"/>
  <c r="AL196" i="3"/>
  <c r="AN196" i="3" s="1"/>
  <c r="AL197" i="3"/>
  <c r="AN197" i="3" s="1"/>
  <c r="AL198" i="3"/>
  <c r="AN198" i="3" s="1"/>
  <c r="AL199" i="3"/>
  <c r="AN199" i="3" s="1"/>
  <c r="AL200" i="3"/>
  <c r="AN200" i="3" s="1"/>
  <c r="AL201" i="3"/>
  <c r="AN201" i="3" s="1"/>
  <c r="AL202" i="3"/>
  <c r="AN202" i="3" s="1"/>
  <c r="AL203" i="3"/>
  <c r="AN203" i="3" s="1"/>
  <c r="AL204" i="3"/>
  <c r="AN204" i="3" s="1"/>
  <c r="AL205" i="3"/>
  <c r="AN205" i="3" s="1"/>
  <c r="AL206" i="3"/>
  <c r="AN206" i="3" s="1"/>
  <c r="AL207" i="3"/>
  <c r="AN207" i="3" s="1"/>
  <c r="AL208" i="3"/>
  <c r="AN208" i="3" s="1"/>
  <c r="AL209" i="3"/>
  <c r="AN209" i="3" s="1"/>
  <c r="AL88" i="1"/>
  <c r="AN88" i="1" s="1"/>
  <c r="AL89" i="1"/>
  <c r="AN89" i="1" s="1"/>
  <c r="AL72" i="1"/>
  <c r="AN72" i="1" s="1"/>
  <c r="AL73" i="1"/>
  <c r="AN73" i="1" s="1"/>
  <c r="AL74" i="1"/>
  <c r="AN74" i="1" s="1"/>
  <c r="AL75" i="1"/>
  <c r="AN75" i="1" s="1"/>
  <c r="AL76" i="1"/>
  <c r="AN76" i="1" s="1"/>
  <c r="AL77" i="1"/>
  <c r="AN77" i="1" s="1"/>
  <c r="AL78" i="1"/>
  <c r="AN78" i="1" s="1"/>
  <c r="AL79" i="1"/>
  <c r="AN79" i="1" s="1"/>
  <c r="AL80" i="1"/>
  <c r="AN80" i="1" s="1"/>
  <c r="AL81" i="1"/>
  <c r="AN81" i="1" s="1"/>
  <c r="AL82" i="1"/>
  <c r="AN82" i="1" s="1"/>
  <c r="AL83" i="1"/>
  <c r="AN83" i="1" s="1"/>
  <c r="AL84" i="1"/>
  <c r="AN84" i="1" s="1"/>
  <c r="AL85" i="1"/>
  <c r="AN85" i="1" s="1"/>
  <c r="AL86" i="1"/>
  <c r="AN86" i="1" s="1"/>
  <c r="AL87" i="1"/>
  <c r="AN87" i="1" s="1"/>
  <c r="AL90" i="1"/>
  <c r="AN90" i="1" s="1"/>
  <c r="AL91" i="1"/>
  <c r="AN91" i="1" s="1"/>
  <c r="AL92" i="1"/>
  <c r="AN92" i="1" s="1"/>
  <c r="AL58" i="1"/>
  <c r="AN58" i="1" s="1"/>
  <c r="AL71" i="1"/>
  <c r="AN71" i="1" s="1"/>
  <c r="AL50" i="1"/>
  <c r="AN50" i="1" s="1"/>
  <c r="AL51" i="1"/>
  <c r="AN51" i="1" s="1"/>
  <c r="AL52" i="1"/>
  <c r="AN52" i="1" s="1"/>
  <c r="AL53" i="1"/>
  <c r="AN53" i="1" s="1"/>
  <c r="AL54" i="1"/>
  <c r="AN54" i="1" s="1"/>
  <c r="AL55" i="1"/>
  <c r="AN55" i="1" s="1"/>
  <c r="AL56" i="1"/>
  <c r="AN56" i="1" s="1"/>
  <c r="AL57" i="1"/>
  <c r="AN57" i="1" s="1"/>
  <c r="AL59" i="1"/>
  <c r="AN59" i="1" s="1"/>
  <c r="AL60" i="1"/>
  <c r="AN60" i="1" s="1"/>
  <c r="AL61" i="1"/>
  <c r="AN61" i="1" s="1"/>
  <c r="AL62" i="1"/>
  <c r="AN62" i="1" s="1"/>
  <c r="AL63" i="1"/>
  <c r="AN63" i="1" s="1"/>
  <c r="AL64" i="1"/>
  <c r="AN64" i="1" s="1"/>
  <c r="AL65" i="1"/>
  <c r="AN65" i="1" s="1"/>
  <c r="AL66" i="1"/>
  <c r="AN66" i="1" s="1"/>
  <c r="AL67" i="1"/>
  <c r="AN67" i="1" s="1"/>
  <c r="AL68" i="1"/>
  <c r="AN68" i="1" s="1"/>
  <c r="AL69" i="1"/>
  <c r="AN69" i="1" s="1"/>
  <c r="AL70" i="1"/>
  <c r="AN70" i="1" s="1"/>
  <c r="AL30" i="1"/>
  <c r="AN30" i="1" s="1"/>
  <c r="AL31" i="1"/>
  <c r="AN31" i="1" s="1"/>
  <c r="AL32" i="1"/>
  <c r="AN32" i="1" s="1"/>
  <c r="AL33" i="1"/>
  <c r="AN33" i="1" s="1"/>
  <c r="AL34" i="1"/>
  <c r="AN34" i="1" s="1"/>
  <c r="AL35" i="1"/>
  <c r="AN35" i="1" s="1"/>
  <c r="AL36" i="1"/>
  <c r="AN36" i="1" s="1"/>
  <c r="AL37" i="1"/>
  <c r="AN37" i="1" s="1"/>
  <c r="AL38" i="1"/>
  <c r="AN38" i="1" s="1"/>
  <c r="AL39" i="1"/>
  <c r="AN39" i="1" s="1"/>
  <c r="AL40" i="1"/>
  <c r="AN40" i="1" s="1"/>
  <c r="AL41" i="1"/>
  <c r="AN41" i="1" s="1"/>
  <c r="AL42" i="1"/>
  <c r="AN42" i="1" s="1"/>
  <c r="AL43" i="1"/>
  <c r="AN43" i="1" s="1"/>
  <c r="AL44" i="1"/>
  <c r="AN44" i="1" s="1"/>
  <c r="AL45" i="1"/>
  <c r="AN45" i="1" s="1"/>
  <c r="AL46" i="1"/>
  <c r="AN46" i="1" s="1"/>
  <c r="AL47" i="1"/>
  <c r="AN47" i="1" s="1"/>
  <c r="AL48" i="1"/>
  <c r="AN48" i="1" s="1"/>
  <c r="AL49" i="1"/>
  <c r="AN49" i="1" s="1"/>
  <c r="AJ117" i="1" l="1"/>
  <c r="AJ120" i="1" s="1"/>
  <c r="AJ122" i="1" s="1"/>
  <c r="AK13" i="4"/>
  <c r="AM13" i="4" s="1"/>
  <c r="AK26" i="4"/>
  <c r="AM26" i="4" s="1"/>
  <c r="AK19" i="4"/>
  <c r="AM19" i="4" s="1"/>
  <c r="AK21" i="4"/>
  <c r="AM21" i="4" s="1"/>
  <c r="AK30" i="4"/>
  <c r="AM30" i="4" s="1"/>
  <c r="AK18" i="4"/>
  <c r="AM18" i="4" s="1"/>
  <c r="AK31" i="4"/>
  <c r="AM31" i="4" s="1"/>
  <c r="AK20" i="4"/>
  <c r="AM20" i="4" s="1"/>
  <c r="AK16" i="4"/>
  <c r="AM16" i="4" s="1"/>
  <c r="AK25" i="4"/>
  <c r="AM25" i="4" s="1"/>
  <c r="AK29" i="4"/>
  <c r="AM29" i="4" s="1"/>
  <c r="AK17" i="4"/>
  <c r="AM17" i="4" s="1"/>
  <c r="AK27" i="4"/>
  <c r="AM27" i="4" s="1"/>
  <c r="AK14" i="4"/>
  <c r="AM14" i="4" s="1"/>
  <c r="AK23" i="4"/>
  <c r="AM23" i="4" s="1"/>
  <c r="AK24" i="4"/>
  <c r="AM24" i="4" s="1"/>
  <c r="AK15" i="4"/>
  <c r="AM15" i="4" s="1"/>
  <c r="AK10" i="4"/>
  <c r="AM10" i="4" s="1"/>
  <c r="AK22" i="4"/>
  <c r="AM22" i="4" s="1"/>
  <c r="AK11" i="4"/>
  <c r="AM11" i="4" s="1"/>
  <c r="AK12" i="4"/>
  <c r="AM12" i="4" s="1"/>
  <c r="AL156" i="3"/>
  <c r="AN156" i="3" s="1"/>
  <c r="AL157" i="3"/>
  <c r="AN157" i="3" s="1"/>
  <c r="AL147" i="3"/>
  <c r="AN147" i="3" s="1"/>
  <c r="AL148" i="3"/>
  <c r="AN148" i="3" s="1"/>
  <c r="AL142" i="3"/>
  <c r="AN142" i="3" s="1"/>
  <c r="AL143" i="3"/>
  <c r="AN143" i="3" s="1"/>
  <c r="AL146" i="3"/>
  <c r="AN146" i="3" s="1"/>
  <c r="AL149" i="3"/>
  <c r="AN149" i="3" s="1"/>
  <c r="AL134" i="3"/>
  <c r="AN134" i="3" s="1"/>
  <c r="AL136" i="3"/>
  <c r="AN136" i="3" s="1"/>
  <c r="AL137" i="3"/>
  <c r="AN137" i="3" s="1"/>
  <c r="AL135" i="3"/>
  <c r="AN135" i="3" s="1"/>
  <c r="AL138" i="3"/>
  <c r="AN138" i="3" s="1"/>
  <c r="AL139" i="3"/>
  <c r="AN139" i="3" s="1"/>
  <c r="AL132" i="3"/>
  <c r="AN132" i="3" s="1"/>
  <c r="AL133" i="3"/>
  <c r="AN133" i="3" s="1"/>
  <c r="AL112" i="3"/>
  <c r="AN112" i="3" s="1"/>
  <c r="AL120" i="3"/>
  <c r="AN120" i="3" s="1"/>
  <c r="AL121" i="3"/>
  <c r="AN121" i="3" s="1"/>
  <c r="AL122" i="3"/>
  <c r="AN122" i="3" s="1"/>
  <c r="AL123" i="3"/>
  <c r="AN123" i="3" s="1"/>
  <c r="AL124" i="3"/>
  <c r="AN124" i="3" s="1"/>
  <c r="AL125" i="3"/>
  <c r="AN125" i="3" s="1"/>
  <c r="AL118" i="3"/>
  <c r="AN118" i="3" s="1"/>
  <c r="AL119" i="3"/>
  <c r="AN119" i="3" s="1"/>
  <c r="AL140" i="3"/>
  <c r="AN140" i="3" s="1"/>
  <c r="AL115" i="3"/>
  <c r="AN115" i="3" s="1"/>
  <c r="AL126" i="3"/>
  <c r="AN126" i="3" s="1"/>
  <c r="AL127" i="3"/>
  <c r="AN127" i="3" s="1"/>
  <c r="AL128" i="3"/>
  <c r="AN128" i="3" s="1"/>
  <c r="AL129" i="3"/>
  <c r="AN129" i="3" s="1"/>
  <c r="AL130" i="3"/>
  <c r="AN130" i="3" s="1"/>
  <c r="AL131" i="3"/>
  <c r="AN131" i="3" s="1"/>
  <c r="AL210" i="3"/>
  <c r="AN210" i="3" s="1"/>
  <c r="AL211" i="3"/>
  <c r="AN211" i="3" s="1"/>
  <c r="AL212" i="3"/>
  <c r="AN212" i="3" s="1"/>
  <c r="AL213" i="3"/>
  <c r="AN213" i="3" s="1"/>
  <c r="AL214" i="3"/>
  <c r="AN214" i="3" s="1"/>
  <c r="AL98" i="3"/>
  <c r="AN98" i="3" s="1"/>
  <c r="AL99" i="3"/>
  <c r="AN99" i="3" s="1"/>
  <c r="AJ216" i="3"/>
  <c r="AL91" i="3"/>
  <c r="AL92" i="3"/>
  <c r="AL93" i="3"/>
  <c r="AL524" i="2" l="1"/>
  <c r="AN524" i="2" s="1"/>
  <c r="AL506" i="2"/>
  <c r="AN506" i="2" s="1"/>
  <c r="AL507" i="2"/>
  <c r="AN507" i="2" s="1"/>
  <c r="AL508" i="2"/>
  <c r="AN508" i="2" s="1"/>
  <c r="AL509" i="2"/>
  <c r="AN509" i="2" s="1"/>
  <c r="AL510" i="2"/>
  <c r="AN510" i="2" s="1"/>
  <c r="AL417" i="2"/>
  <c r="AN417" i="2" s="1"/>
  <c r="AL418" i="2"/>
  <c r="AN418" i="2" s="1"/>
  <c r="AL419" i="2"/>
  <c r="AN419" i="2" s="1"/>
  <c r="AL420" i="2"/>
  <c r="AN420" i="2" s="1"/>
  <c r="AL421" i="2"/>
  <c r="AN421" i="2" s="1"/>
  <c r="AL422" i="2"/>
  <c r="AN422" i="2" s="1"/>
  <c r="AL423" i="2"/>
  <c r="AN423" i="2" s="1"/>
  <c r="AL424" i="2"/>
  <c r="AN424" i="2" s="1"/>
  <c r="AL425" i="2"/>
  <c r="AN425" i="2" s="1"/>
  <c r="AL426" i="2"/>
  <c r="AN426" i="2" s="1"/>
  <c r="AL427" i="2"/>
  <c r="AN427" i="2" s="1"/>
  <c r="AL428" i="2"/>
  <c r="AN428" i="2" s="1"/>
  <c r="AL429" i="2"/>
  <c r="AN429" i="2" s="1"/>
  <c r="AL430" i="2"/>
  <c r="AN430" i="2" s="1"/>
  <c r="AL431" i="2"/>
  <c r="AN431" i="2" s="1"/>
  <c r="AL432" i="2"/>
  <c r="AN432" i="2" s="1"/>
  <c r="AL433" i="2"/>
  <c r="AN433" i="2" s="1"/>
  <c r="AL434" i="2"/>
  <c r="AN434" i="2" s="1"/>
  <c r="AL435" i="2"/>
  <c r="AN435" i="2" s="1"/>
  <c r="AL436" i="2"/>
  <c r="AN436" i="2" s="1"/>
  <c r="AL437" i="2"/>
  <c r="AN437" i="2" s="1"/>
  <c r="AL438" i="2"/>
  <c r="AN438" i="2" s="1"/>
  <c r="AL439" i="2"/>
  <c r="AN439" i="2" s="1"/>
  <c r="AL440" i="2"/>
  <c r="AN440" i="2" s="1"/>
  <c r="AL441" i="2"/>
  <c r="AN441" i="2" s="1"/>
  <c r="AL442" i="2"/>
  <c r="AN442" i="2" s="1"/>
  <c r="AL443" i="2"/>
  <c r="AN443" i="2" s="1"/>
  <c r="AL444" i="2"/>
  <c r="AN444" i="2" s="1"/>
  <c r="AL445" i="2"/>
  <c r="AN445" i="2" s="1"/>
  <c r="AL446" i="2"/>
  <c r="AN446" i="2" s="1"/>
  <c r="AL447" i="2"/>
  <c r="AN447" i="2" s="1"/>
  <c r="AL448" i="2"/>
  <c r="AN448" i="2" s="1"/>
  <c r="AL449" i="2"/>
  <c r="AN449" i="2" s="1"/>
  <c r="AL450" i="2"/>
  <c r="AN450" i="2" s="1"/>
  <c r="AL451" i="2"/>
  <c r="AN451" i="2" s="1"/>
  <c r="AL452" i="2"/>
  <c r="AN452" i="2" s="1"/>
  <c r="AL453" i="2"/>
  <c r="AN453" i="2" s="1"/>
  <c r="AL454" i="2"/>
  <c r="AN454" i="2" s="1"/>
  <c r="AL455" i="2"/>
  <c r="AN455" i="2" s="1"/>
  <c r="AL456" i="2"/>
  <c r="AN456" i="2" s="1"/>
  <c r="AL457" i="2"/>
  <c r="AN457" i="2" s="1"/>
  <c r="AL458" i="2"/>
  <c r="AN458" i="2" s="1"/>
  <c r="AL459" i="2"/>
  <c r="AN459" i="2" s="1"/>
  <c r="AL460" i="2"/>
  <c r="AN460" i="2" s="1"/>
  <c r="AL461" i="2"/>
  <c r="AN461" i="2" s="1"/>
  <c r="AL462" i="2"/>
  <c r="AN462" i="2" s="1"/>
  <c r="AL463" i="2"/>
  <c r="AN463" i="2" s="1"/>
  <c r="AL464" i="2"/>
  <c r="AN464" i="2" s="1"/>
  <c r="AL465" i="2"/>
  <c r="AN465" i="2" s="1"/>
  <c r="AL466" i="2"/>
  <c r="AN466" i="2" s="1"/>
  <c r="AL467" i="2"/>
  <c r="AN467" i="2" s="1"/>
  <c r="AL468" i="2"/>
  <c r="AN468" i="2" s="1"/>
  <c r="AL469" i="2"/>
  <c r="AN469" i="2" s="1"/>
  <c r="AL470" i="2"/>
  <c r="AN470" i="2" s="1"/>
  <c r="AL471" i="2"/>
  <c r="AN471" i="2" s="1"/>
  <c r="AL472" i="2"/>
  <c r="AN472" i="2" s="1"/>
  <c r="AL473" i="2"/>
  <c r="AN473" i="2" s="1"/>
  <c r="AL474" i="2"/>
  <c r="AN474" i="2" s="1"/>
  <c r="AL475" i="2"/>
  <c r="AN475" i="2" s="1"/>
  <c r="AL476" i="2"/>
  <c r="AN476" i="2" s="1"/>
  <c r="AL477" i="2"/>
  <c r="AN477" i="2" s="1"/>
  <c r="AL478" i="2"/>
  <c r="AN478" i="2" s="1"/>
  <c r="AL479" i="2"/>
  <c r="AN479" i="2" s="1"/>
  <c r="AL480" i="2"/>
  <c r="AN480" i="2" s="1"/>
  <c r="AL481" i="2"/>
  <c r="AN481" i="2" s="1"/>
  <c r="AL482" i="2"/>
  <c r="AN482" i="2" s="1"/>
  <c r="AL483" i="2"/>
  <c r="AN483" i="2" s="1"/>
  <c r="AL484" i="2"/>
  <c r="AN484" i="2" s="1"/>
  <c r="AL485" i="2"/>
  <c r="AN485" i="2" s="1"/>
  <c r="AL486" i="2"/>
  <c r="AN486" i="2" s="1"/>
  <c r="AL487" i="2"/>
  <c r="AN487" i="2" s="1"/>
  <c r="AL488" i="2"/>
  <c r="AN488" i="2" s="1"/>
  <c r="AL489" i="2"/>
  <c r="AN489" i="2" s="1"/>
  <c r="AL490" i="2"/>
  <c r="AN490" i="2" s="1"/>
  <c r="AL491" i="2"/>
  <c r="AN491" i="2" s="1"/>
  <c r="AL492" i="2"/>
  <c r="AN492" i="2" s="1"/>
  <c r="AL493" i="2"/>
  <c r="AN493" i="2" s="1"/>
  <c r="AL494" i="2"/>
  <c r="AN494" i="2" s="1"/>
  <c r="AL495" i="2"/>
  <c r="AN495" i="2" s="1"/>
  <c r="AL496" i="2"/>
  <c r="AN496" i="2" s="1"/>
  <c r="AL497" i="2"/>
  <c r="AN497" i="2" s="1"/>
  <c r="AL498" i="2"/>
  <c r="AN498" i="2" s="1"/>
  <c r="AL499" i="2"/>
  <c r="AN499" i="2" s="1"/>
  <c r="AL500" i="2"/>
  <c r="AN500" i="2" s="1"/>
  <c r="AL501" i="2"/>
  <c r="AN501" i="2" s="1"/>
  <c r="AL502" i="2"/>
  <c r="AN502" i="2" s="1"/>
  <c r="AL503" i="2"/>
  <c r="AN503" i="2" s="1"/>
  <c r="AL504" i="2"/>
  <c r="AN504" i="2" s="1"/>
  <c r="AL505" i="2"/>
  <c r="AN505" i="2" s="1"/>
  <c r="AL511" i="2"/>
  <c r="AN511" i="2" s="1"/>
  <c r="AL512" i="2"/>
  <c r="AN512" i="2" s="1"/>
  <c r="AL513" i="2"/>
  <c r="AN513" i="2" s="1"/>
  <c r="AL518" i="2"/>
  <c r="AN518" i="2" s="1"/>
  <c r="AL519" i="2"/>
  <c r="AN519" i="2" s="1"/>
  <c r="AL520" i="2"/>
  <c r="AN520" i="2" s="1"/>
  <c r="AL521" i="2"/>
  <c r="AN521" i="2" s="1"/>
  <c r="AL522" i="2"/>
  <c r="AN522" i="2" s="1"/>
  <c r="AL523" i="2"/>
  <c r="AN523" i="2" s="1"/>
  <c r="AL525" i="2"/>
  <c r="AN525" i="2" s="1"/>
  <c r="AL526" i="2"/>
  <c r="AN526" i="2" s="1"/>
  <c r="AL527" i="2"/>
  <c r="AN527" i="2" s="1"/>
  <c r="AL528" i="2"/>
  <c r="AN528" i="2" s="1"/>
  <c r="AL529" i="2"/>
  <c r="AN529" i="2" s="1"/>
  <c r="AL530" i="2"/>
  <c r="AN530" i="2" s="1"/>
  <c r="AL531" i="2"/>
  <c r="AN531" i="2" s="1"/>
  <c r="AL533" i="2"/>
  <c r="AN533" i="2" s="1"/>
  <c r="AL534" i="2"/>
  <c r="AN534" i="2" s="1"/>
  <c r="AL373" i="2"/>
  <c r="AN373" i="2" s="1"/>
  <c r="AL374" i="2"/>
  <c r="AN374" i="2" s="1"/>
  <c r="AL375" i="2"/>
  <c r="AN375" i="2" s="1"/>
  <c r="AL376" i="2"/>
  <c r="AN376" i="2" s="1"/>
  <c r="AL377" i="2"/>
  <c r="AN377" i="2" s="1"/>
  <c r="AL378" i="2"/>
  <c r="AN378" i="2" s="1"/>
  <c r="AL379" i="2"/>
  <c r="AN379" i="2" s="1"/>
  <c r="AL380" i="2"/>
  <c r="AN380" i="2" s="1"/>
  <c r="AL381" i="2"/>
  <c r="AN381" i="2" s="1"/>
  <c r="AL382" i="2"/>
  <c r="AN382" i="2" s="1"/>
  <c r="AL383" i="2"/>
  <c r="AN383" i="2" s="1"/>
  <c r="AL384" i="2"/>
  <c r="AN384" i="2" s="1"/>
  <c r="AL385" i="2"/>
  <c r="AN385" i="2" s="1"/>
  <c r="AL386" i="2"/>
  <c r="AN386" i="2" s="1"/>
  <c r="AL387" i="2"/>
  <c r="AN387" i="2" s="1"/>
  <c r="AL388" i="2"/>
  <c r="AN388" i="2" s="1"/>
  <c r="AL389" i="2"/>
  <c r="AN389" i="2" s="1"/>
  <c r="AL390" i="2"/>
  <c r="AN390" i="2" s="1"/>
  <c r="AL391" i="2"/>
  <c r="AN391" i="2" s="1"/>
  <c r="AL392" i="2"/>
  <c r="AN392" i="2" s="1"/>
  <c r="AL393" i="2"/>
  <c r="AN393" i="2" s="1"/>
  <c r="AL394" i="2"/>
  <c r="AN394" i="2" s="1"/>
  <c r="AL395" i="2"/>
  <c r="AN395" i="2" s="1"/>
  <c r="AL396" i="2"/>
  <c r="AN396" i="2" s="1"/>
  <c r="AL397" i="2"/>
  <c r="AN397" i="2" s="1"/>
  <c r="AL398" i="2"/>
  <c r="AN398" i="2" s="1"/>
  <c r="AL399" i="2"/>
  <c r="AN399" i="2" s="1"/>
  <c r="AL400" i="2"/>
  <c r="AN400" i="2" s="1"/>
  <c r="AL401" i="2"/>
  <c r="AN401" i="2" s="1"/>
  <c r="AL402" i="2"/>
  <c r="AN402" i="2" s="1"/>
  <c r="AL403" i="2"/>
  <c r="AN403" i="2" s="1"/>
  <c r="AL404" i="2"/>
  <c r="AN404" i="2" s="1"/>
  <c r="AL405" i="2"/>
  <c r="AN405" i="2" s="1"/>
  <c r="AL406" i="2"/>
  <c r="AN406" i="2" s="1"/>
  <c r="AL407" i="2"/>
  <c r="AN407" i="2" s="1"/>
  <c r="AL408" i="2"/>
  <c r="AN408" i="2" s="1"/>
  <c r="AL409" i="2"/>
  <c r="AN409" i="2" s="1"/>
  <c r="AL410" i="2"/>
  <c r="AN410" i="2" s="1"/>
  <c r="AL411" i="2"/>
  <c r="AN411" i="2" s="1"/>
  <c r="AL412" i="2"/>
  <c r="AN412" i="2" s="1"/>
  <c r="AL413" i="2"/>
  <c r="AN413" i="2" s="1"/>
  <c r="AL414" i="2"/>
  <c r="AN414" i="2" s="1"/>
  <c r="AL415" i="2"/>
  <c r="AN415" i="2" s="1"/>
  <c r="AL416" i="2"/>
  <c r="AN416" i="2" s="1"/>
  <c r="AL516" i="2"/>
  <c r="AN516" i="2" s="1"/>
  <c r="AL517" i="2"/>
  <c r="AN517" i="2" s="1"/>
  <c r="AL532" i="2"/>
  <c r="AN532" i="2" s="1"/>
  <c r="AL514" i="2"/>
  <c r="AN514" i="2" s="1"/>
  <c r="AL515" i="2"/>
  <c r="AN515" i="2" s="1"/>
  <c r="AL192" i="2"/>
  <c r="AN192" i="2" s="1"/>
  <c r="AL193" i="2"/>
  <c r="AN193" i="2" s="1"/>
  <c r="AL253" i="2"/>
  <c r="AN253" i="2" s="1"/>
  <c r="AL182" i="2"/>
  <c r="AN182" i="2" s="1"/>
  <c r="AL183" i="2"/>
  <c r="AN183" i="2" s="1"/>
  <c r="AL236" i="2"/>
  <c r="AN236" i="2" s="1"/>
  <c r="AL254" i="2"/>
  <c r="AN254" i="2" s="1"/>
  <c r="AL291" i="2"/>
  <c r="AN291" i="2" s="1"/>
  <c r="AL210" i="2"/>
  <c r="AN210" i="2" s="1"/>
  <c r="AL359" i="2"/>
  <c r="AN359" i="2" s="1"/>
  <c r="AL363" i="2"/>
  <c r="AN363" i="2" s="1"/>
  <c r="AL369" i="2"/>
  <c r="AN369" i="2" s="1"/>
  <c r="AL370" i="2"/>
  <c r="AN370" i="2" s="1"/>
  <c r="AL367" i="2"/>
  <c r="AN367" i="2" s="1"/>
  <c r="AL368" i="2"/>
  <c r="AN368" i="2" s="1"/>
  <c r="AL365" i="2"/>
  <c r="AN365" i="2" s="1"/>
  <c r="AL366" i="2"/>
  <c r="AN366" i="2" s="1"/>
  <c r="AL371" i="2"/>
  <c r="AN371" i="2" s="1"/>
  <c r="AL775" i="2"/>
  <c r="AL338" i="2"/>
  <c r="AN338" i="2" s="1"/>
  <c r="AL339" i="2"/>
  <c r="AN339" i="2" s="1"/>
  <c r="AL340" i="2"/>
  <c r="AN340" i="2" s="1"/>
  <c r="AL341" i="2"/>
  <c r="AN341" i="2" s="1"/>
  <c r="AL342" i="2"/>
  <c r="AN342" i="2" s="1"/>
  <c r="AL343" i="2"/>
  <c r="AN343" i="2" s="1"/>
  <c r="AL347" i="2"/>
  <c r="AN347" i="2" s="1"/>
  <c r="AL348" i="2"/>
  <c r="AN348" i="2" s="1"/>
  <c r="AL357" i="2"/>
  <c r="AN357" i="2" s="1"/>
  <c r="AL358" i="2"/>
  <c r="AN358" i="2" s="1"/>
  <c r="AL344" i="2"/>
  <c r="AN344" i="2" s="1"/>
  <c r="AL345" i="2"/>
  <c r="AN345" i="2" s="1"/>
  <c r="AL349" i="2"/>
  <c r="AN349" i="2" s="1"/>
  <c r="AL350" i="2"/>
  <c r="AN350" i="2" s="1"/>
  <c r="AL351" i="2"/>
  <c r="AN351" i="2" s="1"/>
  <c r="AL352" i="2"/>
  <c r="AN352" i="2" s="1"/>
  <c r="AL353" i="2"/>
  <c r="AN353" i="2" s="1"/>
  <c r="AL354" i="2"/>
  <c r="AN354" i="2" s="1"/>
  <c r="AL355" i="2"/>
  <c r="AN355" i="2" s="1"/>
  <c r="AL356" i="2"/>
  <c r="AN356" i="2" s="1"/>
  <c r="AL212" i="2" l="1"/>
  <c r="AN212" i="2" s="1"/>
  <c r="AL178" i="2"/>
  <c r="AN178" i="2" s="1"/>
  <c r="AL179" i="2"/>
  <c r="AN179" i="2" s="1"/>
  <c r="AL207" i="2"/>
  <c r="AN207" i="2" s="1"/>
  <c r="AL229" i="2"/>
  <c r="AN229" i="2" s="1"/>
  <c r="AL281" i="2"/>
  <c r="AN281" i="2" s="1"/>
  <c r="AL282" i="2"/>
  <c r="AN282" i="2" s="1"/>
  <c r="AL346" i="2"/>
  <c r="AN346" i="2" s="1"/>
  <c r="AL360" i="2"/>
  <c r="AN360" i="2" s="1"/>
  <c r="AL361" i="2"/>
  <c r="AN361" i="2" s="1"/>
  <c r="AL362" i="2"/>
  <c r="AN362" i="2" s="1"/>
  <c r="AL372" i="2"/>
  <c r="AN372" i="2" s="1"/>
  <c r="AL364" i="2"/>
  <c r="AN364" i="2" s="1"/>
  <c r="AL224" i="3"/>
  <c r="AK41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G33" i="4"/>
  <c r="H117" i="1"/>
  <c r="H120" i="1" s="1"/>
  <c r="H122" i="1" s="1"/>
  <c r="I117" i="1"/>
  <c r="I120" i="1" s="1"/>
  <c r="I122" i="1" s="1"/>
  <c r="J117" i="1"/>
  <c r="J120" i="1" s="1"/>
  <c r="J122" i="1" s="1"/>
  <c r="K117" i="1"/>
  <c r="K120" i="1" s="1"/>
  <c r="K122" i="1" s="1"/>
  <c r="L117" i="1"/>
  <c r="L120" i="1" s="1"/>
  <c r="L122" i="1" s="1"/>
  <c r="M117" i="1"/>
  <c r="M120" i="1" s="1"/>
  <c r="M122" i="1" s="1"/>
  <c r="N117" i="1"/>
  <c r="N120" i="1" s="1"/>
  <c r="N122" i="1" s="1"/>
  <c r="O117" i="1"/>
  <c r="O120" i="1" s="1"/>
  <c r="O122" i="1" s="1"/>
  <c r="P117" i="1"/>
  <c r="P120" i="1" s="1"/>
  <c r="P122" i="1" s="1"/>
  <c r="Q117" i="1"/>
  <c r="Q120" i="1" s="1"/>
  <c r="Q122" i="1" s="1"/>
  <c r="R117" i="1"/>
  <c r="R120" i="1" s="1"/>
  <c r="R122" i="1" s="1"/>
  <c r="S117" i="1"/>
  <c r="S120" i="1" s="1"/>
  <c r="S122" i="1" s="1"/>
  <c r="T117" i="1"/>
  <c r="T120" i="1" s="1"/>
  <c r="T122" i="1" s="1"/>
  <c r="U117" i="1"/>
  <c r="U120" i="1" s="1"/>
  <c r="U122" i="1" s="1"/>
  <c r="V117" i="1"/>
  <c r="V120" i="1" s="1"/>
  <c r="V122" i="1" s="1"/>
  <c r="W117" i="1"/>
  <c r="W120" i="1" s="1"/>
  <c r="W122" i="1" s="1"/>
  <c r="X117" i="1"/>
  <c r="X120" i="1" s="1"/>
  <c r="X122" i="1" s="1"/>
  <c r="Y117" i="1"/>
  <c r="Y120" i="1" s="1"/>
  <c r="Y122" i="1" s="1"/>
  <c r="Z117" i="1"/>
  <c r="Z120" i="1" s="1"/>
  <c r="Z122" i="1" s="1"/>
  <c r="AA117" i="1"/>
  <c r="AA120" i="1" s="1"/>
  <c r="AA122" i="1" s="1"/>
  <c r="AB117" i="1"/>
  <c r="AB120" i="1" s="1"/>
  <c r="AB122" i="1" s="1"/>
  <c r="AC117" i="1"/>
  <c r="AC120" i="1" s="1"/>
  <c r="AC122" i="1" s="1"/>
  <c r="AD117" i="1"/>
  <c r="AD120" i="1" s="1"/>
  <c r="AD122" i="1" s="1"/>
  <c r="AE117" i="1"/>
  <c r="AE120" i="1" s="1"/>
  <c r="AE122" i="1" s="1"/>
  <c r="AF117" i="1"/>
  <c r="AF120" i="1" s="1"/>
  <c r="AF122" i="1" s="1"/>
  <c r="AG117" i="1"/>
  <c r="AG120" i="1" s="1"/>
  <c r="AG122" i="1" s="1"/>
  <c r="AH117" i="1"/>
  <c r="AH120" i="1" s="1"/>
  <c r="AH122" i="1" s="1"/>
  <c r="AI117" i="1"/>
  <c r="AI120" i="1" s="1"/>
  <c r="AI122" i="1" s="1"/>
  <c r="AK117" i="1"/>
  <c r="AK120" i="1" s="1"/>
  <c r="AK122" i="1" s="1"/>
  <c r="G117" i="1"/>
  <c r="G120" i="1" s="1"/>
  <c r="AL10" i="1"/>
  <c r="AN10" i="1" s="1"/>
  <c r="AL11" i="1"/>
  <c r="AN11" i="1" s="1"/>
  <c r="AL12" i="1"/>
  <c r="AN12" i="1" s="1"/>
  <c r="AL13" i="1"/>
  <c r="AN13" i="1" s="1"/>
  <c r="AL14" i="1"/>
  <c r="AN14" i="1" s="1"/>
  <c r="AL15" i="1"/>
  <c r="AN15" i="1" s="1"/>
  <c r="AL16" i="1"/>
  <c r="AN16" i="1" s="1"/>
  <c r="AL17" i="1"/>
  <c r="AN17" i="1" s="1"/>
  <c r="AL18" i="1"/>
  <c r="AN18" i="1" s="1"/>
  <c r="AL19" i="1"/>
  <c r="AN19" i="1" s="1"/>
  <c r="AL20" i="1"/>
  <c r="AN20" i="1" s="1"/>
  <c r="AL21" i="1"/>
  <c r="AN21" i="1" s="1"/>
  <c r="AL22" i="1"/>
  <c r="AN22" i="1" s="1"/>
  <c r="AL23" i="1"/>
  <c r="AN23" i="1" s="1"/>
  <c r="AL24" i="1"/>
  <c r="AN24" i="1" s="1"/>
  <c r="AL25" i="1"/>
  <c r="AN25" i="1" s="1"/>
  <c r="AL26" i="1"/>
  <c r="AN26" i="1" s="1"/>
  <c r="AL27" i="1"/>
  <c r="AN27" i="1" s="1"/>
  <c r="AL28" i="1"/>
  <c r="AN28" i="1" s="1"/>
  <c r="AL29" i="1"/>
  <c r="AN29" i="1" s="1"/>
  <c r="AN91" i="3"/>
  <c r="AN92" i="3"/>
  <c r="AL90" i="3"/>
  <c r="AN90" i="3" s="1"/>
  <c r="AN121" i="1" l="1"/>
  <c r="G122" i="1"/>
  <c r="AL122" i="1" s="1"/>
  <c r="AN122" i="1" s="1"/>
  <c r="AL120" i="1"/>
  <c r="AL154" i="2"/>
  <c r="AN154" i="2" s="1"/>
  <c r="AL155" i="2"/>
  <c r="AN155" i="2" s="1"/>
  <c r="AL156" i="2"/>
  <c r="AN156" i="2" s="1"/>
  <c r="AL157" i="2"/>
  <c r="AN157" i="2" s="1"/>
  <c r="AL123" i="1" l="1"/>
  <c r="AN123" i="1"/>
  <c r="AN132" i="1" s="1"/>
  <c r="AN780" i="2" s="1"/>
  <c r="AL323" i="2"/>
  <c r="AN323" i="2" s="1"/>
  <c r="AL331" i="2"/>
  <c r="AN331" i="2" s="1"/>
  <c r="AL206" i="2"/>
  <c r="AN206" i="2" s="1"/>
  <c r="AL88" i="3"/>
  <c r="AN88" i="3" s="1"/>
  <c r="AL89" i="3"/>
  <c r="AN89" i="3" s="1"/>
  <c r="AN93" i="3"/>
  <c r="AL94" i="3"/>
  <c r="AN94" i="3" s="1"/>
  <c r="AL95" i="3"/>
  <c r="AN95" i="3" s="1"/>
  <c r="AL96" i="3"/>
  <c r="AN96" i="3" s="1"/>
  <c r="AL97" i="3"/>
  <c r="AN97" i="3" s="1"/>
  <c r="AL222" i="2"/>
  <c r="AN222" i="2" s="1"/>
  <c r="AL223" i="2"/>
  <c r="AN223" i="2" s="1"/>
  <c r="AL224" i="2"/>
  <c r="AN224" i="2" s="1"/>
  <c r="AL225" i="2"/>
  <c r="AN225" i="2" s="1"/>
  <c r="AL226" i="2"/>
  <c r="AN226" i="2" s="1"/>
  <c r="AL227" i="2"/>
  <c r="AN227" i="2" s="1"/>
  <c r="AL228" i="2"/>
  <c r="AN228" i="2" s="1"/>
  <c r="AL230" i="2"/>
  <c r="AN230" i="2" s="1"/>
  <c r="AL231" i="2"/>
  <c r="AN231" i="2" s="1"/>
  <c r="AL232" i="2"/>
  <c r="AN232" i="2" s="1"/>
  <c r="AL233" i="2"/>
  <c r="AN233" i="2" s="1"/>
  <c r="AL234" i="2"/>
  <c r="AN234" i="2" s="1"/>
  <c r="AL337" i="2"/>
  <c r="AN337" i="2" s="1"/>
  <c r="AL203" i="2"/>
  <c r="AN203" i="2" s="1"/>
  <c r="AL204" i="2"/>
  <c r="AN204" i="2" s="1"/>
  <c r="AL205" i="2"/>
  <c r="AN205" i="2" s="1"/>
  <c r="AL208" i="2"/>
  <c r="AN208" i="2" s="1"/>
  <c r="AL209" i="2"/>
  <c r="AN209" i="2" s="1"/>
  <c r="AL211" i="2"/>
  <c r="AN211" i="2" s="1"/>
  <c r="AL213" i="2"/>
  <c r="AN213" i="2" s="1"/>
  <c r="AL214" i="2"/>
  <c r="AN214" i="2" s="1"/>
  <c r="AL215" i="2"/>
  <c r="AN215" i="2" s="1"/>
  <c r="AL216" i="2"/>
  <c r="AN216" i="2" s="1"/>
  <c r="AL217" i="2"/>
  <c r="AN217" i="2" s="1"/>
  <c r="AL218" i="2"/>
  <c r="AN218" i="2" s="1"/>
  <c r="AL219" i="2"/>
  <c r="AN219" i="2" s="1"/>
  <c r="AL220" i="2"/>
  <c r="AN220" i="2" s="1"/>
  <c r="AL221" i="2"/>
  <c r="AN221" i="2" s="1"/>
  <c r="AL235" i="2"/>
  <c r="AN235" i="2" s="1"/>
  <c r="AL245" i="2"/>
  <c r="AN245" i="2" s="1"/>
  <c r="AL246" i="2"/>
  <c r="AN246" i="2" s="1"/>
  <c r="AL247" i="2"/>
  <c r="AN247" i="2" s="1"/>
  <c r="AL248" i="2"/>
  <c r="AN248" i="2" s="1"/>
  <c r="AL249" i="2"/>
  <c r="AN249" i="2" s="1"/>
  <c r="AL250" i="2"/>
  <c r="AN250" i="2" s="1"/>
  <c r="AL251" i="2"/>
  <c r="AN251" i="2" s="1"/>
  <c r="AL252" i="2"/>
  <c r="AN252" i="2" s="1"/>
  <c r="AL255" i="2"/>
  <c r="AN255" i="2" s="1"/>
  <c r="AL256" i="2"/>
  <c r="AN256" i="2" s="1"/>
  <c r="AL257" i="2"/>
  <c r="AN257" i="2" s="1"/>
  <c r="AL258" i="2"/>
  <c r="AN258" i="2" s="1"/>
  <c r="AL259" i="2"/>
  <c r="AN259" i="2" s="1"/>
  <c r="AL260" i="2"/>
  <c r="AN260" i="2" s="1"/>
  <c r="AL261" i="2"/>
  <c r="AN261" i="2" s="1"/>
  <c r="AL262" i="2"/>
  <c r="AN262" i="2" s="1"/>
  <c r="AL263" i="2"/>
  <c r="AN263" i="2" s="1"/>
  <c r="AL264" i="2"/>
  <c r="AN264" i="2" s="1"/>
  <c r="AL265" i="2"/>
  <c r="AN265" i="2" s="1"/>
  <c r="AL266" i="2"/>
  <c r="AN266" i="2" s="1"/>
  <c r="AL267" i="2"/>
  <c r="AN267" i="2" s="1"/>
  <c r="AL268" i="2"/>
  <c r="AN268" i="2" s="1"/>
  <c r="AL269" i="2"/>
  <c r="AN269" i="2" s="1"/>
  <c r="AL270" i="2"/>
  <c r="AN270" i="2" s="1"/>
  <c r="AL271" i="2"/>
  <c r="AN271" i="2" s="1"/>
  <c r="AL272" i="2"/>
  <c r="AN272" i="2" s="1"/>
  <c r="AL273" i="2"/>
  <c r="AN273" i="2" s="1"/>
  <c r="AL274" i="2"/>
  <c r="AN274" i="2" s="1"/>
  <c r="AL275" i="2"/>
  <c r="AN275" i="2" s="1"/>
  <c r="AL276" i="2"/>
  <c r="AN276" i="2" s="1"/>
  <c r="AL277" i="2"/>
  <c r="AN277" i="2" s="1"/>
  <c r="AL278" i="2"/>
  <c r="AN278" i="2" s="1"/>
  <c r="AL279" i="2"/>
  <c r="AN279" i="2" s="1"/>
  <c r="AL280" i="2"/>
  <c r="AN280" i="2" s="1"/>
  <c r="AL283" i="2"/>
  <c r="AN283" i="2" s="1"/>
  <c r="AL284" i="2"/>
  <c r="AN284" i="2" s="1"/>
  <c r="AL285" i="2"/>
  <c r="AN285" i="2" s="1"/>
  <c r="AL286" i="2"/>
  <c r="AN286" i="2" s="1"/>
  <c r="AL287" i="2"/>
  <c r="AN287" i="2" s="1"/>
  <c r="AL288" i="2"/>
  <c r="AN288" i="2" s="1"/>
  <c r="AL289" i="2"/>
  <c r="AN289" i="2" s="1"/>
  <c r="AL290" i="2"/>
  <c r="AN290" i="2" s="1"/>
  <c r="AL292" i="2"/>
  <c r="AN292" i="2" s="1"/>
  <c r="AL293" i="2"/>
  <c r="AN293" i="2" s="1"/>
  <c r="AL294" i="2"/>
  <c r="AN294" i="2" s="1"/>
  <c r="AL295" i="2"/>
  <c r="AN295" i="2" s="1"/>
  <c r="AL296" i="2"/>
  <c r="AN296" i="2" s="1"/>
  <c r="AL297" i="2"/>
  <c r="AN297" i="2" s="1"/>
  <c r="AL298" i="2"/>
  <c r="AN298" i="2" s="1"/>
  <c r="AL299" i="2"/>
  <c r="AN299" i="2" s="1"/>
  <c r="AL300" i="2"/>
  <c r="AN300" i="2" s="1"/>
  <c r="AL301" i="2"/>
  <c r="AN301" i="2" s="1"/>
  <c r="AL302" i="2"/>
  <c r="AN302" i="2" s="1"/>
  <c r="AL303" i="2"/>
  <c r="AN303" i="2" s="1"/>
  <c r="AL304" i="2"/>
  <c r="AN304" i="2" s="1"/>
  <c r="AL305" i="2"/>
  <c r="AN305" i="2" s="1"/>
  <c r="AL306" i="2"/>
  <c r="AN306" i="2" s="1"/>
  <c r="AL307" i="2"/>
  <c r="AN307" i="2" s="1"/>
  <c r="AL308" i="2"/>
  <c r="AN308" i="2" s="1"/>
  <c r="AL309" i="2"/>
  <c r="AN309" i="2" s="1"/>
  <c r="AL310" i="2"/>
  <c r="AN310" i="2" s="1"/>
  <c r="AL311" i="2"/>
  <c r="AN311" i="2" s="1"/>
  <c r="AL312" i="2"/>
  <c r="AN312" i="2" s="1"/>
  <c r="AL313" i="2"/>
  <c r="AN313" i="2" s="1"/>
  <c r="AL314" i="2"/>
  <c r="AN314" i="2" s="1"/>
  <c r="AL315" i="2"/>
  <c r="AN315" i="2" s="1"/>
  <c r="AL316" i="2"/>
  <c r="AN316" i="2" s="1"/>
  <c r="AL317" i="2"/>
  <c r="AN317" i="2" s="1"/>
  <c r="AL318" i="2"/>
  <c r="AN318" i="2" s="1"/>
  <c r="AL319" i="2"/>
  <c r="AN319" i="2" s="1"/>
  <c r="AL320" i="2"/>
  <c r="AN320" i="2" s="1"/>
  <c r="AL321" i="2"/>
  <c r="AN321" i="2" s="1"/>
  <c r="AL322" i="2"/>
  <c r="AN322" i="2" s="1"/>
  <c r="AL324" i="2"/>
  <c r="AN324" i="2" s="1"/>
  <c r="AL325" i="2"/>
  <c r="AN325" i="2" s="1"/>
  <c r="AL326" i="2"/>
  <c r="AN326" i="2" s="1"/>
  <c r="AL327" i="2"/>
  <c r="AN327" i="2" s="1"/>
  <c r="AL328" i="2"/>
  <c r="AN328" i="2" s="1"/>
  <c r="AL329" i="2"/>
  <c r="AN329" i="2" s="1"/>
  <c r="AL330" i="2"/>
  <c r="AN330" i="2" s="1"/>
  <c r="AL332" i="2"/>
  <c r="AN332" i="2" s="1"/>
  <c r="AL333" i="2"/>
  <c r="AN333" i="2" s="1"/>
  <c r="AL334" i="2"/>
  <c r="AN334" i="2" s="1"/>
  <c r="AL335" i="2"/>
  <c r="AN335" i="2" s="1"/>
  <c r="AL336" i="2"/>
  <c r="AN336" i="2" s="1"/>
  <c r="AL198" i="2"/>
  <c r="AN198" i="2" s="1"/>
  <c r="AL199" i="2"/>
  <c r="AN199" i="2" s="1"/>
  <c r="AL200" i="2"/>
  <c r="AN200" i="2" s="1"/>
  <c r="AL201" i="2"/>
  <c r="AN201" i="2" s="1"/>
  <c r="AL202" i="2"/>
  <c r="AN202" i="2" s="1"/>
  <c r="AL237" i="2"/>
  <c r="AN237" i="2" s="1"/>
  <c r="AL238" i="2"/>
  <c r="AN238" i="2" s="1"/>
  <c r="AL239" i="2"/>
  <c r="AN239" i="2" s="1"/>
  <c r="AL240" i="2"/>
  <c r="AN240" i="2" s="1"/>
  <c r="AL241" i="2"/>
  <c r="AN241" i="2" s="1"/>
  <c r="AL242" i="2"/>
  <c r="AN242" i="2" s="1"/>
  <c r="AL243" i="2"/>
  <c r="AN243" i="2" s="1"/>
  <c r="AL244" i="2"/>
  <c r="AN244" i="2" s="1"/>
  <c r="AL62" i="3" l="1"/>
  <c r="AN62" i="3" s="1"/>
  <c r="AL63" i="3"/>
  <c r="AN63" i="3" s="1"/>
  <c r="AL64" i="3"/>
  <c r="AN64" i="3" s="1"/>
  <c r="AL65" i="3"/>
  <c r="AN65" i="3" s="1"/>
  <c r="AL66" i="3"/>
  <c r="AN66" i="3" s="1"/>
  <c r="AL67" i="3"/>
  <c r="AN67" i="3" s="1"/>
  <c r="AL68" i="3"/>
  <c r="AN68" i="3" s="1"/>
  <c r="AL69" i="3"/>
  <c r="AN69" i="3" s="1"/>
  <c r="AL70" i="3"/>
  <c r="AN70" i="3" s="1"/>
  <c r="AL71" i="3"/>
  <c r="AN71" i="3" s="1"/>
  <c r="AL72" i="3"/>
  <c r="AN72" i="3" s="1"/>
  <c r="AL73" i="3"/>
  <c r="AN73" i="3" s="1"/>
  <c r="AL74" i="3"/>
  <c r="AN74" i="3" s="1"/>
  <c r="AL75" i="3"/>
  <c r="AN75" i="3" s="1"/>
  <c r="AL76" i="3"/>
  <c r="AN76" i="3" s="1"/>
  <c r="AL77" i="3"/>
  <c r="AN77" i="3" s="1"/>
  <c r="AL78" i="3"/>
  <c r="AN78" i="3" s="1"/>
  <c r="AL79" i="3"/>
  <c r="AN79" i="3" s="1"/>
  <c r="AL80" i="3"/>
  <c r="AN80" i="3" s="1"/>
  <c r="AL81" i="3"/>
  <c r="AN81" i="3" s="1"/>
  <c r="AL82" i="3"/>
  <c r="AN82" i="3" s="1"/>
  <c r="AL83" i="3"/>
  <c r="AN83" i="3" s="1"/>
  <c r="AL84" i="3"/>
  <c r="AN84" i="3" s="1"/>
  <c r="AL85" i="3"/>
  <c r="AN85" i="3" s="1"/>
  <c r="AL86" i="3"/>
  <c r="AN86" i="3" s="1"/>
  <c r="AL87" i="3"/>
  <c r="AN87" i="3" s="1"/>
  <c r="AL48" i="3"/>
  <c r="AN48" i="3" s="1"/>
  <c r="AL49" i="3"/>
  <c r="AN49" i="3" s="1"/>
  <c r="AL50" i="3"/>
  <c r="AN50" i="3" s="1"/>
  <c r="AL51" i="3"/>
  <c r="AN51" i="3" s="1"/>
  <c r="AL52" i="3"/>
  <c r="AN52" i="3" s="1"/>
  <c r="AL53" i="3"/>
  <c r="AN53" i="3" s="1"/>
  <c r="AL54" i="3"/>
  <c r="AN54" i="3" s="1"/>
  <c r="AL55" i="3"/>
  <c r="AN55" i="3" s="1"/>
  <c r="AL56" i="3"/>
  <c r="AN56" i="3" s="1"/>
  <c r="AL57" i="3"/>
  <c r="AN57" i="3" s="1"/>
  <c r="AL58" i="3"/>
  <c r="AN58" i="3" s="1"/>
  <c r="AL59" i="3"/>
  <c r="AN59" i="3" s="1"/>
  <c r="AL60" i="3"/>
  <c r="AN60" i="3" s="1"/>
  <c r="AL61" i="3"/>
  <c r="AN61" i="3" s="1"/>
  <c r="AL175" i="2"/>
  <c r="AN175" i="2" s="1"/>
  <c r="AL180" i="2"/>
  <c r="AN180" i="2" s="1"/>
  <c r="AL181" i="2"/>
  <c r="AN181" i="2" s="1"/>
  <c r="AL176" i="2"/>
  <c r="AN176" i="2" s="1"/>
  <c r="AL177" i="2"/>
  <c r="AN177" i="2" s="1"/>
  <c r="AL184" i="2"/>
  <c r="AN184" i="2" s="1"/>
  <c r="AL185" i="2"/>
  <c r="AN185" i="2" s="1"/>
  <c r="AL186" i="2"/>
  <c r="AN186" i="2" s="1"/>
  <c r="AL187" i="2"/>
  <c r="AN187" i="2" s="1"/>
  <c r="AL197" i="2" l="1"/>
  <c r="AN197" i="2" s="1"/>
  <c r="AM41" i="4"/>
  <c r="AM44" i="4" s="1"/>
  <c r="AK28" i="4"/>
  <c r="AM28" i="4" s="1"/>
  <c r="AL188" i="2"/>
  <c r="AN188" i="2" s="1"/>
  <c r="AL189" i="2"/>
  <c r="AN189" i="2" s="1"/>
  <c r="AL190" i="2"/>
  <c r="AN190" i="2" s="1"/>
  <c r="AL191" i="2"/>
  <c r="AN191" i="2" s="1"/>
  <c r="AL194" i="2"/>
  <c r="AN194" i="2" s="1"/>
  <c r="AL195" i="2"/>
  <c r="AN195" i="2" s="1"/>
  <c r="AL196" i="2"/>
  <c r="AN196" i="2" s="1"/>
  <c r="AL35" i="3"/>
  <c r="AN35" i="3" s="1"/>
  <c r="AL36" i="3"/>
  <c r="AN36" i="3" s="1"/>
  <c r="AL37" i="3"/>
  <c r="AN37" i="3" s="1"/>
  <c r="AL23" i="3"/>
  <c r="AN23" i="3" s="1"/>
  <c r="AL24" i="3"/>
  <c r="AN24" i="3" s="1"/>
  <c r="AL25" i="3"/>
  <c r="AN25" i="3" s="1"/>
  <c r="AL26" i="3"/>
  <c r="AN26" i="3" s="1"/>
  <c r="AL27" i="3"/>
  <c r="AN27" i="3" s="1"/>
  <c r="AL28" i="3"/>
  <c r="AN28" i="3" s="1"/>
  <c r="AL29" i="3"/>
  <c r="AN29" i="3" s="1"/>
  <c r="AL30" i="3"/>
  <c r="AN30" i="3" s="1"/>
  <c r="AL31" i="3"/>
  <c r="AN31" i="3" s="1"/>
  <c r="AL32" i="3"/>
  <c r="AN32" i="3" s="1"/>
  <c r="AL33" i="3"/>
  <c r="AN33" i="3" s="1"/>
  <c r="AL34" i="3"/>
  <c r="AN34" i="3" s="1"/>
  <c r="AL38" i="3"/>
  <c r="AN38" i="3" s="1"/>
  <c r="AL39" i="3"/>
  <c r="AN39" i="3" s="1"/>
  <c r="AL40" i="3"/>
  <c r="AN40" i="3" s="1"/>
  <c r="AL41" i="3"/>
  <c r="AN41" i="3" s="1"/>
  <c r="AL42" i="3"/>
  <c r="AN42" i="3" s="1"/>
  <c r="AL43" i="3"/>
  <c r="AN43" i="3" s="1"/>
  <c r="AL44" i="3"/>
  <c r="AN44" i="3" s="1"/>
  <c r="AL45" i="3"/>
  <c r="AN45" i="3" s="1"/>
  <c r="AL46" i="3"/>
  <c r="AN46" i="3" s="1"/>
  <c r="AL47" i="3"/>
  <c r="AN47" i="3" s="1"/>
  <c r="U216" i="3"/>
  <c r="V216" i="3"/>
  <c r="W216" i="3"/>
  <c r="X216" i="3"/>
  <c r="Y216" i="3"/>
  <c r="Z216" i="3"/>
  <c r="AA216" i="3"/>
  <c r="AL131" i="2"/>
  <c r="AN131" i="2" s="1"/>
  <c r="AL10" i="3"/>
  <c r="AN10" i="3" s="1"/>
  <c r="AL11" i="3"/>
  <c r="AN11" i="3" s="1"/>
  <c r="AL12" i="3"/>
  <c r="AN12" i="3" s="1"/>
  <c r="AL13" i="3"/>
  <c r="AN13" i="3" s="1"/>
  <c r="AL14" i="3"/>
  <c r="AN14" i="3" s="1"/>
  <c r="AL15" i="3"/>
  <c r="AN15" i="3" s="1"/>
  <c r="AL16" i="3"/>
  <c r="AN16" i="3" s="1"/>
  <c r="AL17" i="3"/>
  <c r="AN17" i="3" s="1"/>
  <c r="AL18" i="3"/>
  <c r="AN18" i="3" s="1"/>
  <c r="AL19" i="3"/>
  <c r="AN19" i="3" s="1"/>
  <c r="AL20" i="3"/>
  <c r="AN20" i="3" s="1"/>
  <c r="AL21" i="3"/>
  <c r="AN21" i="3" s="1"/>
  <c r="AL22" i="3"/>
  <c r="AN22" i="3" s="1"/>
  <c r="AL134" i="2"/>
  <c r="AN134" i="2" s="1"/>
  <c r="AL150" i="2"/>
  <c r="AN150" i="2" s="1"/>
  <c r="AL151" i="2"/>
  <c r="AN151" i="2" s="1"/>
  <c r="AL133" i="2"/>
  <c r="AN133" i="2" s="1"/>
  <c r="AL27" i="2"/>
  <c r="AN27" i="2" s="1"/>
  <c r="AL82" i="2"/>
  <c r="AN82" i="2" s="1"/>
  <c r="AL127" i="2"/>
  <c r="AN127" i="2" s="1"/>
  <c r="AL128" i="2"/>
  <c r="AN128" i="2" s="1"/>
  <c r="AL129" i="2"/>
  <c r="AN129" i="2" s="1"/>
  <c r="AL130" i="2"/>
  <c r="AN130" i="2" s="1"/>
  <c r="AL55" i="2"/>
  <c r="AN55" i="2" s="1"/>
  <c r="AL57" i="2"/>
  <c r="AN57" i="2" s="1"/>
  <c r="AL120" i="2"/>
  <c r="AN120" i="2" s="1"/>
  <c r="AL32" i="2"/>
  <c r="AN32" i="2" s="1"/>
  <c r="AL132" i="2"/>
  <c r="AN132" i="2" s="1"/>
  <c r="AL33" i="2"/>
  <c r="AN33" i="2" s="1"/>
  <c r="AL18" i="2"/>
  <c r="AN18" i="2" s="1"/>
  <c r="AL19" i="2"/>
  <c r="AN19" i="2" s="1"/>
  <c r="AL118" i="2"/>
  <c r="AN118" i="2" s="1"/>
  <c r="AL41" i="2"/>
  <c r="AN41" i="2" s="1"/>
  <c r="AL53" i="2"/>
  <c r="AN53" i="2" s="1"/>
  <c r="AL11" i="2"/>
  <c r="AN11" i="2" s="1"/>
  <c r="AL76" i="2"/>
  <c r="AN76" i="2" s="1"/>
  <c r="AL81" i="2"/>
  <c r="AN81" i="2" s="1"/>
  <c r="AL111" i="2"/>
  <c r="AN111" i="2" s="1"/>
  <c r="AL112" i="2"/>
  <c r="AN112" i="2" s="1"/>
  <c r="AL83" i="2"/>
  <c r="AN83" i="2" s="1"/>
  <c r="AL84" i="2"/>
  <c r="AN84" i="2" s="1"/>
  <c r="AL85" i="2"/>
  <c r="AN85" i="2" s="1"/>
  <c r="AL86" i="2"/>
  <c r="AN86" i="2" s="1"/>
  <c r="AL87" i="2"/>
  <c r="AN87" i="2" s="1"/>
  <c r="AL88" i="2"/>
  <c r="AN88" i="2" s="1"/>
  <c r="AK33" i="4" l="1"/>
  <c r="AM35" i="4"/>
  <c r="AM43" i="4" s="1"/>
  <c r="AF216" i="3"/>
  <c r="AG216" i="3"/>
  <c r="AH216" i="3"/>
  <c r="AI216" i="3"/>
  <c r="AK216" i="3"/>
  <c r="AL59" i="2"/>
  <c r="AN59" i="2" s="1"/>
  <c r="AL106" i="2"/>
  <c r="AN106" i="2" s="1"/>
  <c r="AL100" i="2"/>
  <c r="AN100" i="2" s="1"/>
  <c r="AL38" i="2"/>
  <c r="AN38" i="2" s="1"/>
  <c r="AL123" i="2"/>
  <c r="AN123" i="2" s="1"/>
  <c r="AL64" i="2"/>
  <c r="AN64" i="2" s="1"/>
  <c r="AL30" i="2"/>
  <c r="AN30" i="2" s="1"/>
  <c r="AL65" i="2"/>
  <c r="AN65" i="2" s="1"/>
  <c r="AL39" i="2"/>
  <c r="AN39" i="2" s="1"/>
  <c r="AL124" i="2"/>
  <c r="AN124" i="2" s="1"/>
  <c r="AL29" i="2"/>
  <c r="AN29" i="2" s="1"/>
  <c r="AL71" i="2"/>
  <c r="AN71" i="2" s="1"/>
  <c r="AL54" i="2"/>
  <c r="AN54" i="2" s="1"/>
  <c r="AL68" i="2"/>
  <c r="AN68" i="2" s="1"/>
  <c r="AL72" i="2"/>
  <c r="AN72" i="2" s="1"/>
  <c r="AL109" i="2"/>
  <c r="AN109" i="2" s="1"/>
  <c r="AL137" i="2"/>
  <c r="AN137" i="2" s="1"/>
  <c r="AL97" i="2"/>
  <c r="AN97" i="2" s="1"/>
  <c r="AL110" i="2"/>
  <c r="AN110" i="2" s="1"/>
  <c r="AL149" i="2"/>
  <c r="AN149" i="2" s="1"/>
  <c r="AL49" i="2"/>
  <c r="AN49" i="2" s="1"/>
  <c r="AL31" i="2"/>
  <c r="AN31" i="2" s="1"/>
  <c r="AL98" i="2"/>
  <c r="AN98" i="2" s="1"/>
  <c r="AL22" i="2"/>
  <c r="AN22" i="2" s="1"/>
  <c r="AL23" i="2"/>
  <c r="AN23" i="2" s="1"/>
  <c r="AL101" i="2"/>
  <c r="AN101" i="2" s="1"/>
  <c r="AL145" i="2"/>
  <c r="AN145" i="2" s="1"/>
  <c r="AL141" i="2"/>
  <c r="AN141" i="2" s="1"/>
  <c r="AL146" i="2"/>
  <c r="AN146" i="2" s="1"/>
  <c r="AL142" i="2"/>
  <c r="AN142" i="2" s="1"/>
  <c r="AL102" i="2"/>
  <c r="AN102" i="2" s="1"/>
  <c r="AL99" i="2"/>
  <c r="AN99" i="2" s="1"/>
  <c r="AL138" i="2"/>
  <c r="AN138" i="2" s="1"/>
  <c r="AI776" i="2" l="1"/>
  <c r="AI769" i="2"/>
  <c r="AH776" i="2"/>
  <c r="AH769" i="2"/>
  <c r="AG776" i="2"/>
  <c r="AG769" i="2"/>
  <c r="AK776" i="2"/>
  <c r="AK769" i="2"/>
  <c r="AJ776" i="2"/>
  <c r="AJ769" i="2"/>
  <c r="AL105" i="2"/>
  <c r="AN105" i="2" s="1"/>
  <c r="AL45" i="2"/>
  <c r="AN45" i="2" s="1"/>
  <c r="AL107" i="2"/>
  <c r="AN107" i="2" s="1"/>
  <c r="AL44" i="2"/>
  <c r="AN44" i="2" s="1"/>
  <c r="AL60" i="2"/>
  <c r="AN60" i="2" s="1"/>
  <c r="AL17" i="2"/>
  <c r="AN17" i="2" s="1"/>
  <c r="AL104" i="2"/>
  <c r="AN104" i="2" s="1"/>
  <c r="AL103" i="2"/>
  <c r="AN103" i="2" s="1"/>
  <c r="AL10" i="2" l="1"/>
  <c r="AN10" i="2" s="1"/>
  <c r="AL12" i="2"/>
  <c r="AN12" i="2" s="1"/>
  <c r="AL13" i="2"/>
  <c r="AN13" i="2" s="1"/>
  <c r="AL20" i="2"/>
  <c r="AN20" i="2" s="1"/>
  <c r="AL14" i="2"/>
  <c r="AN14" i="2" s="1"/>
  <c r="AL15" i="2"/>
  <c r="AN15" i="2" s="1"/>
  <c r="AL16" i="2"/>
  <c r="AN16" i="2" s="1"/>
  <c r="AL21" i="2"/>
  <c r="AN21" i="2" s="1"/>
  <c r="AL24" i="2"/>
  <c r="AN24" i="2" s="1"/>
  <c r="AL25" i="2"/>
  <c r="AN25" i="2" s="1"/>
  <c r="AL26" i="2"/>
  <c r="AN26" i="2" s="1"/>
  <c r="AL28" i="2"/>
  <c r="AN28" i="2" s="1"/>
  <c r="AL34" i="2"/>
  <c r="AN34" i="2" s="1"/>
  <c r="AL35" i="2"/>
  <c r="AN35" i="2" s="1"/>
  <c r="AL36" i="2"/>
  <c r="AN36" i="2" s="1"/>
  <c r="AL37" i="2"/>
  <c r="AN37" i="2" s="1"/>
  <c r="AL40" i="2"/>
  <c r="AN40" i="2" s="1"/>
  <c r="AL42" i="2"/>
  <c r="AN42" i="2" s="1"/>
  <c r="AL43" i="2"/>
  <c r="AN43" i="2" s="1"/>
  <c r="AL46" i="2"/>
  <c r="AN46" i="2" s="1"/>
  <c r="AL47" i="2"/>
  <c r="AN47" i="2" s="1"/>
  <c r="AL48" i="2"/>
  <c r="AN48" i="2" s="1"/>
  <c r="AL50" i="2"/>
  <c r="AN50" i="2" s="1"/>
  <c r="AL51" i="2"/>
  <c r="AN51" i="2" s="1"/>
  <c r="AL52" i="2"/>
  <c r="AN52" i="2" s="1"/>
  <c r="AL56" i="2"/>
  <c r="AN56" i="2" s="1"/>
  <c r="AL58" i="2"/>
  <c r="AN58" i="2" s="1"/>
  <c r="AL61" i="2"/>
  <c r="AN61" i="2" s="1"/>
  <c r="AL62" i="2"/>
  <c r="AN62" i="2" s="1"/>
  <c r="AL63" i="2"/>
  <c r="AN63" i="2" s="1"/>
  <c r="AL66" i="2"/>
  <c r="AN66" i="2" s="1"/>
  <c r="AL115" i="2"/>
  <c r="AN115" i="2" s="1"/>
  <c r="AL67" i="2"/>
  <c r="AN67" i="2" s="1"/>
  <c r="AL69" i="2"/>
  <c r="AN69" i="2" s="1"/>
  <c r="AL70" i="2"/>
  <c r="AN70" i="2" s="1"/>
  <c r="AL73" i="2"/>
  <c r="AN73" i="2" s="1"/>
  <c r="AL74" i="2"/>
  <c r="AN74" i="2" s="1"/>
  <c r="AL75" i="2"/>
  <c r="AN75" i="2" s="1"/>
  <c r="AL77" i="2"/>
  <c r="AN77" i="2" s="1"/>
  <c r="AL78" i="2"/>
  <c r="AN78" i="2" s="1"/>
  <c r="AL79" i="2"/>
  <c r="AN79" i="2" s="1"/>
  <c r="AL80" i="2"/>
  <c r="AN80" i="2" s="1"/>
  <c r="AL89" i="2"/>
  <c r="AN89" i="2" s="1"/>
  <c r="AL90" i="2"/>
  <c r="AN90" i="2" s="1"/>
  <c r="AL91" i="2"/>
  <c r="AN91" i="2" s="1"/>
  <c r="AL92" i="2"/>
  <c r="AN92" i="2" s="1"/>
  <c r="AL93" i="2"/>
  <c r="AN93" i="2" s="1"/>
  <c r="AL94" i="2"/>
  <c r="AN94" i="2" s="1"/>
  <c r="AL95" i="2"/>
  <c r="AN95" i="2" s="1"/>
  <c r="AL96" i="2"/>
  <c r="AN96" i="2" s="1"/>
  <c r="AL108" i="2"/>
  <c r="AN108" i="2" s="1"/>
  <c r="AL113" i="2"/>
  <c r="AN113" i="2" s="1"/>
  <c r="AL114" i="2"/>
  <c r="AN114" i="2" s="1"/>
  <c r="AL116" i="2"/>
  <c r="AN116" i="2" s="1"/>
  <c r="AL117" i="2"/>
  <c r="AN117" i="2" s="1"/>
  <c r="AL119" i="2"/>
  <c r="AN119" i="2" s="1"/>
  <c r="AL121" i="2"/>
  <c r="AN121" i="2" s="1"/>
  <c r="AL122" i="2"/>
  <c r="AN122" i="2" s="1"/>
  <c r="AL125" i="2"/>
  <c r="AN125" i="2" s="1"/>
  <c r="AL126" i="2"/>
  <c r="AN126" i="2" s="1"/>
  <c r="AL135" i="2"/>
  <c r="AN135" i="2" s="1"/>
  <c r="AL136" i="2"/>
  <c r="AN136" i="2" s="1"/>
  <c r="AL139" i="2"/>
  <c r="AN139" i="2" s="1"/>
  <c r="AL140" i="2"/>
  <c r="AN140" i="2" s="1"/>
  <c r="AL143" i="2"/>
  <c r="AN143" i="2" s="1"/>
  <c r="AL144" i="2"/>
  <c r="AN144" i="2" s="1"/>
  <c r="AL147" i="2"/>
  <c r="AN147" i="2" s="1"/>
  <c r="AL148" i="2"/>
  <c r="AN148" i="2" s="1"/>
  <c r="AL152" i="2"/>
  <c r="AN152" i="2" s="1"/>
  <c r="AL153" i="2"/>
  <c r="AN153" i="2" s="1"/>
  <c r="AN767" i="2" l="1"/>
  <c r="AN778" i="2" s="1"/>
  <c r="G216" i="3"/>
  <c r="H216" i="3"/>
  <c r="I216" i="3"/>
  <c r="J216" i="3"/>
  <c r="K216" i="3"/>
  <c r="L216" i="3"/>
  <c r="M216" i="3"/>
  <c r="N216" i="3"/>
  <c r="O216" i="3"/>
  <c r="P216" i="3"/>
  <c r="Q216" i="3"/>
  <c r="R216" i="3"/>
  <c r="AN224" i="3"/>
  <c r="AN227" i="3" s="1"/>
  <c r="AN784" i="2" s="1"/>
  <c r="AE216" i="3"/>
  <c r="AD216" i="3"/>
  <c r="AC216" i="3"/>
  <c r="AB216" i="3"/>
  <c r="T216" i="3"/>
  <c r="S216" i="3"/>
  <c r="AN775" i="2"/>
  <c r="AN783" i="2" s="1"/>
  <c r="AL130" i="1"/>
  <c r="G776" i="2" l="1"/>
  <c r="G769" i="2"/>
  <c r="L776" i="2"/>
  <c r="L769" i="2"/>
  <c r="X776" i="2"/>
  <c r="X769" i="2"/>
  <c r="T776" i="2"/>
  <c r="T769" i="2"/>
  <c r="AF776" i="2"/>
  <c r="AF769" i="2"/>
  <c r="AB776" i="2"/>
  <c r="AB769" i="2"/>
  <c r="K776" i="2"/>
  <c r="K769" i="2"/>
  <c r="AA776" i="2"/>
  <c r="AA769" i="2"/>
  <c r="S776" i="2"/>
  <c r="S769" i="2"/>
  <c r="R776" i="2"/>
  <c r="R769" i="2"/>
  <c r="AC776" i="2"/>
  <c r="AC769" i="2"/>
  <c r="H776" i="2"/>
  <c r="H769" i="2"/>
  <c r="P776" i="2"/>
  <c r="P769" i="2"/>
  <c r="W776" i="2"/>
  <c r="W769" i="2"/>
  <c r="O776" i="2"/>
  <c r="O769" i="2"/>
  <c r="AE776" i="2"/>
  <c r="AE769" i="2"/>
  <c r="N776" i="2"/>
  <c r="N769" i="2"/>
  <c r="J776" i="2"/>
  <c r="J769" i="2"/>
  <c r="Z776" i="2"/>
  <c r="Z769" i="2"/>
  <c r="V776" i="2"/>
  <c r="V769" i="2"/>
  <c r="AD776" i="2"/>
  <c r="AD769" i="2"/>
  <c r="M776" i="2"/>
  <c r="M769" i="2"/>
  <c r="I776" i="2"/>
  <c r="I769" i="2"/>
  <c r="Y769" i="2"/>
  <c r="Y776" i="2"/>
  <c r="U776" i="2"/>
  <c r="U769" i="2"/>
  <c r="Q776" i="2"/>
  <c r="Q769" i="2"/>
  <c r="AN218" i="3"/>
  <c r="AL216" i="3"/>
  <c r="AL765" i="2"/>
  <c r="AN130" i="1"/>
  <c r="AN133" i="1" l="1"/>
  <c r="AN785" i="2" s="1"/>
  <c r="AL776" i="2"/>
  <c r="AN776" i="2" s="1"/>
  <c r="AN788" i="2" s="1"/>
  <c r="AL769" i="2"/>
  <c r="AN226" i="3"/>
  <c r="AL117" i="1"/>
  <c r="AN135" i="1" l="1"/>
  <c r="AN136" i="1" s="1"/>
  <c r="AN137" i="1" s="1"/>
  <c r="AN790" i="2"/>
  <c r="AN791" i="2" s="1"/>
  <c r="AN792" i="2" s="1"/>
</calcChain>
</file>

<file path=xl/sharedStrings.xml><?xml version="1.0" encoding="utf-8"?>
<sst xmlns="http://schemas.openxmlformats.org/spreadsheetml/2006/main" count="5858" uniqueCount="1503">
  <si>
    <t>HAB</t>
  </si>
  <si>
    <t>APELLIDO PATERNO</t>
  </si>
  <si>
    <t>APELLIDO MATERNO</t>
  </si>
  <si>
    <t>NOMBRE</t>
  </si>
  <si>
    <t>RUT</t>
  </si>
  <si>
    <t>D. OCUP</t>
  </si>
  <si>
    <t>V. OCUP</t>
  </si>
  <si>
    <t>T. OCUP.</t>
  </si>
  <si>
    <t>OLIVARES</t>
  </si>
  <si>
    <t>JUAN</t>
  </si>
  <si>
    <t>CASTRO</t>
  </si>
  <si>
    <t>LUIS</t>
  </si>
  <si>
    <t>RIVERA</t>
  </si>
  <si>
    <t>FUENTES</t>
  </si>
  <si>
    <t>PEREZ</t>
  </si>
  <si>
    <t>PATRICIO</t>
  </si>
  <si>
    <t>RETAMAL</t>
  </si>
  <si>
    <t>SAEZ</t>
  </si>
  <si>
    <t>GALAZ</t>
  </si>
  <si>
    <t>GONZALEZ</t>
  </si>
  <si>
    <t>ALEJANDRO</t>
  </si>
  <si>
    <t>CARLOS</t>
  </si>
  <si>
    <t>MARCO</t>
  </si>
  <si>
    <t>MORALES</t>
  </si>
  <si>
    <t>JOSE</t>
  </si>
  <si>
    <t>PABLO</t>
  </si>
  <si>
    <t>SEPULVEDA</t>
  </si>
  <si>
    <t>MORA</t>
  </si>
  <si>
    <t>FRANCISCO</t>
  </si>
  <si>
    <t xml:space="preserve">   </t>
  </si>
  <si>
    <t>TOTAL</t>
  </si>
  <si>
    <t xml:space="preserve">ALMUERZOS </t>
  </si>
  <si>
    <t>ALMUERZOS</t>
  </si>
  <si>
    <t xml:space="preserve">ALOJAMIENTO </t>
  </si>
  <si>
    <t>TOTAL NETO</t>
  </si>
  <si>
    <t>I.V.A 19%</t>
  </si>
  <si>
    <t>AC</t>
  </si>
  <si>
    <t>JORGE</t>
  </si>
  <si>
    <t>VALENZUELA</t>
  </si>
  <si>
    <t>CORNEJO</t>
  </si>
  <si>
    <t>NICOLAS</t>
  </si>
  <si>
    <t>AGUILERA</t>
  </si>
  <si>
    <t>GONZALO</t>
  </si>
  <si>
    <t>FERNANDO</t>
  </si>
  <si>
    <t>17319810-8</t>
  </si>
  <si>
    <t>CARRASCO</t>
  </si>
  <si>
    <t>FELIPE</t>
  </si>
  <si>
    <t>RODRIGUEZ</t>
  </si>
  <si>
    <t>CUETO</t>
  </si>
  <si>
    <t>13225829-5</t>
  </si>
  <si>
    <t>TOLOZA</t>
  </si>
  <si>
    <t>18843149-6</t>
  </si>
  <si>
    <t>MOSCOSO</t>
  </si>
  <si>
    <t>DANIEL</t>
  </si>
  <si>
    <t>17678108-4</t>
  </si>
  <si>
    <t>DANIELA</t>
  </si>
  <si>
    <t>SANDOVAL</t>
  </si>
  <si>
    <t>GISELA</t>
  </si>
  <si>
    <t>19120950-8</t>
  </si>
  <si>
    <t>19359014-4</t>
  </si>
  <si>
    <t>PINOCHET</t>
  </si>
  <si>
    <t>17904147-2</t>
  </si>
  <si>
    <t>H1</t>
  </si>
  <si>
    <t>HERNANDEZ</t>
  </si>
  <si>
    <t>MATIAS</t>
  </si>
  <si>
    <t>21456295-2</t>
  </si>
  <si>
    <t>ORELLANA</t>
  </si>
  <si>
    <t>CASTILLO</t>
  </si>
  <si>
    <t>MAURICIO</t>
  </si>
  <si>
    <t>16688300-8</t>
  </si>
  <si>
    <t>ROBERTO</t>
  </si>
  <si>
    <t>URIBE</t>
  </si>
  <si>
    <t>ARANCIBIA</t>
  </si>
  <si>
    <t>OVALLE</t>
  </si>
  <si>
    <t>9347291-8</t>
  </si>
  <si>
    <t>BENJAMIN</t>
  </si>
  <si>
    <t>19346121-2</t>
  </si>
  <si>
    <t>ALFREDO</t>
  </si>
  <si>
    <t>SOLIS</t>
  </si>
  <si>
    <t>ÑANCO</t>
  </si>
  <si>
    <t>MILLALEN</t>
  </si>
  <si>
    <t>15248769-K</t>
  </si>
  <si>
    <t>RIOS</t>
  </si>
  <si>
    <t>12915179-K</t>
  </si>
  <si>
    <t>INOSTROZA</t>
  </si>
  <si>
    <t>RINDOLFO</t>
  </si>
  <si>
    <t>11585182-9</t>
  </si>
  <si>
    <t>CAYUQUEO</t>
  </si>
  <si>
    <t>CAMPOS</t>
  </si>
  <si>
    <t>ERWIN</t>
  </si>
  <si>
    <t>17261752-2</t>
  </si>
  <si>
    <t>MUÑOZ</t>
  </si>
  <si>
    <t>15508059-0</t>
  </si>
  <si>
    <t>ABURTO</t>
  </si>
  <si>
    <t>FLORES</t>
  </si>
  <si>
    <t>ELIAS</t>
  </si>
  <si>
    <t>JESUS</t>
  </si>
  <si>
    <t>MAMANI</t>
  </si>
  <si>
    <t>SANCHEZ</t>
  </si>
  <si>
    <t>WILSON</t>
  </si>
  <si>
    <t>HUAYRA</t>
  </si>
  <si>
    <t>FIDEL</t>
  </si>
  <si>
    <t>GENIX</t>
  </si>
  <si>
    <t>DANTAS</t>
  </si>
  <si>
    <t>RAUL</t>
  </si>
  <si>
    <t>VELASQUEZ</t>
  </si>
  <si>
    <t>HELBER</t>
  </si>
  <si>
    <t>PASCUAL</t>
  </si>
  <si>
    <t>EDSON</t>
  </si>
  <si>
    <t>HUACCHA</t>
  </si>
  <si>
    <t>LLANOS</t>
  </si>
  <si>
    <t>PIO</t>
  </si>
  <si>
    <t>MICHUY</t>
  </si>
  <si>
    <t>LADISLAO</t>
  </si>
  <si>
    <t>VIVANCO</t>
  </si>
  <si>
    <t>ALDO</t>
  </si>
  <si>
    <t>TORRE</t>
  </si>
  <si>
    <t>LIDO</t>
  </si>
  <si>
    <t>PALOMINO</t>
  </si>
  <si>
    <t>CABRERA</t>
  </si>
  <si>
    <t>ALARCON</t>
  </si>
  <si>
    <t>ULICES</t>
  </si>
  <si>
    <t>GARCIA</t>
  </si>
  <si>
    <t>SAAVEDRA</t>
  </si>
  <si>
    <t>AMERICO</t>
  </si>
  <si>
    <t>AREVALO</t>
  </si>
  <si>
    <t>HUAMAN</t>
  </si>
  <si>
    <t>PAUCAR</t>
  </si>
  <si>
    <t>ZAMBRANO</t>
  </si>
  <si>
    <t>QUISPE</t>
  </si>
  <si>
    <t>HERMINIO</t>
  </si>
  <si>
    <t>YACTAYO</t>
  </si>
  <si>
    <t>VERGARAY</t>
  </si>
  <si>
    <t>JAIME</t>
  </si>
  <si>
    <t>ACEVEDO</t>
  </si>
  <si>
    <t>CRISTIAN</t>
  </si>
  <si>
    <t>CORTES</t>
  </si>
  <si>
    <t>IGNACIO</t>
  </si>
  <si>
    <t>IVAN</t>
  </si>
  <si>
    <t>QUEZADA</t>
  </si>
  <si>
    <t>MIGUEL</t>
  </si>
  <si>
    <t>15819396-5</t>
  </si>
  <si>
    <t>AVILA</t>
  </si>
  <si>
    <t>CESAR</t>
  </si>
  <si>
    <t>CLAUDIO</t>
  </si>
  <si>
    <t>ROJAS</t>
  </si>
  <si>
    <t>RAMIREZ</t>
  </si>
  <si>
    <t>VARGAS</t>
  </si>
  <si>
    <t>VENEGAS</t>
  </si>
  <si>
    <t>ALEGRIA</t>
  </si>
  <si>
    <t>ARROYO</t>
  </si>
  <si>
    <t>ORTIZ</t>
  </si>
  <si>
    <t>CANDIA</t>
  </si>
  <si>
    <t>ISAAC</t>
  </si>
  <si>
    <t>20550837-6</t>
  </si>
  <si>
    <t>SERGIO</t>
  </si>
  <si>
    <t>DOMINGUEZ</t>
  </si>
  <si>
    <t>SALAZAR</t>
  </si>
  <si>
    <t>CERDA</t>
  </si>
  <si>
    <t>TORRES</t>
  </si>
  <si>
    <t>ALEXIS</t>
  </si>
  <si>
    <t>ROSALES</t>
  </si>
  <si>
    <t>PARRA</t>
  </si>
  <si>
    <t>MARCELO</t>
  </si>
  <si>
    <t>18318800-3</t>
  </si>
  <si>
    <t>11677141-1</t>
  </si>
  <si>
    <t>SANHUEZA</t>
  </si>
  <si>
    <t>RAMOS</t>
  </si>
  <si>
    <t>DIEGO</t>
  </si>
  <si>
    <t>RICARDO</t>
  </si>
  <si>
    <t>REYES</t>
  </si>
  <si>
    <t>BURGOS</t>
  </si>
  <si>
    <t>CEA</t>
  </si>
  <si>
    <t>FIERRO</t>
  </si>
  <si>
    <t>SANTANDER</t>
  </si>
  <si>
    <t>HAROLD</t>
  </si>
  <si>
    <t>ESPINOZA</t>
  </si>
  <si>
    <t>20070824-5</t>
  </si>
  <si>
    <t>PACHECO</t>
  </si>
  <si>
    <t>SOTO</t>
  </si>
  <si>
    <t>GALLARDO</t>
  </si>
  <si>
    <t>JIMENEZ</t>
  </si>
  <si>
    <t>ANGEL</t>
  </si>
  <si>
    <t>ESCOBAR</t>
  </si>
  <si>
    <t>RODOLFO</t>
  </si>
  <si>
    <t>FELIX</t>
  </si>
  <si>
    <t>SALVO</t>
  </si>
  <si>
    <t>CUEVAS</t>
  </si>
  <si>
    <t>SEBASTIAN</t>
  </si>
  <si>
    <t>ESCUDERO</t>
  </si>
  <si>
    <t>ANTONELLA</t>
  </si>
  <si>
    <t>14000392-1</t>
  </si>
  <si>
    <t>DEL VALLE</t>
  </si>
  <si>
    <t>17479133-3</t>
  </si>
  <si>
    <t>HECTOR</t>
  </si>
  <si>
    <t>15974325-K</t>
  </si>
  <si>
    <t>RODRIGO</t>
  </si>
  <si>
    <t>MONTENEGRO</t>
  </si>
  <si>
    <t>JOSÉ</t>
  </si>
  <si>
    <t>COMICHEO</t>
  </si>
  <si>
    <t>VIDAL</t>
  </si>
  <si>
    <t>SOLAR</t>
  </si>
  <si>
    <t>VILLAGRA</t>
  </si>
  <si>
    <t>FUENTEALBA</t>
  </si>
  <si>
    <t>AEDO</t>
  </si>
  <si>
    <t>19090851-8</t>
  </si>
  <si>
    <t>MOLINA</t>
  </si>
  <si>
    <t>MANUEL</t>
  </si>
  <si>
    <t>15820197-6</t>
  </si>
  <si>
    <t>19287191-3</t>
  </si>
  <si>
    <t>YERSON</t>
  </si>
  <si>
    <t>20384563-4</t>
  </si>
  <si>
    <t>17400535-4</t>
  </si>
  <si>
    <t>PAVEZ</t>
  </si>
  <si>
    <t>14032230-K</t>
  </si>
  <si>
    <t>RIFO</t>
  </si>
  <si>
    <t>21273867-0</t>
  </si>
  <si>
    <t>SUSANA</t>
  </si>
  <si>
    <t>COFRE</t>
  </si>
  <si>
    <t>TRONCOSO</t>
  </si>
  <si>
    <t>CISTERNAS</t>
  </si>
  <si>
    <t>ARRIAGADA</t>
  </si>
  <si>
    <t>MANRIQUEZ</t>
  </si>
  <si>
    <t>FIGUEROA</t>
  </si>
  <si>
    <t>CONTRERAS</t>
  </si>
  <si>
    <t>BASTIAN</t>
  </si>
  <si>
    <t>H3</t>
  </si>
  <si>
    <t>PEÑA</t>
  </si>
  <si>
    <t>VARAS</t>
  </si>
  <si>
    <t>VICTOR</t>
  </si>
  <si>
    <t>EDGAR</t>
  </si>
  <si>
    <t>VILLARREAL</t>
  </si>
  <si>
    <t>BRUNA</t>
  </si>
  <si>
    <t>ARAYA</t>
  </si>
  <si>
    <t>EDUARDO</t>
  </si>
  <si>
    <t>16325978-8</t>
  </si>
  <si>
    <t>ZAVALA</t>
  </si>
  <si>
    <t>CID</t>
  </si>
  <si>
    <t>15198618-8</t>
  </si>
  <si>
    <t>11963508-K</t>
  </si>
  <si>
    <t>17764546-K</t>
  </si>
  <si>
    <t>IBACETA</t>
  </si>
  <si>
    <t>PORMA</t>
  </si>
  <si>
    <t>FRANCHESCA</t>
  </si>
  <si>
    <t>20408882-9</t>
  </si>
  <si>
    <t>LEON</t>
  </si>
  <si>
    <t>19045218-2</t>
  </si>
  <si>
    <t>RIFFO</t>
  </si>
  <si>
    <t>15728475-4</t>
  </si>
  <si>
    <t>PEZO</t>
  </si>
  <si>
    <t>15568743-6</t>
  </si>
  <si>
    <t>CONSTANZO</t>
  </si>
  <si>
    <t>JELVEZ</t>
  </si>
  <si>
    <t>14028085-2</t>
  </si>
  <si>
    <t>MONJE</t>
  </si>
  <si>
    <t>GARAY</t>
  </si>
  <si>
    <t>15962839-6</t>
  </si>
  <si>
    <t>LEPE</t>
  </si>
  <si>
    <t>HERRERA</t>
  </si>
  <si>
    <t>11582166-0</t>
  </si>
  <si>
    <t>17446134-1</t>
  </si>
  <si>
    <t>10822787-7</t>
  </si>
  <si>
    <t>ULLOA</t>
  </si>
  <si>
    <t>17814175-9</t>
  </si>
  <si>
    <t>JARAMILLO</t>
  </si>
  <si>
    <t>PAINEQUIR</t>
  </si>
  <si>
    <t>MARIO</t>
  </si>
  <si>
    <t>10351151-8</t>
  </si>
  <si>
    <t>GUERRERO</t>
  </si>
  <si>
    <t>17204833-1</t>
  </si>
  <si>
    <t>20356924-6</t>
  </si>
  <si>
    <t>BRAVO</t>
  </si>
  <si>
    <t>18111892-K</t>
  </si>
  <si>
    <t>RIQUELME</t>
  </si>
  <si>
    <t>18809990-4</t>
  </si>
  <si>
    <t>VEGA</t>
  </si>
  <si>
    <t>BERNARDINO</t>
  </si>
  <si>
    <t>SALAMANCA</t>
  </si>
  <si>
    <t>ARAUNA</t>
  </si>
  <si>
    <t>18414742-4</t>
  </si>
  <si>
    <t>OSCAR</t>
  </si>
  <si>
    <t>15756061-1</t>
  </si>
  <si>
    <t>ARANGUIZ</t>
  </si>
  <si>
    <t>FERNANDOY</t>
  </si>
  <si>
    <t>CHAVEZ</t>
  </si>
  <si>
    <t>13144399-4</t>
  </si>
  <si>
    <t>20411753-5</t>
  </si>
  <si>
    <t>PEREIRA</t>
  </si>
  <si>
    <t>15881750-0</t>
  </si>
  <si>
    <t>SEGURA</t>
  </si>
  <si>
    <t>18296380-1</t>
  </si>
  <si>
    <t>18522943-2</t>
  </si>
  <si>
    <t>MONDACA</t>
  </si>
  <si>
    <t>OSORIO</t>
  </si>
  <si>
    <t>14350133-7</t>
  </si>
  <si>
    <t>LOVERA</t>
  </si>
  <si>
    <t>18142777-9</t>
  </si>
  <si>
    <t>DIAZ</t>
  </si>
  <si>
    <t>FREDY</t>
  </si>
  <si>
    <t>14559347-6</t>
  </si>
  <si>
    <t>VALERIA</t>
  </si>
  <si>
    <t>13072247-4</t>
  </si>
  <si>
    <t>BARRIA</t>
  </si>
  <si>
    <t>OYARZUN</t>
  </si>
  <si>
    <t>10518538-3</t>
  </si>
  <si>
    <t>RAMON</t>
  </si>
  <si>
    <t>15199055-K</t>
  </si>
  <si>
    <t>LUCERO</t>
  </si>
  <si>
    <t>15872186-4</t>
  </si>
  <si>
    <t>18803852-2</t>
  </si>
  <si>
    <t>PINTO</t>
  </si>
  <si>
    <t>19900031-4</t>
  </si>
  <si>
    <t>RUIZ</t>
  </si>
  <si>
    <t>16140832-8</t>
  </si>
  <si>
    <t>CAPRISTAN</t>
  </si>
  <si>
    <t>LARA</t>
  </si>
  <si>
    <t>ORLANDO</t>
  </si>
  <si>
    <t>26113310-5</t>
  </si>
  <si>
    <t>12895277-2</t>
  </si>
  <si>
    <t>VERGARA</t>
  </si>
  <si>
    <t>DE LA JARA</t>
  </si>
  <si>
    <t>GUILLERMO</t>
  </si>
  <si>
    <t>13306171-1</t>
  </si>
  <si>
    <t>REBOLLEDO</t>
  </si>
  <si>
    <t>19549222-0</t>
  </si>
  <si>
    <t>DURAN</t>
  </si>
  <si>
    <t>17187778-4</t>
  </si>
  <si>
    <t>ORTEGA</t>
  </si>
  <si>
    <t>BASAURE</t>
  </si>
  <si>
    <t>ABELARDO</t>
  </si>
  <si>
    <t>16049257-0</t>
  </si>
  <si>
    <t>16090751-7</t>
  </si>
  <si>
    <t>JARA</t>
  </si>
  <si>
    <t>GOMEZ</t>
  </si>
  <si>
    <t xml:space="preserve">ADICIONAL DESAYUNO </t>
  </si>
  <si>
    <t>BUSTOS</t>
  </si>
  <si>
    <t>20037519-K</t>
  </si>
  <si>
    <t>12463574-8</t>
  </si>
  <si>
    <t>19320445-7</t>
  </si>
  <si>
    <t>24337176-7</t>
  </si>
  <si>
    <t>9092883-K</t>
  </si>
  <si>
    <t>10231531-6</t>
  </si>
  <si>
    <t>19454472-3</t>
  </si>
  <si>
    <t>9862021-4</t>
  </si>
  <si>
    <t>11981189-9</t>
  </si>
  <si>
    <t>18374238-8</t>
  </si>
  <si>
    <t>10749588-6</t>
  </si>
  <si>
    <t>12197014-7</t>
  </si>
  <si>
    <t>14290297-4</t>
  </si>
  <si>
    <t>14389879-2</t>
  </si>
  <si>
    <t>15907871-K</t>
  </si>
  <si>
    <t>20413141-4</t>
  </si>
  <si>
    <t>19780776-8</t>
  </si>
  <si>
    <t>BASTIAS</t>
  </si>
  <si>
    <t>ARNOLD</t>
  </si>
  <si>
    <t>LEONEL</t>
  </si>
  <si>
    <t>ESTEBAN</t>
  </si>
  <si>
    <t>DARWING</t>
  </si>
  <si>
    <t>LEIVA</t>
  </si>
  <si>
    <t>HERNAN</t>
  </si>
  <si>
    <t>GALLEGUILLOS</t>
  </si>
  <si>
    <t>VASQUEZ</t>
  </si>
  <si>
    <t>MENDEZ</t>
  </si>
  <si>
    <t>CIFUENTES</t>
  </si>
  <si>
    <t>ROMERO</t>
  </si>
  <si>
    <t>IBARRA</t>
  </si>
  <si>
    <t>CRESPO</t>
  </si>
  <si>
    <t>FUENZALIDA</t>
  </si>
  <si>
    <t>SILVA</t>
  </si>
  <si>
    <t>16818093-4</t>
  </si>
  <si>
    <t>19038296-6</t>
  </si>
  <si>
    <t>PEDRO</t>
  </si>
  <si>
    <t>15190004-6</t>
  </si>
  <si>
    <t>BERNAL</t>
  </si>
  <si>
    <t>MATURANA</t>
  </si>
  <si>
    <t>IBAÑEZ</t>
  </si>
  <si>
    <t>VALENCIA</t>
  </si>
  <si>
    <t>MALDONADO</t>
  </si>
  <si>
    <t>12818204-7</t>
  </si>
  <si>
    <t>17545154-4</t>
  </si>
  <si>
    <t>13388937-K</t>
  </si>
  <si>
    <t>12602022-8</t>
  </si>
  <si>
    <t>FRANCO</t>
  </si>
  <si>
    <t>NUÑEZ</t>
  </si>
  <si>
    <t>GERARDO</t>
  </si>
  <si>
    <t>ALOJAMIENTO  H1</t>
  </si>
  <si>
    <t>ALOJAMIENTO H3</t>
  </si>
  <si>
    <t>ALOJAMIENTO ACON</t>
  </si>
  <si>
    <t>ALMUERZOS AC</t>
  </si>
  <si>
    <t>ALMUERZOS H1</t>
  </si>
  <si>
    <t>ADICIONAL DESAYUNO</t>
  </si>
  <si>
    <t>MARTIN</t>
  </si>
  <si>
    <t>OVIEDO</t>
  </si>
  <si>
    <t>QUIJADA</t>
  </si>
  <si>
    <t>RAMIRO</t>
  </si>
  <si>
    <t>12705484-3</t>
  </si>
  <si>
    <t>11901926-5</t>
  </si>
  <si>
    <t>20379072-4</t>
  </si>
  <si>
    <t>13626685-3</t>
  </si>
  <si>
    <t>HUENTENAO</t>
  </si>
  <si>
    <t>GARRETON</t>
  </si>
  <si>
    <t>CORONADO</t>
  </si>
  <si>
    <t>QUINTANA</t>
  </si>
  <si>
    <t>ARANEDA</t>
  </si>
  <si>
    <t>11789833-4</t>
  </si>
  <si>
    <t>12187987-5</t>
  </si>
  <si>
    <t>19123612-2</t>
  </si>
  <si>
    <t>VILLANUEVA</t>
  </si>
  <si>
    <t>16037431-4</t>
  </si>
  <si>
    <t>MELLADO</t>
  </si>
  <si>
    <t>20513904-4</t>
  </si>
  <si>
    <t>20907528-8</t>
  </si>
  <si>
    <t>GERALD</t>
  </si>
  <si>
    <t>NAVARRETE</t>
  </si>
  <si>
    <t>CARMONA</t>
  </si>
  <si>
    <t>DAROCH</t>
  </si>
  <si>
    <t>DENIS</t>
  </si>
  <si>
    <t>GARCES</t>
  </si>
  <si>
    <t>16641048-7</t>
  </si>
  <si>
    <t>13382676-9</t>
  </si>
  <si>
    <t>20152621-3</t>
  </si>
  <si>
    <t>18411429-1</t>
  </si>
  <si>
    <t>ARELLANO</t>
  </si>
  <si>
    <t>CARO</t>
  </si>
  <si>
    <t>PINO</t>
  </si>
  <si>
    <t>ALONSO</t>
  </si>
  <si>
    <t>MEDINA</t>
  </si>
  <si>
    <t>GOVET</t>
  </si>
  <si>
    <t>MARIN</t>
  </si>
  <si>
    <t>12025317-4</t>
  </si>
  <si>
    <t>17196576-4</t>
  </si>
  <si>
    <t>17868178-8</t>
  </si>
  <si>
    <t>20489492-2</t>
  </si>
  <si>
    <t>19927836-3</t>
  </si>
  <si>
    <t>12051577-2</t>
  </si>
  <si>
    <t>16827294-4</t>
  </si>
  <si>
    <t>REINALDO</t>
  </si>
  <si>
    <t>NESTOR</t>
  </si>
  <si>
    <t>SANGUINETTI</t>
  </si>
  <si>
    <t>LUNA</t>
  </si>
  <si>
    <t>14027749-5</t>
  </si>
  <si>
    <t>15503449-1</t>
  </si>
  <si>
    <t>15499412-2</t>
  </si>
  <si>
    <t>21269464-9</t>
  </si>
  <si>
    <t>15160416-1</t>
  </si>
  <si>
    <t>18067804-2</t>
  </si>
  <si>
    <t xml:space="preserve">VALENTINA </t>
  </si>
  <si>
    <t>CRISTÓBAL</t>
  </si>
  <si>
    <t>19527019-8</t>
  </si>
  <si>
    <t>13726534-6</t>
  </si>
  <si>
    <t>EDWAR</t>
  </si>
  <si>
    <t>19297281-7</t>
  </si>
  <si>
    <t>01 AL 30 DE JUNIO</t>
  </si>
  <si>
    <t>14494698-7</t>
  </si>
  <si>
    <t>GONZALES</t>
  </si>
  <si>
    <t>CRISTOPHER</t>
  </si>
  <si>
    <t>HERMOSILLA</t>
  </si>
  <si>
    <t>BUSTAMANTE</t>
  </si>
  <si>
    <t>TRIGO</t>
  </si>
  <si>
    <t>SATALAYA</t>
  </si>
  <si>
    <t>HUAMACTO</t>
  </si>
  <si>
    <t>CIRIACO</t>
  </si>
  <si>
    <t>TUESTA</t>
  </si>
  <si>
    <t>JUVELIO</t>
  </si>
  <si>
    <t>ARAUJO</t>
  </si>
  <si>
    <t>BELMAR</t>
  </si>
  <si>
    <t>JAVIER</t>
  </si>
  <si>
    <t>CRISTOBAL</t>
  </si>
  <si>
    <t>COVARRUBIAS</t>
  </si>
  <si>
    <t>PAVES</t>
  </si>
  <si>
    <t>JAVIERA</t>
  </si>
  <si>
    <t>17353868-5</t>
  </si>
  <si>
    <t>CONSUELO</t>
  </si>
  <si>
    <t>ARCE</t>
  </si>
  <si>
    <t>KATHERINE</t>
  </si>
  <si>
    <t>PEZOA</t>
  </si>
  <si>
    <t>AMESTICA</t>
  </si>
  <si>
    <t>QUEVEDO</t>
  </si>
  <si>
    <t>MERINO</t>
  </si>
  <si>
    <t>GUZMAN</t>
  </si>
  <si>
    <t>MIGUELES</t>
  </si>
  <si>
    <t>CERNA</t>
  </si>
  <si>
    <t>VELIZ</t>
  </si>
  <si>
    <t>19408470-6</t>
  </si>
  <si>
    <t>16728609-7</t>
  </si>
  <si>
    <t>20101406-9</t>
  </si>
  <si>
    <t>19720960-7</t>
  </si>
  <si>
    <t>18024668-1</t>
  </si>
  <si>
    <t>19278457-3</t>
  </si>
  <si>
    <t>15188041-K</t>
  </si>
  <si>
    <t>ALVAREZ</t>
  </si>
  <si>
    <t>BARRA</t>
  </si>
  <si>
    <t>NAVEA</t>
  </si>
  <si>
    <t>12188198-5</t>
  </si>
  <si>
    <t>NECULMAN</t>
  </si>
  <si>
    <t>13316376-K</t>
  </si>
  <si>
    <t>PICHON</t>
  </si>
  <si>
    <t>NORIN</t>
  </si>
  <si>
    <t>18683847-5</t>
  </si>
  <si>
    <t>CÓRDOVA</t>
  </si>
  <si>
    <t>20322176-2</t>
  </si>
  <si>
    <t>20618653-4</t>
  </si>
  <si>
    <t>FARIÑA</t>
  </si>
  <si>
    <t>20514920-1</t>
  </si>
  <si>
    <t>VILCHES</t>
  </si>
  <si>
    <t>JONATHAN</t>
  </si>
  <si>
    <t>SHERIDAN</t>
  </si>
  <si>
    <t>FEDERICO</t>
  </si>
  <si>
    <t>ANTINAO</t>
  </si>
  <si>
    <t>CALFIQUEO</t>
  </si>
  <si>
    <t>SCHIPMANN</t>
  </si>
  <si>
    <t>CARCAMO</t>
  </si>
  <si>
    <t>TOLEDO</t>
  </si>
  <si>
    <t>URRIOLA</t>
  </si>
  <si>
    <t>VILIA</t>
  </si>
  <si>
    <t>ROJO</t>
  </si>
  <si>
    <t>12973286-5</t>
  </si>
  <si>
    <t>20660891-9</t>
  </si>
  <si>
    <t>20580973-2</t>
  </si>
  <si>
    <t>19351605-K</t>
  </si>
  <si>
    <t>ESCABAL</t>
  </si>
  <si>
    <t>LISSETTE</t>
  </si>
  <si>
    <t>19878941-0</t>
  </si>
  <si>
    <t>ARACIBIA</t>
  </si>
  <si>
    <t>ROCO</t>
  </si>
  <si>
    <t>13949407-5</t>
  </si>
  <si>
    <t>VILLEGAS</t>
  </si>
  <si>
    <t>ANIBAL</t>
  </si>
  <si>
    <t>18900701-1</t>
  </si>
  <si>
    <t>AGUSTIN</t>
  </si>
  <si>
    <t>14727466-1</t>
  </si>
  <si>
    <t>15330424-6</t>
  </si>
  <si>
    <t>HURVINA</t>
  </si>
  <si>
    <t xml:space="preserve"> CUETO</t>
  </si>
  <si>
    <t>42B</t>
  </si>
  <si>
    <t>43B</t>
  </si>
  <si>
    <t>26B</t>
  </si>
  <si>
    <t>44B</t>
  </si>
  <si>
    <t>AUGUSTO</t>
  </si>
  <si>
    <t>JACINTO</t>
  </si>
  <si>
    <t>19654042-3</t>
  </si>
  <si>
    <t>VELIS</t>
  </si>
  <si>
    <t xml:space="preserve">AVILA </t>
  </si>
  <si>
    <t>CYNTHIA</t>
  </si>
  <si>
    <t xml:space="preserve">JAVIERA </t>
  </si>
  <si>
    <t xml:space="preserve">DANIELA </t>
  </si>
  <si>
    <t>ZAMORANO</t>
  </si>
  <si>
    <t>GILBERTO</t>
  </si>
  <si>
    <t xml:space="preserve">ANDERSON </t>
  </si>
  <si>
    <t>JOVANNI</t>
  </si>
  <si>
    <t>16768895-0</t>
  </si>
  <si>
    <t>15938076-9</t>
  </si>
  <si>
    <t>12B</t>
  </si>
  <si>
    <t>IMIHUALA</t>
  </si>
  <si>
    <t>COLLILEF</t>
  </si>
  <si>
    <t>19553112-9</t>
  </si>
  <si>
    <t>HUIRCAPAN</t>
  </si>
  <si>
    <t xml:space="preserve">RUCAN </t>
  </si>
  <si>
    <t>10332868-3</t>
  </si>
  <si>
    <t xml:space="preserve">BUSTOS </t>
  </si>
  <si>
    <t>FRANK</t>
  </si>
  <si>
    <t>20364247-4</t>
  </si>
  <si>
    <t>14273288-2</t>
  </si>
  <si>
    <t>ANGULO</t>
  </si>
  <si>
    <t>MARQUEZ</t>
  </si>
  <si>
    <t>9972192-8</t>
  </si>
  <si>
    <t>10367357-2</t>
  </si>
  <si>
    <t>11579721-2</t>
  </si>
  <si>
    <t>OLATE</t>
  </si>
  <si>
    <t>19565749-0</t>
  </si>
  <si>
    <t>VIEDMA</t>
  </si>
  <si>
    <t>LUCAS</t>
  </si>
  <si>
    <t>11183349-4</t>
  </si>
  <si>
    <t>TOTAL HOSPEDADOS H1, H3, H7 Y AC</t>
  </si>
  <si>
    <t>CORRELATIVO N°4</t>
  </si>
  <si>
    <t>01 AL 31 DE JULIO</t>
  </si>
  <si>
    <t>11295257-8</t>
  </si>
  <si>
    <t>21B</t>
  </si>
  <si>
    <t>OGEDA</t>
  </si>
  <si>
    <t>20839872-2</t>
  </si>
  <si>
    <t>HENRRIQUEZ</t>
  </si>
  <si>
    <t>19194420-4</t>
  </si>
  <si>
    <t>JEAN</t>
  </si>
  <si>
    <t>16825187-3</t>
  </si>
  <si>
    <t>MORAGA</t>
  </si>
  <si>
    <t>POBLETE</t>
  </si>
  <si>
    <t>19777682-K</t>
  </si>
  <si>
    <t>SANTELICES</t>
  </si>
  <si>
    <t>13856349-9</t>
  </si>
  <si>
    <t>CRISTOFER</t>
  </si>
  <si>
    <t>15568474-7</t>
  </si>
  <si>
    <t>SALGADO</t>
  </si>
  <si>
    <t>GAETE</t>
  </si>
  <si>
    <t>18233824-9</t>
  </si>
  <si>
    <t>AMPUERO</t>
  </si>
  <si>
    <t>7910608-9</t>
  </si>
  <si>
    <t>LABRIN</t>
  </si>
  <si>
    <t>RUBEN</t>
  </si>
  <si>
    <t>19421525-8</t>
  </si>
  <si>
    <t>BASCUR</t>
  </si>
  <si>
    <t>ARTURO</t>
  </si>
  <si>
    <t>9715707-3</t>
  </si>
  <si>
    <t>ARENAS</t>
  </si>
  <si>
    <t>15596612-2</t>
  </si>
  <si>
    <t>9883370-6</t>
  </si>
  <si>
    <t>11683054-K</t>
  </si>
  <si>
    <t>DAVID</t>
  </si>
  <si>
    <t>17043891-4</t>
  </si>
  <si>
    <t>NAVARRO</t>
  </si>
  <si>
    <t>GÓMEZ</t>
  </si>
  <si>
    <t>ANGELO</t>
  </si>
  <si>
    <t>16571995-6</t>
  </si>
  <si>
    <t>16514562-3</t>
  </si>
  <si>
    <t>13358916-3</t>
  </si>
  <si>
    <t>YAMBAMINI</t>
  </si>
  <si>
    <t>AGUARTA</t>
  </si>
  <si>
    <t>26816504-5</t>
  </si>
  <si>
    <t>11777836-3</t>
  </si>
  <si>
    <t>LASTARRIA</t>
  </si>
  <si>
    <t>RUARTE</t>
  </si>
  <si>
    <t>HERMAN</t>
  </si>
  <si>
    <t>11506100-3</t>
  </si>
  <si>
    <t>VEJAR</t>
  </si>
  <si>
    <t>14207222-K</t>
  </si>
  <si>
    <t>GUERRA</t>
  </si>
  <si>
    <t>MICHAEL</t>
  </si>
  <si>
    <t>18082022-1</t>
  </si>
  <si>
    <t>EDISON</t>
  </si>
  <si>
    <t>11295426-0</t>
  </si>
  <si>
    <t>21959229-9</t>
  </si>
  <si>
    <t>BREVIS</t>
  </si>
  <si>
    <t>15192946-K</t>
  </si>
  <si>
    <t>ACUÑA</t>
  </si>
  <si>
    <t>14483614-6</t>
  </si>
  <si>
    <t>LEAL</t>
  </si>
  <si>
    <t>ANDRADE</t>
  </si>
  <si>
    <t>YONY</t>
  </si>
  <si>
    <t>13958870-3</t>
  </si>
  <si>
    <t>21025854-K</t>
  </si>
  <si>
    <t>SAN</t>
  </si>
  <si>
    <t>20657245-0</t>
  </si>
  <si>
    <t>MARLON</t>
  </si>
  <si>
    <t>21855813-5</t>
  </si>
  <si>
    <t>CATRIL</t>
  </si>
  <si>
    <t>BRIAN</t>
  </si>
  <si>
    <t>20195536-K</t>
  </si>
  <si>
    <t>MELLA</t>
  </si>
  <si>
    <t>14372693-2</t>
  </si>
  <si>
    <t>13604034-0</t>
  </si>
  <si>
    <t>ALVIAL</t>
  </si>
  <si>
    <t>MARDONES</t>
  </si>
  <si>
    <t>19532202-3</t>
  </si>
  <si>
    <t>GABRIEL</t>
  </si>
  <si>
    <t>15177095-9</t>
  </si>
  <si>
    <t>ALEX</t>
  </si>
  <si>
    <t>11681428-5</t>
  </si>
  <si>
    <t>QUILAPI</t>
  </si>
  <si>
    <t>MIRCO</t>
  </si>
  <si>
    <t>20194673-5</t>
  </si>
  <si>
    <t>11351812-K</t>
  </si>
  <si>
    <t>CABEZA</t>
  </si>
  <si>
    <t>13383289-0</t>
  </si>
  <si>
    <t>HIGUERAS</t>
  </si>
  <si>
    <t>16599767-0</t>
  </si>
  <si>
    <t>PASCAL</t>
  </si>
  <si>
    <t>ERASMO</t>
  </si>
  <si>
    <t>11793042-4</t>
  </si>
  <si>
    <t>CALFUEQUE</t>
  </si>
  <si>
    <t>VERA</t>
  </si>
  <si>
    <t>DAGOBERTO</t>
  </si>
  <si>
    <t>15554007-9</t>
  </si>
  <si>
    <t>LAGOS</t>
  </si>
  <si>
    <t>VALDES</t>
  </si>
  <si>
    <t>16058200-6</t>
  </si>
  <si>
    <t>BELTRAN</t>
  </si>
  <si>
    <t>20515488-4</t>
  </si>
  <si>
    <t>16405105-6</t>
  </si>
  <si>
    <t>15616195-0</t>
  </si>
  <si>
    <t>PUELPAN</t>
  </si>
  <si>
    <t>17897010-0</t>
  </si>
  <si>
    <t>KIARA</t>
  </si>
  <si>
    <t>21480690-8</t>
  </si>
  <si>
    <t>ARIAS</t>
  </si>
  <si>
    <t>LIZANA</t>
  </si>
  <si>
    <t>CAMILA</t>
  </si>
  <si>
    <t>18476209-9</t>
  </si>
  <si>
    <t>14577724-0</t>
  </si>
  <si>
    <t>HIDALGO</t>
  </si>
  <si>
    <t>16239084-8</t>
  </si>
  <si>
    <t>12701863-4</t>
  </si>
  <si>
    <t>HUILIPAN</t>
  </si>
  <si>
    <t>20515633-K</t>
  </si>
  <si>
    <t>BECERRA</t>
  </si>
  <si>
    <t>9633585-7</t>
  </si>
  <si>
    <t>VILLAMAN</t>
  </si>
  <si>
    <t>10317073-7</t>
  </si>
  <si>
    <t>ZAPATA</t>
  </si>
  <si>
    <t>20149800-7</t>
  </si>
  <si>
    <t>16708275-0</t>
  </si>
  <si>
    <t>ORMEÑO</t>
  </si>
  <si>
    <t>PALMA</t>
  </si>
  <si>
    <t>12384445-9</t>
  </si>
  <si>
    <t>TAPIA</t>
  </si>
  <si>
    <t>9562297-6</t>
  </si>
  <si>
    <t>GARRIDO</t>
  </si>
  <si>
    <t>17845281-9</t>
  </si>
  <si>
    <t>17003144-K</t>
  </si>
  <si>
    <t>WLADIMIR</t>
  </si>
  <si>
    <t>17561264-5</t>
  </si>
  <si>
    <t>19677167-0</t>
  </si>
  <si>
    <t>CISTERNA</t>
  </si>
  <si>
    <t>OJEDA</t>
  </si>
  <si>
    <t>17549110-4</t>
  </si>
  <si>
    <t>ERIK</t>
  </si>
  <si>
    <t>16154557-0</t>
  </si>
  <si>
    <t>LLANCAPAN</t>
  </si>
  <si>
    <t>MICHEL</t>
  </si>
  <si>
    <t>13199156-8</t>
  </si>
  <si>
    <t>PAINEMIL</t>
  </si>
  <si>
    <t>20932689-2</t>
  </si>
  <si>
    <t>AVENDAÑO</t>
  </si>
  <si>
    <t>20014950-5</t>
  </si>
  <si>
    <t>FARIAS</t>
  </si>
  <si>
    <t>18081213-K</t>
  </si>
  <si>
    <t>BORQUEZ</t>
  </si>
  <si>
    <t>ABRAHAM</t>
  </si>
  <si>
    <t>11777970-K</t>
  </si>
  <si>
    <t>WILLIAMS</t>
  </si>
  <si>
    <t>DUVAL</t>
  </si>
  <si>
    <t>20076544-3</t>
  </si>
  <si>
    <t>IRRIBARRA</t>
  </si>
  <si>
    <t>17842500-5</t>
  </si>
  <si>
    <t>18279851-7</t>
  </si>
  <si>
    <t>HUERMAN</t>
  </si>
  <si>
    <t>19835830-4</t>
  </si>
  <si>
    <t>19510126-4</t>
  </si>
  <si>
    <t>BRIONES</t>
  </si>
  <si>
    <t>FRIZ</t>
  </si>
  <si>
    <t>16444641-7</t>
  </si>
  <si>
    <t>ROZAS</t>
  </si>
  <si>
    <t>19250852-5</t>
  </si>
  <si>
    <t>ARANDA</t>
  </si>
  <si>
    <t>15778028-K</t>
  </si>
  <si>
    <t>PIZARRO</t>
  </si>
  <si>
    <t>KLEIN</t>
  </si>
  <si>
    <t>12501155-1</t>
  </si>
  <si>
    <t>CABEZAS</t>
  </si>
  <si>
    <t>NEILAF</t>
  </si>
  <si>
    <t>10420238-1</t>
  </si>
  <si>
    <t>15944562-3</t>
  </si>
  <si>
    <t>LOPEZ</t>
  </si>
  <si>
    <t>12602975-6</t>
  </si>
  <si>
    <t>PLACENCIA</t>
  </si>
  <si>
    <t>CHANDIA</t>
  </si>
  <si>
    <t>17640226-1</t>
  </si>
  <si>
    <t>ECHEVERRIA</t>
  </si>
  <si>
    <t>15589388-5</t>
  </si>
  <si>
    <t>MARTINEZ</t>
  </si>
  <si>
    <t>LAVIN</t>
  </si>
  <si>
    <t>13134007-9</t>
  </si>
  <si>
    <t>MIRANDA</t>
  </si>
  <si>
    <t>20112892-7</t>
  </si>
  <si>
    <t>UREN</t>
  </si>
  <si>
    <t>21268498-8</t>
  </si>
  <si>
    <t>16652531-4</t>
  </si>
  <si>
    <t>SANZANA</t>
  </si>
  <si>
    <t>LOBERA</t>
  </si>
  <si>
    <t>19538971-3</t>
  </si>
  <si>
    <t>DAZA</t>
  </si>
  <si>
    <t>BADILLA</t>
  </si>
  <si>
    <t>10754592-1</t>
  </si>
  <si>
    <t>GRANDON</t>
  </si>
  <si>
    <t>GADIEL</t>
  </si>
  <si>
    <t>16774022-7</t>
  </si>
  <si>
    <t>IVER</t>
  </si>
  <si>
    <t>16878679-4</t>
  </si>
  <si>
    <t>SEGUNDO</t>
  </si>
  <si>
    <t>16306206-2</t>
  </si>
  <si>
    <t>ARDILES</t>
  </si>
  <si>
    <t>DONOSO</t>
  </si>
  <si>
    <t>17388585-7</t>
  </si>
  <si>
    <t>17413905-9</t>
  </si>
  <si>
    <t>ITRIAGO</t>
  </si>
  <si>
    <t>26276143-6</t>
  </si>
  <si>
    <t>14546104-9</t>
  </si>
  <si>
    <t>AHUMADA</t>
  </si>
  <si>
    <t>19105072-K</t>
  </si>
  <si>
    <t>URZUA</t>
  </si>
  <si>
    <t>19042549-5</t>
  </si>
  <si>
    <t>11372628-8</t>
  </si>
  <si>
    <t>22428439-K</t>
  </si>
  <si>
    <t>MONARES</t>
  </si>
  <si>
    <t>MATAMALA</t>
  </si>
  <si>
    <t>FERMIN</t>
  </si>
  <si>
    <t>9836126-K</t>
  </si>
  <si>
    <t>OLIVER</t>
  </si>
  <si>
    <t>19000720-0</t>
  </si>
  <si>
    <t>13852202-4</t>
  </si>
  <si>
    <t>RIVAS</t>
  </si>
  <si>
    <t>JOAQUIN</t>
  </si>
  <si>
    <t>18573870-1</t>
  </si>
  <si>
    <t>15473281-0</t>
  </si>
  <si>
    <t>SEGUEL</t>
  </si>
  <si>
    <t>GUIDO</t>
  </si>
  <si>
    <t>17641524-K</t>
  </si>
  <si>
    <t>MATUS</t>
  </si>
  <si>
    <t>14059897-6</t>
  </si>
  <si>
    <t>PUENTES</t>
  </si>
  <si>
    <t>LEANDRO</t>
  </si>
  <si>
    <t>16873475-1</t>
  </si>
  <si>
    <t>PRADO</t>
  </si>
  <si>
    <t>17969365-8</t>
  </si>
  <si>
    <t>POMERI</t>
  </si>
  <si>
    <t>13310910-2</t>
  </si>
  <si>
    <t>SALAS</t>
  </si>
  <si>
    <t>14602558-7</t>
  </si>
  <si>
    <t>OLGUIN</t>
  </si>
  <si>
    <t>16539370-8</t>
  </si>
  <si>
    <t>16805937-K</t>
  </si>
  <si>
    <t>ROLDAN</t>
  </si>
  <si>
    <t>18283239-1</t>
  </si>
  <si>
    <t>ARIEL</t>
  </si>
  <si>
    <t>19717188-K</t>
  </si>
  <si>
    <t>12529202-K</t>
  </si>
  <si>
    <t>ALMONACID</t>
  </si>
  <si>
    <t>GERSON</t>
  </si>
  <si>
    <t>19799878-4</t>
  </si>
  <si>
    <t>15224105-4</t>
  </si>
  <si>
    <t>18812093-8</t>
  </si>
  <si>
    <t>QUIÑILEN</t>
  </si>
  <si>
    <t>CABRAPAN</t>
  </si>
  <si>
    <t>EDGARDO</t>
  </si>
  <si>
    <t>17153756-8</t>
  </si>
  <si>
    <t>TELLO</t>
  </si>
  <si>
    <t>16582639-6</t>
  </si>
  <si>
    <t>CARES</t>
  </si>
  <si>
    <t>12512803-3</t>
  </si>
  <si>
    <t>MONSALVE</t>
  </si>
  <si>
    <t>11903598-8</t>
  </si>
  <si>
    <t>11152410-6</t>
  </si>
  <si>
    <t>17223336-8</t>
  </si>
  <si>
    <t>15206738-0</t>
  </si>
  <si>
    <t>CARIAGA</t>
  </si>
  <si>
    <t>18135361-9</t>
  </si>
  <si>
    <t>GANGA</t>
  </si>
  <si>
    <t>20229204-6</t>
  </si>
  <si>
    <t>GAMBOA</t>
  </si>
  <si>
    <t>12664478-7</t>
  </si>
  <si>
    <t>15470755-7</t>
  </si>
  <si>
    <t>SARAVIA</t>
  </si>
  <si>
    <t>13150178-1</t>
  </si>
  <si>
    <t>14083002-K</t>
  </si>
  <si>
    <t>1B</t>
  </si>
  <si>
    <t>20681999-5</t>
  </si>
  <si>
    <t>MARAMBIO</t>
  </si>
  <si>
    <t>SALINAS</t>
  </si>
  <si>
    <t>9253816-8</t>
  </si>
  <si>
    <t>5B</t>
  </si>
  <si>
    <t>GORIGOITIA</t>
  </si>
  <si>
    <t>FERNANDEZ</t>
  </si>
  <si>
    <t>JHUREE</t>
  </si>
  <si>
    <t>10072426-K</t>
  </si>
  <si>
    <t>AGUILA</t>
  </si>
  <si>
    <t>15005762-0</t>
  </si>
  <si>
    <t>CCACALA</t>
  </si>
  <si>
    <t>YANSAPI</t>
  </si>
  <si>
    <t>HANCO</t>
  </si>
  <si>
    <t>NOVOA</t>
  </si>
  <si>
    <t>NEIRA</t>
  </si>
  <si>
    <t>15183952-5</t>
  </si>
  <si>
    <t>18433996-K</t>
  </si>
  <si>
    <t xml:space="preserve">VIEDMA </t>
  </si>
  <si>
    <t>17641321-2</t>
  </si>
  <si>
    <t>MALTRAIN</t>
  </si>
  <si>
    <t>11496095-0</t>
  </si>
  <si>
    <t>PIA</t>
  </si>
  <si>
    <t>JUANA</t>
  </si>
  <si>
    <t>19573149-7</t>
  </si>
  <si>
    <t>19633434-3</t>
  </si>
  <si>
    <t>CONCHA</t>
  </si>
  <si>
    <t>ARODI</t>
  </si>
  <si>
    <t>10011945-5</t>
  </si>
  <si>
    <t>URBINA</t>
  </si>
  <si>
    <t>OLIVARS</t>
  </si>
  <si>
    <t>EDWARD</t>
  </si>
  <si>
    <t>20401406-9</t>
  </si>
  <si>
    <t>8X6</t>
  </si>
  <si>
    <t>VALDERRAMA</t>
  </si>
  <si>
    <t>DARLETH</t>
  </si>
  <si>
    <t>PRISCILA</t>
  </si>
  <si>
    <t>MENA</t>
  </si>
  <si>
    <t>HENRIQUEZ</t>
  </si>
  <si>
    <t>MOLLO</t>
  </si>
  <si>
    <t>ORDINOLA</t>
  </si>
  <si>
    <t>YAÑEZ</t>
  </si>
  <si>
    <t>LEONARDO</t>
  </si>
  <si>
    <t>LOZANO</t>
  </si>
  <si>
    <t>RIASCOS</t>
  </si>
  <si>
    <t>LINTON</t>
  </si>
  <si>
    <t>BARRIGA</t>
  </si>
  <si>
    <t>15193371-8</t>
  </si>
  <si>
    <t>27453592-K</t>
  </si>
  <si>
    <t>15670296-K</t>
  </si>
  <si>
    <t>10091730-0</t>
  </si>
  <si>
    <t>13025138-2</t>
  </si>
  <si>
    <t>16736619-8</t>
  </si>
  <si>
    <t>20210460-6</t>
  </si>
  <si>
    <t>20941532-1</t>
  </si>
  <si>
    <t>RUCAN</t>
  </si>
  <si>
    <t>18906701-1</t>
  </si>
  <si>
    <t>OYARCE</t>
  </si>
  <si>
    <t>ZAMORA</t>
  </si>
  <si>
    <t>ABEL</t>
  </si>
  <si>
    <t>14099838-9</t>
  </si>
  <si>
    <t>13957122-3</t>
  </si>
  <si>
    <t>20891578-9</t>
  </si>
  <si>
    <t>POLANCO</t>
  </si>
  <si>
    <t>17287619-6</t>
  </si>
  <si>
    <t>10367357-7</t>
  </si>
  <si>
    <t xml:space="preserve">VENEGAS </t>
  </si>
  <si>
    <t xml:space="preserve">DAVID </t>
  </si>
  <si>
    <t>20152964-6</t>
  </si>
  <si>
    <t>19565744-0</t>
  </si>
  <si>
    <t>REYNAL</t>
  </si>
  <si>
    <t>12429160-7</t>
  </si>
  <si>
    <t>16823187-3</t>
  </si>
  <si>
    <t>16954295-3</t>
  </si>
  <si>
    <t>LISETTE</t>
  </si>
  <si>
    <t>PUGA</t>
  </si>
  <si>
    <t>12789118-4</t>
  </si>
  <si>
    <t>PAZ</t>
  </si>
  <si>
    <t>12963938-5</t>
  </si>
  <si>
    <t>9299666-2</t>
  </si>
  <si>
    <t>15569834-9</t>
  </si>
  <si>
    <t>13725970-2</t>
  </si>
  <si>
    <t>BARRERA</t>
  </si>
  <si>
    <t>14341569-4</t>
  </si>
  <si>
    <t>DE</t>
  </si>
  <si>
    <t>LIZANO</t>
  </si>
  <si>
    <t>20611553-K</t>
  </si>
  <si>
    <t>LANAS</t>
  </si>
  <si>
    <t>VALDENEGRO</t>
  </si>
  <si>
    <t>18037466-3</t>
  </si>
  <si>
    <t>ALEXI</t>
  </si>
  <si>
    <t>CODERCH</t>
  </si>
  <si>
    <t>20133484-5</t>
  </si>
  <si>
    <t>19600224-3</t>
  </si>
  <si>
    <t>RUBILAR</t>
  </si>
  <si>
    <t>17361503-5</t>
  </si>
  <si>
    <t>VIVEROS</t>
  </si>
  <si>
    <t>12199848-3</t>
  </si>
  <si>
    <t>17259780-7</t>
  </si>
  <si>
    <t>20384872-2</t>
  </si>
  <si>
    <t>19194470-4</t>
  </si>
  <si>
    <t>39B</t>
  </si>
  <si>
    <t>17192053-1</t>
  </si>
  <si>
    <t>11B</t>
  </si>
  <si>
    <t>31B</t>
  </si>
  <si>
    <t>33B</t>
  </si>
  <si>
    <t>ARAVENA</t>
  </si>
  <si>
    <t>VAZQUEZ</t>
  </si>
  <si>
    <t>MARCOS</t>
  </si>
  <si>
    <t>18501057-0</t>
  </si>
  <si>
    <t>MORENO</t>
  </si>
  <si>
    <t>13726440-4</t>
  </si>
  <si>
    <t>41B</t>
  </si>
  <si>
    <t>AGUAYO</t>
  </si>
  <si>
    <t>10073590-3</t>
  </si>
  <si>
    <t>16765205-0</t>
  </si>
  <si>
    <t>18810893-8</t>
  </si>
  <si>
    <t>JORDAN</t>
  </si>
  <si>
    <t>19578427-2</t>
  </si>
  <si>
    <t>4B</t>
  </si>
  <si>
    <t>AVILES</t>
  </si>
  <si>
    <t>13344434-3</t>
  </si>
  <si>
    <t>28B</t>
  </si>
  <si>
    <t>22243103-4</t>
  </si>
  <si>
    <t>GUSTAVO</t>
  </si>
  <si>
    <t>RENZO</t>
  </si>
  <si>
    <t>14179775-1</t>
  </si>
  <si>
    <t>15822351-1</t>
  </si>
  <si>
    <t>13238798-2</t>
  </si>
  <si>
    <t>12351358-4</t>
  </si>
  <si>
    <t>15188863-1</t>
  </si>
  <si>
    <t>DAZA </t>
  </si>
  <si>
    <t>AGUILERA </t>
  </si>
  <si>
    <t>ARAVENA </t>
  </si>
  <si>
    <t>BARRARE</t>
  </si>
  <si>
    <t>LANDERO</t>
  </si>
  <si>
    <t>11241778-8</t>
  </si>
  <si>
    <t>AYALA</t>
  </si>
  <si>
    <t>HUMBERTO</t>
  </si>
  <si>
    <t>8849655-8</t>
  </si>
  <si>
    <t>CACERES</t>
  </si>
  <si>
    <t>13762738-8</t>
  </si>
  <si>
    <t xml:space="preserve">MICHAEL </t>
  </si>
  <si>
    <t>19376474-6</t>
  </si>
  <si>
    <t>16504476-2</t>
  </si>
  <si>
    <t>ALMAZABAL</t>
  </si>
  <si>
    <t>OMERANDO</t>
  </si>
  <si>
    <t>14444202-4</t>
  </si>
  <si>
    <t>CANCINO</t>
  </si>
  <si>
    <t>15222340-4</t>
  </si>
  <si>
    <t xml:space="preserve">JARPA </t>
  </si>
  <si>
    <t>14210107-6</t>
  </si>
  <si>
    <t>19908182-9</t>
  </si>
  <si>
    <t>CANALES</t>
  </si>
  <si>
    <t>21830481-8</t>
  </si>
  <si>
    <t>ADAMAS</t>
  </si>
  <si>
    <t>BRAYAN</t>
  </si>
  <si>
    <t>17219265-3</t>
  </si>
  <si>
    <t>ADASMA</t>
  </si>
  <si>
    <t>20924569-8</t>
  </si>
  <si>
    <t>18405090-0</t>
  </si>
  <si>
    <t>16541548-5</t>
  </si>
  <si>
    <t>ERMES</t>
  </si>
  <si>
    <t>15209490-6</t>
  </si>
  <si>
    <t>CONSUEGRA</t>
  </si>
  <si>
    <t>WILLUIAM</t>
  </si>
  <si>
    <t>26341309-1</t>
  </si>
  <si>
    <t>LIGNAI</t>
  </si>
  <si>
    <t>TRUJILLO</t>
  </si>
  <si>
    <t>10516209-K</t>
  </si>
  <si>
    <t>HINOTROZA</t>
  </si>
  <si>
    <t>13281520-8</t>
  </si>
  <si>
    <t>12925017-8</t>
  </si>
  <si>
    <t>BEROIZA</t>
  </si>
  <si>
    <t>RAILAF</t>
  </si>
  <si>
    <t>19463033-6</t>
  </si>
  <si>
    <t>AROLDO</t>
  </si>
  <si>
    <t>13623789-6</t>
  </si>
  <si>
    <t>COLLARTE</t>
  </si>
  <si>
    <t>18070686-0</t>
  </si>
  <si>
    <t>20439946-8</t>
  </si>
  <si>
    <t>17843247-8</t>
  </si>
  <si>
    <t>14363777-8</t>
  </si>
  <si>
    <t>11904416-2</t>
  </si>
  <si>
    <t>14573834-2</t>
  </si>
  <si>
    <t>SUAZO</t>
  </si>
  <si>
    <t>ANA</t>
  </si>
  <si>
    <t>14070374-5</t>
  </si>
  <si>
    <t>44484881-2</t>
  </si>
  <si>
    <t>44484786-7</t>
  </si>
  <si>
    <t>11179233-K</t>
  </si>
  <si>
    <t>BENITEZ</t>
  </si>
  <si>
    <t>17870662-4</t>
  </si>
  <si>
    <t>20167572-3</t>
  </si>
  <si>
    <t>CRISOSTOMO</t>
  </si>
  <si>
    <t>ESCARLET</t>
  </si>
  <si>
    <t>20321744-7</t>
  </si>
  <si>
    <t>VILLAOBOS</t>
  </si>
  <si>
    <t>JUDITH</t>
  </si>
  <si>
    <t>17478990-8</t>
  </si>
  <si>
    <t>ALFARO</t>
  </si>
  <si>
    <t>BENITO</t>
  </si>
  <si>
    <t>16054392-2</t>
  </si>
  <si>
    <t>TECHELET</t>
  </si>
  <si>
    <t>PIERRE</t>
  </si>
  <si>
    <t>25980292-K</t>
  </si>
  <si>
    <t>18225145-3</t>
  </si>
  <si>
    <t>18656323-9</t>
  </si>
  <si>
    <t>CHRISTIAN</t>
  </si>
  <si>
    <t>8009066-8</t>
  </si>
  <si>
    <t>RAVANAL</t>
  </si>
  <si>
    <t>19052453-1</t>
  </si>
  <si>
    <t>ANCANAO</t>
  </si>
  <si>
    <t>15210383-2</t>
  </si>
  <si>
    <t>13155394-3</t>
  </si>
  <si>
    <t>9397068-3</t>
  </si>
  <si>
    <t>16140720-8</t>
  </si>
  <si>
    <t>BRYAN</t>
  </si>
  <si>
    <t>19149881-K</t>
  </si>
  <si>
    <t>LETELIER</t>
  </si>
  <si>
    <t>16856842-8</t>
  </si>
  <si>
    <t>14332421-4</t>
  </si>
  <si>
    <t>33666443-8</t>
  </si>
  <si>
    <t>CALPIQUEO</t>
  </si>
  <si>
    <t>PAILLACAN</t>
  </si>
  <si>
    <t>ALIRO</t>
  </si>
  <si>
    <t>15239015-7</t>
  </si>
  <si>
    <t>BETZABETH</t>
  </si>
  <si>
    <t>19933618-5</t>
  </si>
  <si>
    <t>ARRIGADA</t>
  </si>
  <si>
    <t>PATRICIA</t>
  </si>
  <si>
    <t>12484559-9</t>
  </si>
  <si>
    <t>33655503-5</t>
  </si>
  <si>
    <t>33655589-2</t>
  </si>
  <si>
    <t>44484815-4</t>
  </si>
  <si>
    <t>44484808-1</t>
  </si>
  <si>
    <t>44484803-0</t>
  </si>
  <si>
    <t>44484870-7</t>
  </si>
  <si>
    <t>17885860-2</t>
  </si>
  <si>
    <t>44484835-9</t>
  </si>
  <si>
    <t>44486389-7</t>
  </si>
  <si>
    <t>44484851-0</t>
  </si>
  <si>
    <t>44484861-8</t>
  </si>
  <si>
    <t>44484842-1</t>
  </si>
  <si>
    <t>33655736-4</t>
  </si>
  <si>
    <t>CACCALA</t>
  </si>
  <si>
    <t>12493121-5</t>
  </si>
  <si>
    <t>JOFRE</t>
  </si>
  <si>
    <t>17969343-7</t>
  </si>
  <si>
    <t>CHARO</t>
  </si>
  <si>
    <t>10025922-2</t>
  </si>
  <si>
    <t>VALDEBENITO</t>
  </si>
  <si>
    <t>13626858-9</t>
  </si>
  <si>
    <t>CELEDON</t>
  </si>
  <si>
    <t>18433597-2</t>
  </si>
  <si>
    <t>19371090-5</t>
  </si>
  <si>
    <t>10420794-4</t>
  </si>
  <si>
    <t>VALLEJOS</t>
  </si>
  <si>
    <t>DANILO</t>
  </si>
  <si>
    <t>20199559-0</t>
  </si>
  <si>
    <t>18181104-8</t>
  </si>
  <si>
    <t>SANTIAGO</t>
  </si>
  <si>
    <t>16896116-2</t>
  </si>
  <si>
    <t>CEBALLOS</t>
  </si>
  <si>
    <t>JORQUERA</t>
  </si>
  <si>
    <t>12563475-3</t>
  </si>
  <si>
    <t>UQUICHA</t>
  </si>
  <si>
    <t>YURI</t>
  </si>
  <si>
    <t>HENRY</t>
  </si>
  <si>
    <t>CARRILLO</t>
  </si>
  <si>
    <t>ZETA</t>
  </si>
  <si>
    <t>ROSARIO</t>
  </si>
  <si>
    <t>DAMAZO</t>
  </si>
  <si>
    <t>EDER</t>
  </si>
  <si>
    <t>ANTONIO</t>
  </si>
  <si>
    <t>BRADIS</t>
  </si>
  <si>
    <t>WILLIAM</t>
  </si>
  <si>
    <t>MAYTA</t>
  </si>
  <si>
    <t>JHONY</t>
  </si>
  <si>
    <t>JORH LENIN</t>
  </si>
  <si>
    <t>SILVESTRE</t>
  </si>
  <si>
    <t>ALBUJER</t>
  </si>
  <si>
    <t>27132275-5</t>
  </si>
  <si>
    <t>26215456-4</t>
  </si>
  <si>
    <t>26387272-K</t>
  </si>
  <si>
    <t>26387872-8</t>
  </si>
  <si>
    <t>26444722-4</t>
  </si>
  <si>
    <t>2650847-5</t>
  </si>
  <si>
    <t>26508496-6</t>
  </si>
  <si>
    <t>24914611-9</t>
  </si>
  <si>
    <t>25916341-2</t>
  </si>
  <si>
    <t>27596066-7</t>
  </si>
  <si>
    <t>26408214-5</t>
  </si>
  <si>
    <t>ANDRES</t>
  </si>
  <si>
    <t>JUVENAL</t>
  </si>
  <si>
    <t>CHABOUD</t>
  </si>
  <si>
    <t xml:space="preserve">ANGELO </t>
  </si>
  <si>
    <t>ZUÑIGA</t>
  </si>
  <si>
    <t>ALVARADO</t>
  </si>
  <si>
    <t>CATALAN</t>
  </si>
  <si>
    <t>MENDOZA</t>
  </si>
  <si>
    <t>BERNARDO</t>
  </si>
  <si>
    <t>MONTALBA</t>
  </si>
  <si>
    <t>ORTEGAA</t>
  </si>
  <si>
    <t>ERICES</t>
  </si>
  <si>
    <t>MONSALVES</t>
  </si>
  <si>
    <t>MENESES</t>
  </si>
  <si>
    <t>13328281-5</t>
  </si>
  <si>
    <t>15648388-5</t>
  </si>
  <si>
    <t>17158470-1</t>
  </si>
  <si>
    <t>20744025-6</t>
  </si>
  <si>
    <t>21468097-1</t>
  </si>
  <si>
    <t>7783523-7</t>
  </si>
  <si>
    <t>14311166-0</t>
  </si>
  <si>
    <t>17451157-8</t>
  </si>
  <si>
    <t>16387863-1</t>
  </si>
  <si>
    <t>18504414-9</t>
  </si>
  <si>
    <t>20829479-K</t>
  </si>
  <si>
    <t>19287055-0</t>
  </si>
  <si>
    <t>20744195-3</t>
  </si>
  <si>
    <t>14032477-9</t>
  </si>
  <si>
    <t>17933551-4</t>
  </si>
  <si>
    <t>19121453-6</t>
  </si>
  <si>
    <t>18709181-0</t>
  </si>
  <si>
    <t>LT</t>
  </si>
  <si>
    <t>BEJAR</t>
  </si>
  <si>
    <t>33186797-7</t>
  </si>
  <si>
    <t>BERMEJO</t>
  </si>
  <si>
    <t>LEYTON</t>
  </si>
  <si>
    <t>44471956-7</t>
  </si>
  <si>
    <t>CAMILO</t>
  </si>
  <si>
    <t>18825112-9</t>
  </si>
  <si>
    <t>CHURATA</t>
  </si>
  <si>
    <t>CHUQUIJA</t>
  </si>
  <si>
    <t>ELISEO</t>
  </si>
  <si>
    <t>44472068-9</t>
  </si>
  <si>
    <t>CALLE</t>
  </si>
  <si>
    <t>ODAR</t>
  </si>
  <si>
    <t>44472104-9</t>
  </si>
  <si>
    <t>18339372-3</t>
  </si>
  <si>
    <t>GUTIERREZ</t>
  </si>
  <si>
    <t>19091189-6</t>
  </si>
  <si>
    <t>INZUNZA</t>
  </si>
  <si>
    <t>13128159-5</t>
  </si>
  <si>
    <t>MATO</t>
  </si>
  <si>
    <t>44471932-K</t>
  </si>
  <si>
    <t>MONTALVO</t>
  </si>
  <si>
    <t>ERICK</t>
  </si>
  <si>
    <t>33573989-2</t>
  </si>
  <si>
    <t>MEZAS</t>
  </si>
  <si>
    <t>12525619-8</t>
  </si>
  <si>
    <t>OTERO</t>
  </si>
  <si>
    <t>ELLEN</t>
  </si>
  <si>
    <t>EVER</t>
  </si>
  <si>
    <t>33659615-7</t>
  </si>
  <si>
    <t>PANDURO</t>
  </si>
  <si>
    <t>BILLY</t>
  </si>
  <si>
    <t>44472384-K</t>
  </si>
  <si>
    <t>PIÑALEO</t>
  </si>
  <si>
    <t>ZAGAL</t>
  </si>
  <si>
    <t>16650706-5</t>
  </si>
  <si>
    <t>JANAMPA</t>
  </si>
  <si>
    <t>RONY</t>
  </si>
  <si>
    <t>44471941-9</t>
  </si>
  <si>
    <t>SCHOTT</t>
  </si>
  <si>
    <t>15452879-2</t>
  </si>
  <si>
    <t>ISAIAS</t>
  </si>
  <si>
    <t>12382889-5</t>
  </si>
  <si>
    <t>UQUICHE</t>
  </si>
  <si>
    <t>33133566-5</t>
  </si>
  <si>
    <t>VARELA</t>
  </si>
  <si>
    <t>13624141-9</t>
  </si>
  <si>
    <t>VILLAR</t>
  </si>
  <si>
    <t>33663428-8</t>
  </si>
  <si>
    <t>HANCCO</t>
  </si>
  <si>
    <t>YAMPASI</t>
  </si>
  <si>
    <t>R</t>
  </si>
  <si>
    <t>CORRELATIVO Nº4</t>
  </si>
  <si>
    <t>TOTAL ALOJAMIENTO DOBLE ACONCAGUA</t>
  </si>
  <si>
    <t>ALOJAMIENTO PACTADO 20</t>
  </si>
  <si>
    <t xml:space="preserve">DIFERENCIA </t>
  </si>
  <si>
    <t>TOTAL AC</t>
  </si>
  <si>
    <t>ZARATE</t>
  </si>
  <si>
    <t>FABIAN</t>
  </si>
  <si>
    <t>18150201-0</t>
  </si>
  <si>
    <t>18408247-0</t>
  </si>
  <si>
    <t>BERNARD</t>
  </si>
  <si>
    <t>17137085-K</t>
  </si>
  <si>
    <t>ARCHILES</t>
  </si>
  <si>
    <t>17137111-2</t>
  </si>
  <si>
    <t>19122318-7</t>
  </si>
  <si>
    <t>AZOCAR</t>
  </si>
  <si>
    <t>19114498-8</t>
  </si>
  <si>
    <t>TENORIO</t>
  </si>
  <si>
    <t>18579932-8</t>
  </si>
  <si>
    <t>16690731-4</t>
  </si>
  <si>
    <t xml:space="preserve">ALEGRIA </t>
  </si>
  <si>
    <t>HUERAMAN</t>
  </si>
  <si>
    <t xml:space="preserve">CARLOS  </t>
  </si>
  <si>
    <t xml:space="preserve">CUEVAS  </t>
  </si>
  <si>
    <t xml:space="preserve">SERGIO </t>
  </si>
  <si>
    <t>CERECEDA</t>
  </si>
  <si>
    <t>SOLANGE</t>
  </si>
  <si>
    <t>17172403-1</t>
  </si>
  <si>
    <t>MARIA</t>
  </si>
  <si>
    <t>18785701-5</t>
  </si>
  <si>
    <t>BARRIENTOS</t>
  </si>
  <si>
    <t>ROCIO</t>
  </si>
  <si>
    <t>19907354-0</t>
  </si>
  <si>
    <t>VICTORIA</t>
  </si>
  <si>
    <t>19120001-2</t>
  </si>
  <si>
    <t xml:space="preserve">BAUTISTA </t>
  </si>
  <si>
    <t>MILENA</t>
  </si>
  <si>
    <t>19797369-2</t>
  </si>
  <si>
    <t>RONALD</t>
  </si>
  <si>
    <t>13507456-K</t>
  </si>
  <si>
    <t>DUARTE</t>
  </si>
  <si>
    <t>9635487-8</t>
  </si>
  <si>
    <t>CEPEDA</t>
  </si>
  <si>
    <t>20779661-1</t>
  </si>
  <si>
    <t>VALENTINA</t>
  </si>
  <si>
    <t>NORAMBUENA</t>
  </si>
  <si>
    <t>AVALOS</t>
  </si>
  <si>
    <t>BERRIOS</t>
  </si>
  <si>
    <t>SOLARI</t>
  </si>
  <si>
    <t>19525733-7</t>
  </si>
  <si>
    <t xml:space="preserve">CLAUDIO </t>
  </si>
  <si>
    <t>URQUIZA</t>
  </si>
  <si>
    <t>OCHOA</t>
  </si>
  <si>
    <t>DECARLI</t>
  </si>
  <si>
    <t>PARDO</t>
  </si>
  <si>
    <t>NATHALIE</t>
  </si>
  <si>
    <t>OYANEDER</t>
  </si>
  <si>
    <t>VERDEJO</t>
  </si>
  <si>
    <t>ARTEAGA</t>
  </si>
  <si>
    <t>CARMELO</t>
  </si>
  <si>
    <t>ELMES</t>
  </si>
  <si>
    <t>CONEJEROS</t>
  </si>
  <si>
    <t>MAYKOL</t>
  </si>
  <si>
    <t>WOENCKHAUS</t>
  </si>
  <si>
    <t>LEVI</t>
  </si>
  <si>
    <t>14099109-0</t>
  </si>
  <si>
    <t>15925880-7</t>
  </si>
  <si>
    <t>18821547-5</t>
  </si>
  <si>
    <t>16161132-8</t>
  </si>
  <si>
    <t>13578303-K</t>
  </si>
  <si>
    <t>13958576-3</t>
  </si>
  <si>
    <t>16601410-7</t>
  </si>
  <si>
    <t>19109861-7</t>
  </si>
  <si>
    <t>13269015-4</t>
  </si>
  <si>
    <t>15193102-2</t>
  </si>
  <si>
    <t>12975248-3</t>
  </si>
  <si>
    <t>9082009-5</t>
  </si>
  <si>
    <t>10547003-7</t>
  </si>
  <si>
    <t>17844247-1</t>
  </si>
  <si>
    <t>GIOVANNI</t>
  </si>
  <si>
    <t>PLAZA</t>
  </si>
  <si>
    <t>15431436-9</t>
  </si>
  <si>
    <t>17840100-9</t>
  </si>
  <si>
    <t>12173606-3</t>
  </si>
  <si>
    <t>3B</t>
  </si>
  <si>
    <t>8B</t>
  </si>
  <si>
    <t>7B</t>
  </si>
  <si>
    <t>6B</t>
  </si>
  <si>
    <t>2B</t>
  </si>
  <si>
    <t>18B</t>
  </si>
  <si>
    <t>FABIOLA</t>
  </si>
  <si>
    <t>GODOY</t>
  </si>
  <si>
    <t>CATALINA</t>
  </si>
  <si>
    <t>2098571-5</t>
  </si>
  <si>
    <t>RICHARD</t>
  </si>
  <si>
    <t>KEVIN</t>
  </si>
  <si>
    <t>19979459-0</t>
  </si>
  <si>
    <t>17468536-3</t>
  </si>
  <si>
    <t>SUURBIER</t>
  </si>
  <si>
    <t>MAXIMO</t>
  </si>
  <si>
    <t>MARAMBO</t>
  </si>
  <si>
    <t>JOCELYN</t>
  </si>
  <si>
    <t>17840924-7</t>
  </si>
  <si>
    <t>16555624-0</t>
  </si>
  <si>
    <t>16504234-4</t>
  </si>
  <si>
    <t>14450715-0</t>
  </si>
  <si>
    <t>14508319-2</t>
  </si>
  <si>
    <t>19838960-9</t>
  </si>
  <si>
    <t>17198576-4</t>
  </si>
  <si>
    <t>12521035-K</t>
  </si>
  <si>
    <t>ANABALON</t>
  </si>
  <si>
    <t>FRANCESCOLI</t>
  </si>
  <si>
    <t>FREIRE</t>
  </si>
  <si>
    <t>AXEL</t>
  </si>
  <si>
    <t>14213858-1</t>
  </si>
  <si>
    <t>17952291-1</t>
  </si>
  <si>
    <t>14032052-8</t>
  </si>
  <si>
    <t>17809308-5</t>
  </si>
  <si>
    <t>16396600-K</t>
  </si>
  <si>
    <t>EMIR</t>
  </si>
  <si>
    <t>13955121-4</t>
  </si>
  <si>
    <t>17952241-1</t>
  </si>
  <si>
    <t>ANSALDO</t>
  </si>
  <si>
    <t>ANDIA</t>
  </si>
  <si>
    <t>23105583-5</t>
  </si>
  <si>
    <t>23219157-3</t>
  </si>
  <si>
    <t>19365127-5</t>
  </si>
  <si>
    <t xml:space="preserve">ORELLANA </t>
  </si>
  <si>
    <t xml:space="preserve">SALVO </t>
  </si>
  <si>
    <t>15166416-1</t>
  </si>
  <si>
    <t>15614586-6</t>
  </si>
  <si>
    <t>MONTAÑO</t>
  </si>
  <si>
    <t>27404861-1</t>
  </si>
  <si>
    <t>18710276-0</t>
  </si>
  <si>
    <t xml:space="preserve">LUNA </t>
  </si>
  <si>
    <t>11683054-k</t>
  </si>
  <si>
    <t>18433996-k</t>
  </si>
  <si>
    <t>ENCINAS</t>
  </si>
  <si>
    <t>PADILLA</t>
  </si>
  <si>
    <t>OMAR</t>
  </si>
  <si>
    <t>24560350-4</t>
  </si>
  <si>
    <t>17869308-5</t>
  </si>
  <si>
    <t>MEDRANO</t>
  </si>
  <si>
    <t>ROMARIO</t>
  </si>
  <si>
    <t>AGUANTA</t>
  </si>
  <si>
    <t>15192946-k</t>
  </si>
  <si>
    <t>21025854-k</t>
  </si>
  <si>
    <t>20195536-k</t>
  </si>
  <si>
    <t>11351812-k</t>
  </si>
  <si>
    <t>VILLAGRAN</t>
  </si>
  <si>
    <t>20515633-k</t>
  </si>
  <si>
    <t>18081213-k</t>
  </si>
  <si>
    <t>19927836-8</t>
  </si>
  <si>
    <t>19777682-k</t>
  </si>
  <si>
    <t>MORIN</t>
  </si>
  <si>
    <t>REILNALDO</t>
  </si>
  <si>
    <t>11777970-k</t>
  </si>
  <si>
    <t>15778028-k</t>
  </si>
  <si>
    <t>EILEEN</t>
  </si>
  <si>
    <t>18988266-2</t>
  </si>
  <si>
    <t>GONZÁLEZ</t>
  </si>
  <si>
    <t>MUNOZ</t>
  </si>
  <si>
    <t>ARREY</t>
  </si>
  <si>
    <t>9273499-4</t>
  </si>
  <si>
    <t>14913858-1</t>
  </si>
  <si>
    <t>15672660-5</t>
  </si>
  <si>
    <t>18548017-8</t>
  </si>
  <si>
    <t>PUEBLA</t>
  </si>
  <si>
    <t>DELGADO</t>
  </si>
  <si>
    <t>EUSEBIO</t>
  </si>
  <si>
    <t>12391966-1</t>
  </si>
  <si>
    <t>JULIO</t>
  </si>
  <si>
    <t>17275763-4</t>
  </si>
  <si>
    <t>17566709-1</t>
  </si>
  <si>
    <t>ACOSTA</t>
  </si>
  <si>
    <t>17784765-8</t>
  </si>
  <si>
    <t>ALVARO</t>
  </si>
  <si>
    <t>18121368-K</t>
  </si>
  <si>
    <t>TRARUANCA</t>
  </si>
  <si>
    <t>16397303-0</t>
  </si>
  <si>
    <t>ALBO</t>
  </si>
  <si>
    <t>LUENGO</t>
  </si>
  <si>
    <t>12483407-4</t>
  </si>
  <si>
    <t>CACHACA</t>
  </si>
  <si>
    <t>CHOQUE</t>
  </si>
  <si>
    <t>BLADIMIR</t>
  </si>
  <si>
    <t>26377870-7</t>
  </si>
  <si>
    <t>COLQUE</t>
  </si>
  <si>
    <t>HUGO</t>
  </si>
  <si>
    <t>27085424-8</t>
  </si>
  <si>
    <t>ANDERSON</t>
  </si>
  <si>
    <t>14083002-k</t>
  </si>
  <si>
    <t>10072426-k</t>
  </si>
  <si>
    <t>WILLY</t>
  </si>
  <si>
    <t>15777856-0</t>
  </si>
  <si>
    <t>15867972-8</t>
  </si>
  <si>
    <t>PARADA</t>
  </si>
  <si>
    <t>14373143-K</t>
  </si>
  <si>
    <t>11539315-4</t>
  </si>
  <si>
    <t>DYANA</t>
  </si>
  <si>
    <t>MELO</t>
  </si>
  <si>
    <t>MOYA</t>
  </si>
  <si>
    <t>JIMMY</t>
  </si>
  <si>
    <t>16076268-3</t>
  </si>
  <si>
    <t>18405366-7</t>
  </si>
  <si>
    <t>9138151-6</t>
  </si>
  <si>
    <t>19559051-6</t>
  </si>
  <si>
    <t>19169750-2</t>
  </si>
  <si>
    <t>VILLALOBOS</t>
  </si>
  <si>
    <t>H2</t>
  </si>
  <si>
    <t>KERO</t>
  </si>
  <si>
    <t>18788799-2</t>
  </si>
  <si>
    <t>CRISTALDO</t>
  </si>
  <si>
    <t>22038079-3</t>
  </si>
  <si>
    <t>DANY</t>
  </si>
  <si>
    <t>15180143-9</t>
  </si>
  <si>
    <t>PRIETO</t>
  </si>
  <si>
    <t>MONTECINOS</t>
  </si>
  <si>
    <t>19827281-7</t>
  </si>
  <si>
    <t>44484822-7</t>
  </si>
  <si>
    <t>CAAMAÑO</t>
  </si>
  <si>
    <t>11790104-1</t>
  </si>
  <si>
    <t>CCACCALA</t>
  </si>
  <si>
    <t>YANPASI</t>
  </si>
  <si>
    <t>ERME</t>
  </si>
  <si>
    <t>ANZALDO</t>
  </si>
  <si>
    <t>23291157-3</t>
  </si>
  <si>
    <t>ALOJAMIENTO LT</t>
  </si>
  <si>
    <t>ALOJAMIENTO H2</t>
  </si>
  <si>
    <t>ALMUERZOS H2</t>
  </si>
  <si>
    <t>ALMUERZOS H3</t>
  </si>
  <si>
    <t>ALMUERZOS LT</t>
  </si>
  <si>
    <t>16703648-1</t>
  </si>
  <si>
    <t>BARRIOS</t>
  </si>
  <si>
    <t>DIFERENCIA CUPOS RESERVADOS</t>
  </si>
  <si>
    <t>17775097-2</t>
  </si>
  <si>
    <t>SURBIER</t>
  </si>
  <si>
    <t>HAROLDO</t>
  </si>
  <si>
    <t>16138018-0</t>
  </si>
  <si>
    <t>12978454-7</t>
  </si>
  <si>
    <t>18855344-3</t>
  </si>
  <si>
    <t>FONSECA</t>
  </si>
  <si>
    <t>PINCHEIRA</t>
  </si>
  <si>
    <t>CERPA</t>
  </si>
  <si>
    <t>LISANDRO</t>
  </si>
  <si>
    <t>CHUCAMANI</t>
  </si>
  <si>
    <t>HEBER</t>
  </si>
  <si>
    <t>24347141-9</t>
  </si>
  <si>
    <t>13318795-2</t>
  </si>
  <si>
    <t>16738670-7</t>
  </si>
  <si>
    <t>20019830-1</t>
  </si>
  <si>
    <t>18414323-2</t>
  </si>
  <si>
    <t>18066808-K</t>
  </si>
  <si>
    <t>18110359-0</t>
  </si>
  <si>
    <t>16137227-7</t>
  </si>
  <si>
    <t>19337748-1</t>
  </si>
  <si>
    <t>16905432-0</t>
  </si>
  <si>
    <t>H1B</t>
  </si>
  <si>
    <t>ILUFF</t>
  </si>
  <si>
    <t>ROBINSON</t>
  </si>
  <si>
    <t>MERY</t>
  </si>
  <si>
    <t>LEWIN</t>
  </si>
  <si>
    <t>PONCE</t>
  </si>
  <si>
    <t>16953274-5</t>
  </si>
  <si>
    <t>14932962-5</t>
  </si>
  <si>
    <t>15744319-4</t>
  </si>
  <si>
    <t>20433259-2</t>
  </si>
  <si>
    <t>12359267-0</t>
  </si>
  <si>
    <t>12075377-0</t>
  </si>
  <si>
    <t>19169756-2</t>
  </si>
  <si>
    <t>16994529-2</t>
  </si>
  <si>
    <t>13B</t>
  </si>
  <si>
    <t>H5</t>
  </si>
  <si>
    <t>40B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</si>
</sst>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[$$-340A]\ #,##0"/>
  </numFmts>
  <fonts count="26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28"/>
      <color theme="3"/>
      <name val="comic"/>
      <family val="5"/>
      <charset val="1"/>
    </font>
    <font>
      <b/>
      <sz val="13"/>
      <color rgb="FF000000"/>
      <name val="Calibri"/>
      <family val="2"/>
      <charset val="1"/>
    </font>
    <font>
      <b/>
      <sz val="14"/>
      <name val="Arial"/>
      <family val="2"/>
      <charset val="1"/>
    </font>
    <font>
      <sz val="7"/>
      <color rgb="FF000000"/>
      <name val="Calibri"/>
      <family val="2"/>
      <charset val="1"/>
    </font>
    <font>
      <b/>
      <sz val="12"/>
      <name val="Arial"/>
      <family val="2"/>
      <charset val="1"/>
    </font>
    <font>
      <b/>
      <sz val="8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sz val="16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theme="0"/>
      <name val="Arial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0"/>
      <name val="Arial"/>
      <family val="2"/>
    </font>
    <font>
      <sz val="9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A6A6A6"/>
        <bgColor rgb="FF8DB4E3"/>
      </patternFill>
    </fill>
    <fill>
      <patternFill patternType="solid">
        <fgColor rgb="FFFFFFFF"/>
        <bgColor rgb="FFFFFFCC"/>
      </patternFill>
    </fill>
    <fill>
      <patternFill patternType="solid">
        <fgColor theme="3" tint="0.59968871120334488"/>
        <bgColor rgb="FF9999FF"/>
      </patternFill>
    </fill>
    <fill>
      <patternFill patternType="solid">
        <fgColor rgb="FFFF000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6" tint="0.79998168889431442"/>
        <bgColor rgb="FFFFCC99"/>
      </patternFill>
    </fill>
    <fill>
      <patternFill patternType="solid">
        <fgColor theme="4" tint="0.79998168889431442"/>
        <bgColor rgb="FFFFCC99"/>
      </patternFill>
    </fill>
    <fill>
      <patternFill patternType="solid">
        <fgColor theme="5" tint="0.79998168889431442"/>
        <bgColor rgb="FFFFCC9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FF00"/>
        <bgColor rgb="FFFFFFCC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1" fillId="0" borderId="0"/>
    <xf numFmtId="42" fontId="2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5" applyAlignment="1">
      <alignment horizontal="center"/>
    </xf>
    <xf numFmtId="0" fontId="20" fillId="3" borderId="0" xfId="5" applyFont="1" applyFill="1" applyAlignment="1">
      <alignment horizontal="center"/>
    </xf>
    <xf numFmtId="0" fontId="2" fillId="0" borderId="0" xfId="5"/>
    <xf numFmtId="0" fontId="6" fillId="2" borderId="6" xfId="5" applyFont="1" applyFill="1" applyBorder="1" applyAlignment="1">
      <alignment horizontal="center" vertical="center"/>
    </xf>
    <xf numFmtId="0" fontId="6" fillId="2" borderId="7" xfId="5" applyFont="1" applyFill="1" applyBorder="1" applyAlignment="1">
      <alignment horizontal="center" vertical="center"/>
    </xf>
    <xf numFmtId="3" fontId="6" fillId="2" borderId="7" xfId="5" applyNumberFormat="1" applyFont="1" applyFill="1" applyBorder="1" applyAlignment="1">
      <alignment horizontal="center" vertical="center"/>
    </xf>
    <xf numFmtId="0" fontId="6" fillId="2" borderId="8" xfId="5" applyFont="1" applyFill="1" applyBorder="1" applyAlignment="1">
      <alignment horizontal="center" vertical="center"/>
    </xf>
    <xf numFmtId="0" fontId="6" fillId="2" borderId="9" xfId="5" applyFont="1" applyFill="1" applyBorder="1" applyAlignment="1">
      <alignment horizontal="center" vertical="center"/>
    </xf>
    <xf numFmtId="0" fontId="6" fillId="2" borderId="10" xfId="5" applyFont="1" applyFill="1" applyBorder="1" applyAlignment="1">
      <alignment horizontal="center" vertical="center"/>
    </xf>
    <xf numFmtId="0" fontId="11" fillId="3" borderId="12" xfId="5" applyFont="1" applyFill="1" applyBorder="1" applyAlignment="1">
      <alignment horizontal="center" vertical="center"/>
    </xf>
    <xf numFmtId="164" fontId="12" fillId="3" borderId="11" xfId="5" applyNumberFormat="1" applyFont="1" applyFill="1" applyBorder="1" applyAlignment="1">
      <alignment horizontal="center" vertical="center"/>
    </xf>
    <xf numFmtId="164" fontId="12" fillId="3" borderId="12" xfId="5" applyNumberFormat="1" applyFont="1" applyFill="1" applyBorder="1" applyAlignment="1">
      <alignment horizontal="center" vertical="center"/>
    </xf>
    <xf numFmtId="0" fontId="11" fillId="3" borderId="13" xfId="5" applyFont="1" applyFill="1" applyBorder="1" applyAlignment="1">
      <alignment horizontal="center" vertical="center"/>
    </xf>
    <xf numFmtId="164" fontId="12" fillId="3" borderId="13" xfId="5" applyNumberFormat="1" applyFont="1" applyFill="1" applyBorder="1" applyAlignment="1">
      <alignment horizontal="center" vertical="center"/>
    </xf>
    <xf numFmtId="164" fontId="11" fillId="3" borderId="12" xfId="5" applyNumberFormat="1" applyFont="1" applyFill="1" applyBorder="1" applyAlignment="1">
      <alignment horizontal="center" vertical="center"/>
    </xf>
    <xf numFmtId="0" fontId="2" fillId="3" borderId="11" xfId="5" applyFill="1" applyBorder="1"/>
    <xf numFmtId="0" fontId="14" fillId="0" borderId="12" xfId="5" applyFont="1" applyBorder="1" applyAlignment="1">
      <alignment horizontal="center"/>
    </xf>
    <xf numFmtId="164" fontId="2" fillId="0" borderId="12" xfId="5" applyNumberForma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6" xfId="5" applyFont="1" applyFill="1" applyBorder="1" applyAlignment="1">
      <alignment horizontal="center" vertical="center"/>
    </xf>
    <xf numFmtId="1" fontId="2" fillId="0" borderId="12" xfId="5" applyNumberFormat="1" applyBorder="1" applyAlignment="1">
      <alignment horizontal="center" vertical="center"/>
    </xf>
    <xf numFmtId="1" fontId="11" fillId="3" borderId="12" xfId="5" applyNumberFormat="1" applyFont="1" applyFill="1" applyBorder="1" applyAlignment="1">
      <alignment horizontal="center" vertical="center"/>
    </xf>
    <xf numFmtId="0" fontId="18" fillId="0" borderId="0" xfId="5" applyFont="1"/>
    <xf numFmtId="164" fontId="8" fillId="3" borderId="12" xfId="5" applyNumberFormat="1" applyFont="1" applyFill="1" applyBorder="1" applyAlignment="1">
      <alignment horizontal="left" vertical="center"/>
    </xf>
    <xf numFmtId="164" fontId="8" fillId="3" borderId="12" xfId="5" applyNumberFormat="1" applyFont="1" applyFill="1" applyBorder="1" applyAlignment="1">
      <alignment horizontal="right" vertical="center"/>
    </xf>
    <xf numFmtId="0" fontId="18" fillId="0" borderId="0" xfId="5" applyFont="1" applyAlignment="1">
      <alignment horizontal="center"/>
    </xf>
    <xf numFmtId="164" fontId="19" fillId="3" borderId="12" xfId="5" applyNumberFormat="1" applyFont="1" applyFill="1" applyBorder="1" applyAlignment="1">
      <alignment horizontal="left" vertical="center"/>
    </xf>
    <xf numFmtId="164" fontId="19" fillId="3" borderId="12" xfId="5" applyNumberFormat="1" applyFont="1" applyFill="1" applyBorder="1" applyAlignment="1">
      <alignment horizontal="right" vertical="center"/>
    </xf>
    <xf numFmtId="0" fontId="20" fillId="3" borderId="0" xfId="5" applyFont="1" applyFill="1"/>
    <xf numFmtId="0" fontId="9" fillId="6" borderId="11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left"/>
    </xf>
    <xf numFmtId="0" fontId="10" fillId="6" borderId="11" xfId="5" applyFont="1" applyFill="1" applyBorder="1"/>
    <xf numFmtId="0" fontId="9" fillId="6" borderId="12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left"/>
    </xf>
    <xf numFmtId="0" fontId="10" fillId="6" borderId="12" xfId="5" applyFont="1" applyFill="1" applyBorder="1"/>
    <xf numFmtId="0" fontId="9" fillId="6" borderId="13" xfId="0" applyFont="1" applyFill="1" applyBorder="1" applyAlignment="1">
      <alignment horizontal="left"/>
    </xf>
    <xf numFmtId="0" fontId="10" fillId="6" borderId="13" xfId="5" applyFont="1" applyFill="1" applyBorder="1"/>
    <xf numFmtId="0" fontId="13" fillId="3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left" vertical="center"/>
    </xf>
    <xf numFmtId="0" fontId="11" fillId="3" borderId="11" xfId="5" applyFont="1" applyFill="1" applyBorder="1" applyAlignment="1">
      <alignment horizontal="center" vertical="center"/>
    </xf>
    <xf numFmtId="164" fontId="11" fillId="3" borderId="11" xfId="5" applyNumberFormat="1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0" fillId="5" borderId="11" xfId="5" applyFont="1" applyFill="1" applyBorder="1"/>
    <xf numFmtId="0" fontId="8" fillId="7" borderId="13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0" fillId="5" borderId="13" xfId="5" applyFont="1" applyFill="1" applyBorder="1"/>
    <xf numFmtId="0" fontId="8" fillId="7" borderId="12" xfId="0" applyFont="1" applyFill="1" applyBorder="1" applyAlignment="1">
      <alignment horizontal="center" vertical="center"/>
    </xf>
    <xf numFmtId="0" fontId="10" fillId="5" borderId="12" xfId="5" applyFont="1" applyFill="1" applyBorder="1"/>
    <xf numFmtId="1" fontId="2" fillId="0" borderId="0" xfId="5" applyNumberFormat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left"/>
    </xf>
    <xf numFmtId="0" fontId="10" fillId="6" borderId="17" xfId="5" applyFont="1" applyFill="1" applyBorder="1"/>
    <xf numFmtId="0" fontId="8" fillId="9" borderId="11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 vertical="center"/>
    </xf>
    <xf numFmtId="0" fontId="14" fillId="0" borderId="0" xfId="5" applyFont="1" applyAlignment="1">
      <alignment horizontal="center"/>
    </xf>
    <xf numFmtId="164" fontId="2" fillId="0" borderId="0" xfId="5" applyNumberFormat="1"/>
    <xf numFmtId="0" fontId="2" fillId="0" borderId="12" xfId="5" applyBorder="1" applyAlignment="1">
      <alignment horizontal="center"/>
    </xf>
    <xf numFmtId="0" fontId="24" fillId="0" borderId="12" xfId="5" applyFont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2" fillId="0" borderId="12" xfId="5" applyBorder="1"/>
    <xf numFmtId="164" fontId="24" fillId="0" borderId="12" xfId="5" applyNumberFormat="1" applyFont="1" applyBorder="1"/>
    <xf numFmtId="42" fontId="24" fillId="0" borderId="12" xfId="9" applyFont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0" fontId="10" fillId="5" borderId="17" xfId="5" applyFont="1" applyFill="1" applyBorder="1"/>
    <xf numFmtId="0" fontId="11" fillId="12" borderId="12" xfId="5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left"/>
    </xf>
    <xf numFmtId="0" fontId="9" fillId="12" borderId="12" xfId="0" applyFont="1" applyFill="1" applyBorder="1" applyAlignment="1">
      <alignment horizontal="center"/>
    </xf>
    <xf numFmtId="0" fontId="25" fillId="0" borderId="0" xfId="5" applyFont="1" applyAlignment="1">
      <alignment horizontal="center"/>
    </xf>
    <xf numFmtId="0" fontId="2" fillId="0" borderId="0" xfId="5" applyAlignment="1">
      <alignment horizontal="center"/>
    </xf>
    <xf numFmtId="0" fontId="16" fillId="3" borderId="12" xfId="5" applyFont="1" applyFill="1" applyBorder="1" applyAlignment="1">
      <alignment horizontal="center" vertical="center"/>
    </xf>
    <xf numFmtId="14" fontId="6" fillId="10" borderId="4" xfId="5" applyNumberFormat="1" applyFont="1" applyFill="1" applyBorder="1" applyAlignment="1">
      <alignment horizontal="center" vertical="center" textRotation="90"/>
    </xf>
    <xf numFmtId="0" fontId="15" fillId="4" borderId="14" xfId="5" applyFont="1" applyFill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9" fillId="6" borderId="18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2" fillId="0" borderId="12" xfId="5" applyBorder="1" applyAlignment="1">
      <alignment horizontal="center"/>
    </xf>
    <xf numFmtId="0" fontId="20" fillId="3" borderId="0" xfId="5" applyFont="1" applyFill="1" applyAlignment="1">
      <alignment horizontal="center"/>
    </xf>
    <xf numFmtId="0" fontId="7" fillId="0" borderId="5" xfId="5" applyFont="1" applyBorder="1" applyAlignment="1">
      <alignment horizontal="center" vertical="center"/>
    </xf>
    <xf numFmtId="0" fontId="2" fillId="0" borderId="1" xfId="5" applyBorder="1" applyAlignment="1">
      <alignment horizontal="center"/>
    </xf>
    <xf numFmtId="0" fontId="3" fillId="0" borderId="2" xfId="5" applyFont="1" applyBorder="1" applyAlignment="1">
      <alignment horizontal="left" vertical="top"/>
    </xf>
    <xf numFmtId="0" fontId="4" fillId="0" borderId="2" xfId="5" applyFont="1" applyBorder="1" applyAlignment="1">
      <alignment horizontal="left" vertical="center"/>
    </xf>
    <xf numFmtId="14" fontId="6" fillId="0" borderId="4" xfId="5" applyNumberFormat="1" applyFont="1" applyBorder="1" applyAlignment="1">
      <alignment horizontal="center" vertical="center" textRotation="90"/>
    </xf>
    <xf numFmtId="0" fontId="5" fillId="0" borderId="22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24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5" fillId="0" borderId="26" xfId="5" applyFont="1" applyBorder="1" applyAlignment="1">
      <alignment horizontal="center" vertical="center"/>
    </xf>
    <xf numFmtId="0" fontId="5" fillId="0" borderId="27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8" xfId="5" applyFont="1" applyBorder="1" applyAlignment="1">
      <alignment horizontal="center" vertical="center"/>
    </xf>
  </cellXfs>
  <cellStyles count="10">
    <cellStyle name="Moneda [0]" xfId="9" builtinId="7"/>
    <cellStyle name="Normal" xfId="0" builtinId="0"/>
    <cellStyle name="Normal 10" xfId="8" xr:uid="{20E31DBF-8F3C-4887-BD53-7F5AB75E002C}"/>
    <cellStyle name="Normal 2" xfId="1" xr:uid="{00000000-0005-0000-0000-000006000000}"/>
    <cellStyle name="Normal 2 2" xfId="7" xr:uid="{3B86A4E8-87CB-4684-BF1D-5566750A8D3F}"/>
    <cellStyle name="Normal 3" xfId="2" xr:uid="{00000000-0005-0000-0000-000007000000}"/>
    <cellStyle name="Normal 4" xfId="3" xr:uid="{00000000-0005-0000-0000-000008000000}"/>
    <cellStyle name="Normal 5" xfId="4" xr:uid="{00000000-0005-0000-0000-000009000000}"/>
    <cellStyle name="Normal 6" xfId="5" xr:uid="{00000000-0005-0000-0000-00000A000000}"/>
    <cellStyle name="Normal 7" xfId="6" xr:uid="{2456A267-FCBD-4735-BF75-A86B57B9BAD6}"/>
  </cellStyles>
  <dxfs count="3"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7703993-FDBF-4098-96F8-2EED74FEBC2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436168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5EE130-B8F7-4D7B-B888-E92BF6968A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447532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778200" cy="70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614E90-1622-49D9-8DBC-6CBC059C2D4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F73AE6E-BCB0-43E7-96ED-FA3267538AB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A04F-FEC7-4DF1-B52C-03C46657B1E5}">
  <dimension ref="A1:AQ802"/>
  <sheetViews>
    <sheetView tabSelected="1" zoomScale="112" zoomScaleNormal="112" workbookViewId="0">
      <pane xSplit="6" ySplit="9" topLeftCell="G746" activePane="bottomRight" state="frozen"/>
      <selection pane="topRight" activeCell="I1" sqref="I1"/>
      <selection pane="bottomLeft" activeCell="A46" sqref="A46"/>
      <selection pane="bottomRight" activeCell="G763" sqref="G763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13" width="4.140625" style="3" customWidth="1"/>
    <col min="14" max="14" width="4.28515625" style="3" customWidth="1"/>
    <col min="15" max="15" width="4.140625" style="3" customWidth="1"/>
    <col min="16" max="16" width="4.28515625" style="3" customWidth="1"/>
    <col min="17" max="25" width="4.140625" style="3" customWidth="1"/>
    <col min="26" max="27" width="4.28515625" style="3" customWidth="1"/>
    <col min="28" max="37" width="4.140625" style="3" customWidth="1"/>
    <col min="38" max="38" width="5.5703125" style="3" customWidth="1"/>
    <col min="39" max="39" width="18.28515625" style="3" customWidth="1"/>
    <col min="40" max="40" width="15.5703125" style="3" customWidth="1"/>
    <col min="41" max="41" width="7.140625" style="3" customWidth="1"/>
    <col min="42" max="44" width="3" style="3" customWidth="1"/>
    <col min="45" max="16384" width="11.42578125" style="3"/>
  </cols>
  <sheetData>
    <row r="1" spans="1:40" ht="12.75" customHeight="1" thickBot="1">
      <c r="A1" s="88"/>
      <c r="B1" s="88"/>
      <c r="C1" s="88"/>
      <c r="D1" s="88"/>
      <c r="E1" s="88"/>
      <c r="F1" s="88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</row>
    <row r="2" spans="1:40" ht="12.75" customHeight="1" thickBot="1">
      <c r="A2" s="88"/>
      <c r="B2" s="88"/>
      <c r="C2" s="88"/>
      <c r="D2" s="88"/>
      <c r="E2" s="88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</row>
    <row r="3" spans="1:40" ht="20.25" customHeight="1" thickBot="1">
      <c r="A3" s="88"/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</row>
    <row r="4" spans="1:40" ht="12.75" customHeight="1" thickBot="1">
      <c r="A4" s="88"/>
      <c r="B4" s="88"/>
      <c r="C4" s="88"/>
      <c r="D4" s="88"/>
      <c r="E4" s="88"/>
      <c r="F4" s="88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</row>
    <row r="5" spans="1:40" ht="7.5" customHeight="1" thickBot="1">
      <c r="A5" s="88"/>
      <c r="B5" s="88"/>
      <c r="C5" s="88"/>
      <c r="D5" s="88"/>
      <c r="E5" s="88"/>
      <c r="F5" s="88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</row>
    <row r="6" spans="1:40" ht="12.75" customHeight="1" thickBot="1">
      <c r="A6" s="81" t="s">
        <v>574</v>
      </c>
      <c r="B6" s="81"/>
      <c r="C6" s="81"/>
      <c r="D6" s="81"/>
      <c r="E6" s="81"/>
      <c r="F6" s="81"/>
      <c r="G6" s="79">
        <v>45839</v>
      </c>
      <c r="H6" s="79">
        <v>45840</v>
      </c>
      <c r="I6" s="79">
        <v>45841</v>
      </c>
      <c r="J6" s="79">
        <v>45842</v>
      </c>
      <c r="K6" s="79">
        <v>45843</v>
      </c>
      <c r="L6" s="79">
        <v>45844</v>
      </c>
      <c r="M6" s="79">
        <v>45845</v>
      </c>
      <c r="N6" s="79">
        <v>45846</v>
      </c>
      <c r="O6" s="79">
        <v>45847</v>
      </c>
      <c r="P6" s="79">
        <v>45848</v>
      </c>
      <c r="Q6" s="79">
        <v>45849</v>
      </c>
      <c r="R6" s="79">
        <v>45850</v>
      </c>
      <c r="S6" s="79">
        <v>45851</v>
      </c>
      <c r="T6" s="79">
        <v>45852</v>
      </c>
      <c r="U6" s="79">
        <v>45853</v>
      </c>
      <c r="V6" s="79">
        <v>45854</v>
      </c>
      <c r="W6" s="79">
        <v>45855</v>
      </c>
      <c r="X6" s="79">
        <v>45856</v>
      </c>
      <c r="Y6" s="79">
        <v>45857</v>
      </c>
      <c r="Z6" s="79">
        <v>45858</v>
      </c>
      <c r="AA6" s="79">
        <v>45859</v>
      </c>
      <c r="AB6" s="79">
        <v>45860</v>
      </c>
      <c r="AC6" s="79">
        <v>45861</v>
      </c>
      <c r="AD6" s="79">
        <v>45862</v>
      </c>
      <c r="AE6" s="79">
        <v>45863</v>
      </c>
      <c r="AF6" s="79">
        <v>45864</v>
      </c>
      <c r="AG6" s="79">
        <v>45865</v>
      </c>
      <c r="AH6" s="79">
        <v>45866</v>
      </c>
      <c r="AI6" s="79">
        <v>45867</v>
      </c>
      <c r="AJ6" s="79">
        <v>45868</v>
      </c>
      <c r="AK6" s="79">
        <v>45869</v>
      </c>
      <c r="AL6" s="87" t="s">
        <v>575</v>
      </c>
      <c r="AM6" s="87"/>
      <c r="AN6" s="87"/>
    </row>
    <row r="7" spans="1:40" ht="15" customHeight="1" thickBot="1">
      <c r="A7" s="81"/>
      <c r="B7" s="81"/>
      <c r="C7" s="81"/>
      <c r="D7" s="81"/>
      <c r="E7" s="81"/>
      <c r="F7" s="81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87"/>
      <c r="AM7" s="87"/>
      <c r="AN7" s="87"/>
    </row>
    <row r="8" spans="1:40" ht="15.75" customHeight="1" thickBot="1">
      <c r="A8" s="81"/>
      <c r="B8" s="81"/>
      <c r="C8" s="81"/>
      <c r="D8" s="81"/>
      <c r="E8" s="81"/>
      <c r="F8" s="81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87"/>
      <c r="AM8" s="87"/>
      <c r="AN8" s="87"/>
    </row>
    <row r="9" spans="1:40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" t="s">
        <v>5</v>
      </c>
      <c r="AM9" s="8" t="s">
        <v>6</v>
      </c>
      <c r="AN9" s="9" t="s">
        <v>7</v>
      </c>
    </row>
    <row r="10" spans="1:40">
      <c r="A10" s="45" t="s">
        <v>62</v>
      </c>
      <c r="B10" s="32">
        <v>3</v>
      </c>
      <c r="C10" s="33" t="s">
        <v>82</v>
      </c>
      <c r="D10" s="33" t="s">
        <v>50</v>
      </c>
      <c r="E10" s="33" t="s">
        <v>95</v>
      </c>
      <c r="F10" s="32" t="s">
        <v>270</v>
      </c>
      <c r="G10" s="34">
        <v>1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10">
        <f t="shared" ref="AL10:AL73" si="0">SUM(G10:AK10)</f>
        <v>1</v>
      </c>
      <c r="AM10" s="11">
        <v>32000</v>
      </c>
      <c r="AN10" s="12">
        <f t="shared" ref="AN10:AN48" si="1">AM10*AL10</f>
        <v>32000</v>
      </c>
    </row>
    <row r="11" spans="1:40">
      <c r="A11" s="45" t="s">
        <v>62</v>
      </c>
      <c r="B11" s="32">
        <v>3</v>
      </c>
      <c r="C11" s="33" t="s">
        <v>297</v>
      </c>
      <c r="D11" s="33" t="s">
        <v>17</v>
      </c>
      <c r="E11" s="33" t="s">
        <v>15</v>
      </c>
      <c r="F11" s="32" t="s">
        <v>517</v>
      </c>
      <c r="G11" s="34">
        <v>1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10">
        <f t="shared" si="0"/>
        <v>1</v>
      </c>
      <c r="AM11" s="11">
        <v>32000</v>
      </c>
      <c r="AN11" s="12">
        <f t="shared" si="1"/>
        <v>32000</v>
      </c>
    </row>
    <row r="12" spans="1:40">
      <c r="A12" s="45" t="s">
        <v>62</v>
      </c>
      <c r="B12" s="32">
        <v>5</v>
      </c>
      <c r="C12" s="33" t="s">
        <v>570</v>
      </c>
      <c r="D12" s="33" t="s">
        <v>67</v>
      </c>
      <c r="E12" s="33" t="s">
        <v>37</v>
      </c>
      <c r="F12" s="32" t="s">
        <v>572</v>
      </c>
      <c r="G12" s="34">
        <v>1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10">
        <f t="shared" si="0"/>
        <v>1</v>
      </c>
      <c r="AM12" s="11">
        <v>32000</v>
      </c>
      <c r="AN12" s="12">
        <f t="shared" si="1"/>
        <v>32000</v>
      </c>
    </row>
    <row r="13" spans="1:40">
      <c r="A13" s="45" t="s">
        <v>62</v>
      </c>
      <c r="B13" s="32">
        <v>5</v>
      </c>
      <c r="C13" s="33" t="s">
        <v>222</v>
      </c>
      <c r="D13" s="33" t="s">
        <v>457</v>
      </c>
      <c r="E13" s="33" t="s">
        <v>571</v>
      </c>
      <c r="F13" s="32" t="s">
        <v>576</v>
      </c>
      <c r="G13" s="34">
        <v>1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10">
        <f t="shared" si="0"/>
        <v>1</v>
      </c>
      <c r="AM13" s="11">
        <v>32000</v>
      </c>
      <c r="AN13" s="12">
        <f t="shared" si="1"/>
        <v>32000</v>
      </c>
    </row>
    <row r="14" spans="1:40">
      <c r="A14" s="45" t="s">
        <v>62</v>
      </c>
      <c r="B14" s="32">
        <v>7</v>
      </c>
      <c r="C14" s="33" t="s">
        <v>264</v>
      </c>
      <c r="D14" s="33" t="s">
        <v>265</v>
      </c>
      <c r="E14" s="33" t="s">
        <v>266</v>
      </c>
      <c r="F14" s="32" t="s">
        <v>267</v>
      </c>
      <c r="G14" s="34">
        <v>1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10">
        <f t="shared" si="0"/>
        <v>1</v>
      </c>
      <c r="AM14" s="11">
        <v>32000</v>
      </c>
      <c r="AN14" s="12">
        <f t="shared" si="1"/>
        <v>32000</v>
      </c>
    </row>
    <row r="15" spans="1:40">
      <c r="A15" s="45" t="s">
        <v>62</v>
      </c>
      <c r="B15" s="32">
        <v>7</v>
      </c>
      <c r="C15" s="33" t="s">
        <v>262</v>
      </c>
      <c r="D15" s="33" t="s">
        <v>494</v>
      </c>
      <c r="E15" s="33" t="s">
        <v>53</v>
      </c>
      <c r="F15" s="32" t="s">
        <v>263</v>
      </c>
      <c r="G15" s="34">
        <v>1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10">
        <f t="shared" si="0"/>
        <v>1</v>
      </c>
      <c r="AM15" s="11">
        <v>32000</v>
      </c>
      <c r="AN15" s="12">
        <f t="shared" si="1"/>
        <v>32000</v>
      </c>
    </row>
    <row r="16" spans="1:40">
      <c r="A16" s="45" t="s">
        <v>62</v>
      </c>
      <c r="B16" s="32">
        <v>8</v>
      </c>
      <c r="C16" s="33" t="s">
        <v>423</v>
      </c>
      <c r="D16" s="33" t="s">
        <v>224</v>
      </c>
      <c r="E16" s="33" t="s">
        <v>24</v>
      </c>
      <c r="F16" s="32" t="s">
        <v>434</v>
      </c>
      <c r="G16" s="34">
        <v>1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10">
        <f t="shared" si="0"/>
        <v>1</v>
      </c>
      <c r="AM16" s="11">
        <v>32000</v>
      </c>
      <c r="AN16" s="12">
        <f t="shared" si="1"/>
        <v>32000</v>
      </c>
    </row>
    <row r="17" spans="1:40">
      <c r="A17" s="45" t="s">
        <v>62</v>
      </c>
      <c r="B17" s="32">
        <v>8</v>
      </c>
      <c r="C17" s="33" t="s">
        <v>454</v>
      </c>
      <c r="D17" s="33" t="s">
        <v>438</v>
      </c>
      <c r="E17" s="33" t="s">
        <v>64</v>
      </c>
      <c r="F17" s="32" t="s">
        <v>443</v>
      </c>
      <c r="G17" s="34">
        <v>1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10">
        <f t="shared" si="0"/>
        <v>1</v>
      </c>
      <c r="AM17" s="11">
        <v>32000</v>
      </c>
      <c r="AN17" s="12">
        <f t="shared" si="1"/>
        <v>32000</v>
      </c>
    </row>
    <row r="18" spans="1:40">
      <c r="A18" s="45" t="s">
        <v>62</v>
      </c>
      <c r="B18" s="32">
        <v>9</v>
      </c>
      <c r="C18" s="33" t="s">
        <v>63</v>
      </c>
      <c r="D18" s="33" t="s">
        <v>282</v>
      </c>
      <c r="E18" s="33" t="s">
        <v>9</v>
      </c>
      <c r="F18" s="32" t="s">
        <v>495</v>
      </c>
      <c r="G18" s="34">
        <v>1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10">
        <f t="shared" si="0"/>
        <v>1</v>
      </c>
      <c r="AM18" s="11">
        <v>32000</v>
      </c>
      <c r="AN18" s="12">
        <f t="shared" si="1"/>
        <v>32000</v>
      </c>
    </row>
    <row r="19" spans="1:40">
      <c r="A19" s="45" t="s">
        <v>62</v>
      </c>
      <c r="B19" s="32">
        <v>9</v>
      </c>
      <c r="C19" s="33" t="s">
        <v>176</v>
      </c>
      <c r="D19" s="33" t="s">
        <v>219</v>
      </c>
      <c r="E19" s="33" t="s">
        <v>22</v>
      </c>
      <c r="F19" s="32" t="s">
        <v>442</v>
      </c>
      <c r="G19" s="34">
        <v>1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10">
        <f t="shared" si="0"/>
        <v>1</v>
      </c>
      <c r="AM19" s="11">
        <v>32000</v>
      </c>
      <c r="AN19" s="12">
        <f t="shared" si="1"/>
        <v>32000</v>
      </c>
    </row>
    <row r="20" spans="1:40">
      <c r="A20" s="45" t="s">
        <v>62</v>
      </c>
      <c r="B20" s="32">
        <v>10</v>
      </c>
      <c r="C20" s="33" t="s">
        <v>84</v>
      </c>
      <c r="D20" s="33" t="s">
        <v>84</v>
      </c>
      <c r="E20" s="33" t="s">
        <v>85</v>
      </c>
      <c r="F20" s="32" t="s">
        <v>86</v>
      </c>
      <c r="G20" s="34">
        <v>1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10">
        <f t="shared" si="0"/>
        <v>1</v>
      </c>
      <c r="AM20" s="11">
        <v>32000</v>
      </c>
      <c r="AN20" s="12">
        <f t="shared" si="1"/>
        <v>32000</v>
      </c>
    </row>
    <row r="21" spans="1:40">
      <c r="A21" s="45" t="s">
        <v>62</v>
      </c>
      <c r="B21" s="32">
        <v>10</v>
      </c>
      <c r="C21" s="33" t="s">
        <v>496</v>
      </c>
      <c r="D21" s="33" t="s">
        <v>39</v>
      </c>
      <c r="E21" s="33" t="s">
        <v>22</v>
      </c>
      <c r="F21" s="32" t="s">
        <v>83</v>
      </c>
      <c r="G21" s="34">
        <v>1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10">
        <f t="shared" si="0"/>
        <v>1</v>
      </c>
      <c r="AM21" s="11">
        <v>32000</v>
      </c>
      <c r="AN21" s="12">
        <f t="shared" si="1"/>
        <v>32000</v>
      </c>
    </row>
    <row r="22" spans="1:40">
      <c r="A22" s="45" t="s">
        <v>62</v>
      </c>
      <c r="B22" s="32">
        <v>11</v>
      </c>
      <c r="C22" s="33" t="s">
        <v>94</v>
      </c>
      <c r="D22" s="33" t="s">
        <v>407</v>
      </c>
      <c r="E22" s="33" t="s">
        <v>143</v>
      </c>
      <c r="F22" s="32" t="s">
        <v>408</v>
      </c>
      <c r="G22" s="34">
        <v>1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10">
        <f t="shared" si="0"/>
        <v>1</v>
      </c>
      <c r="AM22" s="11">
        <v>32000</v>
      </c>
      <c r="AN22" s="12">
        <f t="shared" si="1"/>
        <v>32000</v>
      </c>
    </row>
    <row r="23" spans="1:40">
      <c r="A23" s="45" t="s">
        <v>62</v>
      </c>
      <c r="B23" s="32">
        <v>11</v>
      </c>
      <c r="C23" s="33" t="s">
        <v>409</v>
      </c>
      <c r="D23" s="33" t="s">
        <v>12</v>
      </c>
      <c r="E23" s="33" t="s">
        <v>225</v>
      </c>
      <c r="F23" s="32" t="s">
        <v>411</v>
      </c>
      <c r="G23" s="34">
        <v>1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10">
        <f t="shared" si="0"/>
        <v>1</v>
      </c>
      <c r="AM23" s="11">
        <v>32000</v>
      </c>
      <c r="AN23" s="12">
        <f t="shared" si="1"/>
        <v>32000</v>
      </c>
    </row>
    <row r="24" spans="1:40">
      <c r="A24" s="45" t="s">
        <v>62</v>
      </c>
      <c r="B24" s="32">
        <v>13</v>
      </c>
      <c r="C24" s="33" t="s">
        <v>563</v>
      </c>
      <c r="D24" s="33" t="s">
        <v>564</v>
      </c>
      <c r="E24" s="33" t="s">
        <v>229</v>
      </c>
      <c r="F24" s="32" t="s">
        <v>565</v>
      </c>
      <c r="G24" s="34">
        <v>1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10">
        <f t="shared" si="0"/>
        <v>1</v>
      </c>
      <c r="AM24" s="11">
        <v>32000</v>
      </c>
      <c r="AN24" s="12">
        <f t="shared" si="1"/>
        <v>32000</v>
      </c>
    </row>
    <row r="25" spans="1:40">
      <c r="A25" s="45" t="s">
        <v>62</v>
      </c>
      <c r="B25" s="32">
        <v>13</v>
      </c>
      <c r="C25" s="33" t="s">
        <v>147</v>
      </c>
      <c r="D25" s="33" t="s">
        <v>72</v>
      </c>
      <c r="E25" s="33" t="s">
        <v>70</v>
      </c>
      <c r="F25" s="32" t="s">
        <v>566</v>
      </c>
      <c r="G25" s="34">
        <v>1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10">
        <f t="shared" si="0"/>
        <v>1</v>
      </c>
      <c r="AM25" s="11">
        <v>32000</v>
      </c>
      <c r="AN25" s="12">
        <f t="shared" si="1"/>
        <v>32000</v>
      </c>
    </row>
    <row r="26" spans="1:40">
      <c r="A26" s="45" t="s">
        <v>62</v>
      </c>
      <c r="B26" s="32">
        <v>15</v>
      </c>
      <c r="C26" s="33" t="s">
        <v>47</v>
      </c>
      <c r="D26" s="33" t="s">
        <v>123</v>
      </c>
      <c r="E26" s="33" t="s">
        <v>355</v>
      </c>
      <c r="F26" s="32" t="s">
        <v>341</v>
      </c>
      <c r="G26" s="34">
        <v>1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10">
        <f t="shared" si="0"/>
        <v>1</v>
      </c>
      <c r="AM26" s="11">
        <v>32000</v>
      </c>
      <c r="AN26" s="12">
        <f t="shared" si="1"/>
        <v>32000</v>
      </c>
    </row>
    <row r="27" spans="1:40">
      <c r="A27" s="45" t="s">
        <v>62</v>
      </c>
      <c r="B27" s="32">
        <v>15</v>
      </c>
      <c r="C27" s="33" t="s">
        <v>98</v>
      </c>
      <c r="D27" s="33" t="s">
        <v>360</v>
      </c>
      <c r="E27" s="33" t="s">
        <v>359</v>
      </c>
      <c r="F27" s="32" t="s">
        <v>343</v>
      </c>
      <c r="G27" s="34">
        <v>1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10">
        <f t="shared" si="0"/>
        <v>1</v>
      </c>
      <c r="AM27" s="11">
        <v>32000</v>
      </c>
      <c r="AN27" s="12">
        <f t="shared" si="1"/>
        <v>32000</v>
      </c>
    </row>
    <row r="28" spans="1:40">
      <c r="A28" s="45" t="s">
        <v>62</v>
      </c>
      <c r="B28" s="32">
        <v>16</v>
      </c>
      <c r="C28" s="33" t="s">
        <v>302</v>
      </c>
      <c r="D28" s="33" t="s">
        <v>303</v>
      </c>
      <c r="E28" s="33" t="s">
        <v>43</v>
      </c>
      <c r="F28" s="32" t="s">
        <v>304</v>
      </c>
      <c r="G28" s="34">
        <v>1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10">
        <f t="shared" si="0"/>
        <v>1</v>
      </c>
      <c r="AM28" s="11">
        <v>32000</v>
      </c>
      <c r="AN28" s="12">
        <f t="shared" si="1"/>
        <v>32000</v>
      </c>
    </row>
    <row r="29" spans="1:40">
      <c r="A29" s="45" t="s">
        <v>62</v>
      </c>
      <c r="B29" s="32">
        <v>16</v>
      </c>
      <c r="C29" s="33" t="s">
        <v>145</v>
      </c>
      <c r="D29" s="33" t="s">
        <v>17</v>
      </c>
      <c r="E29" s="33" t="s">
        <v>305</v>
      </c>
      <c r="F29" s="32" t="s">
        <v>306</v>
      </c>
      <c r="G29" s="34">
        <v>1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10">
        <f t="shared" si="0"/>
        <v>1</v>
      </c>
      <c r="AM29" s="11">
        <v>32000</v>
      </c>
      <c r="AN29" s="12">
        <f t="shared" si="1"/>
        <v>32000</v>
      </c>
    </row>
    <row r="30" spans="1:40">
      <c r="A30" s="45" t="s">
        <v>62</v>
      </c>
      <c r="B30" s="32">
        <v>18</v>
      </c>
      <c r="C30" s="33" t="s">
        <v>333</v>
      </c>
      <c r="D30" s="33" t="s">
        <v>91</v>
      </c>
      <c r="E30" s="33" t="s">
        <v>182</v>
      </c>
      <c r="F30" s="32" t="s">
        <v>345</v>
      </c>
      <c r="G30" s="34">
        <v>1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10">
        <f t="shared" si="0"/>
        <v>1</v>
      </c>
      <c r="AM30" s="11">
        <v>32000</v>
      </c>
      <c r="AN30" s="12">
        <f t="shared" si="1"/>
        <v>32000</v>
      </c>
    </row>
    <row r="31" spans="1:40">
      <c r="A31" s="45" t="s">
        <v>62</v>
      </c>
      <c r="B31" s="32">
        <v>18</v>
      </c>
      <c r="C31" s="33" t="s">
        <v>26</v>
      </c>
      <c r="D31" s="33" t="s">
        <v>361</v>
      </c>
      <c r="E31" s="33" t="s">
        <v>28</v>
      </c>
      <c r="F31" s="32" t="s">
        <v>347</v>
      </c>
      <c r="G31" s="34">
        <v>1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10">
        <f t="shared" si="0"/>
        <v>1</v>
      </c>
      <c r="AM31" s="11">
        <v>32000</v>
      </c>
      <c r="AN31" s="12">
        <f t="shared" si="1"/>
        <v>32000</v>
      </c>
    </row>
    <row r="32" spans="1:40">
      <c r="A32" s="45" t="s">
        <v>62</v>
      </c>
      <c r="B32" s="32">
        <v>21</v>
      </c>
      <c r="C32" s="33" t="s">
        <v>491</v>
      </c>
      <c r="D32" s="33" t="s">
        <v>492</v>
      </c>
      <c r="E32" s="33" t="s">
        <v>53</v>
      </c>
      <c r="F32" s="32" t="s">
        <v>493</v>
      </c>
      <c r="G32" s="34">
        <v>1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10">
        <f t="shared" si="0"/>
        <v>1</v>
      </c>
      <c r="AM32" s="11">
        <v>32000</v>
      </c>
      <c r="AN32" s="12">
        <f t="shared" si="1"/>
        <v>32000</v>
      </c>
    </row>
    <row r="33" spans="1:40">
      <c r="A33" s="45" t="s">
        <v>62</v>
      </c>
      <c r="B33" s="32">
        <v>21</v>
      </c>
      <c r="C33" s="33" t="s">
        <v>439</v>
      </c>
      <c r="D33" s="33" t="s">
        <v>203</v>
      </c>
      <c r="E33" s="33" t="s">
        <v>229</v>
      </c>
      <c r="F33" s="32" t="s">
        <v>440</v>
      </c>
      <c r="G33" s="34">
        <v>1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10">
        <f t="shared" si="0"/>
        <v>1</v>
      </c>
      <c r="AM33" s="11">
        <v>32000</v>
      </c>
      <c r="AN33" s="12">
        <f t="shared" si="1"/>
        <v>32000</v>
      </c>
    </row>
    <row r="34" spans="1:40">
      <c r="A34" s="45" t="s">
        <v>62</v>
      </c>
      <c r="B34" s="32">
        <v>22</v>
      </c>
      <c r="C34" s="33" t="s">
        <v>225</v>
      </c>
      <c r="D34" s="33" t="s">
        <v>427</v>
      </c>
      <c r="E34" s="33" t="s">
        <v>547</v>
      </c>
      <c r="F34" s="32" t="s">
        <v>431</v>
      </c>
      <c r="G34" s="34">
        <v>1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10">
        <f t="shared" si="0"/>
        <v>1</v>
      </c>
      <c r="AM34" s="11">
        <v>32000</v>
      </c>
      <c r="AN34" s="12">
        <f t="shared" si="1"/>
        <v>32000</v>
      </c>
    </row>
    <row r="35" spans="1:40">
      <c r="A35" s="45" t="s">
        <v>62</v>
      </c>
      <c r="B35" s="32">
        <v>22</v>
      </c>
      <c r="C35" s="33" t="s">
        <v>45</v>
      </c>
      <c r="D35" s="33" t="s">
        <v>383</v>
      </c>
      <c r="E35" s="33" t="s">
        <v>28</v>
      </c>
      <c r="F35" s="32" t="s">
        <v>430</v>
      </c>
      <c r="G35" s="34">
        <v>1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10">
        <f t="shared" si="0"/>
        <v>1</v>
      </c>
      <c r="AM35" s="11">
        <v>32000</v>
      </c>
      <c r="AN35" s="12">
        <f t="shared" si="1"/>
        <v>32000</v>
      </c>
    </row>
    <row r="36" spans="1:40">
      <c r="A36" s="45" t="s">
        <v>62</v>
      </c>
      <c r="B36" s="32">
        <v>24</v>
      </c>
      <c r="C36" s="33" t="s">
        <v>424</v>
      </c>
      <c r="D36" s="33" t="s">
        <v>13</v>
      </c>
      <c r="E36" s="33" t="s">
        <v>425</v>
      </c>
      <c r="F36" s="32" t="s">
        <v>433</v>
      </c>
      <c r="G36" s="34">
        <v>1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10">
        <f t="shared" si="0"/>
        <v>1</v>
      </c>
      <c r="AM36" s="11">
        <v>32000</v>
      </c>
      <c r="AN36" s="12">
        <f t="shared" si="1"/>
        <v>32000</v>
      </c>
    </row>
    <row r="37" spans="1:40">
      <c r="A37" s="45" t="s">
        <v>62</v>
      </c>
      <c r="B37" s="32">
        <v>24</v>
      </c>
      <c r="C37" s="33" t="s">
        <v>424</v>
      </c>
      <c r="D37" s="33" t="s">
        <v>426</v>
      </c>
      <c r="E37" s="33" t="s">
        <v>188</v>
      </c>
      <c r="F37" s="32" t="s">
        <v>432</v>
      </c>
      <c r="G37" s="34">
        <v>1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10">
        <f t="shared" si="0"/>
        <v>1</v>
      </c>
      <c r="AM37" s="11">
        <v>32000</v>
      </c>
      <c r="AN37" s="12">
        <f t="shared" si="1"/>
        <v>32000</v>
      </c>
    </row>
    <row r="38" spans="1:40">
      <c r="A38" s="45" t="s">
        <v>62</v>
      </c>
      <c r="B38" s="32">
        <v>27</v>
      </c>
      <c r="C38" s="33" t="s">
        <v>237</v>
      </c>
      <c r="D38" s="33" t="s">
        <v>497</v>
      </c>
      <c r="E38" s="33" t="s">
        <v>194</v>
      </c>
      <c r="F38" s="32" t="s">
        <v>274</v>
      </c>
      <c r="G38" s="34">
        <v>1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10">
        <f t="shared" si="0"/>
        <v>1</v>
      </c>
      <c r="AM38" s="11">
        <v>32000</v>
      </c>
      <c r="AN38" s="12">
        <f t="shared" si="1"/>
        <v>32000</v>
      </c>
    </row>
    <row r="39" spans="1:40">
      <c r="A39" s="45" t="s">
        <v>62</v>
      </c>
      <c r="B39" s="32">
        <v>27</v>
      </c>
      <c r="C39" s="33" t="s">
        <v>78</v>
      </c>
      <c r="D39" s="33" t="s">
        <v>275</v>
      </c>
      <c r="E39" s="33" t="s">
        <v>276</v>
      </c>
      <c r="F39" s="32" t="s">
        <v>498</v>
      </c>
      <c r="G39" s="34">
        <v>1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10">
        <f t="shared" si="0"/>
        <v>1</v>
      </c>
      <c r="AM39" s="11">
        <v>32000</v>
      </c>
      <c r="AN39" s="12">
        <f t="shared" si="1"/>
        <v>32000</v>
      </c>
    </row>
    <row r="40" spans="1:40">
      <c r="A40" s="45" t="s">
        <v>62</v>
      </c>
      <c r="B40" s="32">
        <v>29</v>
      </c>
      <c r="C40" s="33" t="s">
        <v>224</v>
      </c>
      <c r="D40" s="33" t="s">
        <v>224</v>
      </c>
      <c r="E40" s="33" t="s">
        <v>466</v>
      </c>
      <c r="F40" s="32" t="s">
        <v>338</v>
      </c>
      <c r="G40" s="34">
        <v>1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10">
        <f t="shared" si="0"/>
        <v>1</v>
      </c>
      <c r="AM40" s="11">
        <v>32000</v>
      </c>
      <c r="AN40" s="12">
        <f t="shared" si="1"/>
        <v>32000</v>
      </c>
    </row>
    <row r="41" spans="1:40">
      <c r="A41" s="45" t="s">
        <v>62</v>
      </c>
      <c r="B41" s="32">
        <v>29</v>
      </c>
      <c r="C41" s="33" t="s">
        <v>224</v>
      </c>
      <c r="D41" s="33" t="s">
        <v>26</v>
      </c>
      <c r="E41" s="33" t="s">
        <v>135</v>
      </c>
      <c r="F41" s="32" t="s">
        <v>349</v>
      </c>
      <c r="G41" s="34">
        <v>1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10">
        <f t="shared" si="0"/>
        <v>1</v>
      </c>
      <c r="AM41" s="11">
        <v>32000</v>
      </c>
      <c r="AN41" s="12">
        <f t="shared" si="1"/>
        <v>32000</v>
      </c>
    </row>
    <row r="42" spans="1:40">
      <c r="A42" s="45" t="s">
        <v>62</v>
      </c>
      <c r="B42" s="32">
        <v>30</v>
      </c>
      <c r="C42" s="33" t="s">
        <v>499</v>
      </c>
      <c r="D42" s="33" t="s">
        <v>10</v>
      </c>
      <c r="E42" s="33" t="s">
        <v>37</v>
      </c>
      <c r="F42" s="32" t="s">
        <v>410</v>
      </c>
      <c r="G42" s="34">
        <v>1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10">
        <f t="shared" si="0"/>
        <v>1</v>
      </c>
      <c r="AM42" s="11">
        <v>32000</v>
      </c>
      <c r="AN42" s="12">
        <f t="shared" si="1"/>
        <v>32000</v>
      </c>
    </row>
    <row r="43" spans="1:40">
      <c r="A43" s="45" t="s">
        <v>62</v>
      </c>
      <c r="B43" s="32">
        <v>30</v>
      </c>
      <c r="C43" s="33" t="s">
        <v>84</v>
      </c>
      <c r="D43" s="33" t="s">
        <v>71</v>
      </c>
      <c r="E43" s="33" t="s">
        <v>230</v>
      </c>
      <c r="F43" s="32" t="s">
        <v>421</v>
      </c>
      <c r="G43" s="34">
        <v>1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10">
        <f t="shared" si="0"/>
        <v>1</v>
      </c>
      <c r="AM43" s="11">
        <v>32000</v>
      </c>
      <c r="AN43" s="12">
        <f t="shared" si="1"/>
        <v>32000</v>
      </c>
    </row>
    <row r="44" spans="1:40">
      <c r="A44" s="45" t="s">
        <v>62</v>
      </c>
      <c r="B44" s="32">
        <v>31</v>
      </c>
      <c r="C44" s="33" t="s">
        <v>181</v>
      </c>
      <c r="D44" s="33" t="s">
        <v>224</v>
      </c>
      <c r="E44" s="33" t="s">
        <v>412</v>
      </c>
      <c r="F44" s="32" t="s">
        <v>500</v>
      </c>
      <c r="G44" s="34">
        <v>1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10">
        <f t="shared" si="0"/>
        <v>1</v>
      </c>
      <c r="AM44" s="11">
        <v>32000</v>
      </c>
      <c r="AN44" s="12">
        <f t="shared" si="1"/>
        <v>32000</v>
      </c>
    </row>
    <row r="45" spans="1:40">
      <c r="A45" s="45" t="s">
        <v>62</v>
      </c>
      <c r="B45" s="32">
        <v>31</v>
      </c>
      <c r="C45" s="33" t="s">
        <v>91</v>
      </c>
      <c r="D45" s="33" t="s">
        <v>413</v>
      </c>
      <c r="E45" s="33" t="s">
        <v>188</v>
      </c>
      <c r="F45" s="32" t="s">
        <v>501</v>
      </c>
      <c r="G45" s="34">
        <v>1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10">
        <f t="shared" si="0"/>
        <v>1</v>
      </c>
      <c r="AM45" s="11">
        <v>32000</v>
      </c>
      <c r="AN45" s="12">
        <f t="shared" si="1"/>
        <v>32000</v>
      </c>
    </row>
    <row r="46" spans="1:40">
      <c r="A46" s="45" t="s">
        <v>62</v>
      </c>
      <c r="B46" s="32">
        <v>33</v>
      </c>
      <c r="C46" s="33" t="s">
        <v>173</v>
      </c>
      <c r="D46" s="33" t="s">
        <v>415</v>
      </c>
      <c r="E46" s="33" t="s">
        <v>416</v>
      </c>
      <c r="F46" s="32" t="s">
        <v>419</v>
      </c>
      <c r="G46" s="34">
        <v>1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10">
        <f t="shared" si="0"/>
        <v>1</v>
      </c>
      <c r="AM46" s="11">
        <v>32000</v>
      </c>
      <c r="AN46" s="12">
        <f t="shared" si="1"/>
        <v>32000</v>
      </c>
    </row>
    <row r="47" spans="1:40">
      <c r="A47" s="45" t="s">
        <v>62</v>
      </c>
      <c r="B47" s="32">
        <v>33</v>
      </c>
      <c r="C47" s="33" t="s">
        <v>376</v>
      </c>
      <c r="D47" s="33" t="s">
        <v>377</v>
      </c>
      <c r="E47" s="33" t="s">
        <v>43</v>
      </c>
      <c r="F47" s="32" t="s">
        <v>378</v>
      </c>
      <c r="G47" s="34">
        <v>1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10">
        <f t="shared" si="0"/>
        <v>1</v>
      </c>
      <c r="AM47" s="11">
        <v>32000</v>
      </c>
      <c r="AN47" s="12">
        <f t="shared" si="1"/>
        <v>32000</v>
      </c>
    </row>
    <row r="48" spans="1:40">
      <c r="A48" s="45" t="s">
        <v>62</v>
      </c>
      <c r="B48" s="32">
        <v>34</v>
      </c>
      <c r="C48" s="33" t="s">
        <v>353</v>
      </c>
      <c r="D48" s="33" t="s">
        <v>178</v>
      </c>
      <c r="E48" s="33" t="s">
        <v>280</v>
      </c>
      <c r="F48" s="32" t="s">
        <v>281</v>
      </c>
      <c r="G48" s="34">
        <v>1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10">
        <f t="shared" si="0"/>
        <v>1</v>
      </c>
      <c r="AM48" s="11">
        <v>32000</v>
      </c>
      <c r="AN48" s="12">
        <f t="shared" si="1"/>
        <v>32000</v>
      </c>
    </row>
    <row r="49" spans="1:40">
      <c r="A49" s="45" t="s">
        <v>62</v>
      </c>
      <c r="B49" s="32">
        <v>34</v>
      </c>
      <c r="C49" s="33" t="s">
        <v>91</v>
      </c>
      <c r="D49" s="33" t="s">
        <v>139</v>
      </c>
      <c r="E49" s="33" t="s">
        <v>140</v>
      </c>
      <c r="F49" s="32" t="s">
        <v>141</v>
      </c>
      <c r="G49" s="34">
        <v>1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10">
        <f t="shared" si="0"/>
        <v>1</v>
      </c>
      <c r="AM49" s="11">
        <v>32000</v>
      </c>
      <c r="AN49" s="12">
        <f t="shared" ref="AN49:AN92" si="2">AM49*AL49</f>
        <v>32000</v>
      </c>
    </row>
    <row r="50" spans="1:40">
      <c r="A50" s="45" t="s">
        <v>62</v>
      </c>
      <c r="B50" s="32">
        <v>37</v>
      </c>
      <c r="C50" s="33" t="s">
        <v>10</v>
      </c>
      <c r="D50" s="33" t="s">
        <v>245</v>
      </c>
      <c r="E50" s="33" t="s">
        <v>144</v>
      </c>
      <c r="F50" s="32" t="s">
        <v>246</v>
      </c>
      <c r="G50" s="34">
        <v>1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10">
        <f t="shared" si="0"/>
        <v>1</v>
      </c>
      <c r="AM50" s="11">
        <v>32000</v>
      </c>
      <c r="AN50" s="12">
        <f t="shared" si="2"/>
        <v>32000</v>
      </c>
    </row>
    <row r="51" spans="1:40">
      <c r="A51" s="45" t="s">
        <v>62</v>
      </c>
      <c r="B51" s="32">
        <v>37</v>
      </c>
      <c r="C51" s="33" t="s">
        <v>247</v>
      </c>
      <c r="D51" s="33" t="s">
        <v>220</v>
      </c>
      <c r="E51" s="33" t="s">
        <v>155</v>
      </c>
      <c r="F51" s="32" t="s">
        <v>248</v>
      </c>
      <c r="G51" s="34">
        <v>1</v>
      </c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10">
        <f t="shared" si="0"/>
        <v>1</v>
      </c>
      <c r="AM51" s="11">
        <v>32000</v>
      </c>
      <c r="AN51" s="12">
        <f t="shared" si="2"/>
        <v>32000</v>
      </c>
    </row>
    <row r="52" spans="1:40">
      <c r="A52" s="45" t="s">
        <v>62</v>
      </c>
      <c r="B52" s="32">
        <v>38</v>
      </c>
      <c r="C52" s="33" t="s">
        <v>502</v>
      </c>
      <c r="D52" s="33" t="s">
        <v>465</v>
      </c>
      <c r="E52" s="33" t="s">
        <v>467</v>
      </c>
      <c r="F52" s="32" t="s">
        <v>503</v>
      </c>
      <c r="G52" s="34">
        <v>1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10">
        <f t="shared" si="0"/>
        <v>1</v>
      </c>
      <c r="AM52" s="11">
        <v>32000</v>
      </c>
      <c r="AN52" s="12">
        <f t="shared" si="2"/>
        <v>32000</v>
      </c>
    </row>
    <row r="53" spans="1:40">
      <c r="A53" s="45" t="s">
        <v>62</v>
      </c>
      <c r="B53" s="32">
        <v>38</v>
      </c>
      <c r="C53" s="33" t="s">
        <v>249</v>
      </c>
      <c r="D53" s="33" t="s">
        <v>197</v>
      </c>
      <c r="E53" s="33" t="s">
        <v>68</v>
      </c>
      <c r="F53" s="32" t="s">
        <v>250</v>
      </c>
      <c r="G53" s="34">
        <v>1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10">
        <f t="shared" si="0"/>
        <v>1</v>
      </c>
      <c r="AM53" s="11">
        <v>32000</v>
      </c>
      <c r="AN53" s="12">
        <f t="shared" si="2"/>
        <v>32000</v>
      </c>
    </row>
    <row r="54" spans="1:40">
      <c r="A54" s="45" t="s">
        <v>62</v>
      </c>
      <c r="B54" s="32">
        <v>40</v>
      </c>
      <c r="C54" s="33" t="s">
        <v>142</v>
      </c>
      <c r="D54" s="33" t="s">
        <v>174</v>
      </c>
      <c r="E54" s="33" t="s">
        <v>175</v>
      </c>
      <c r="F54" s="32" t="s">
        <v>177</v>
      </c>
      <c r="G54" s="34">
        <v>1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10">
        <f t="shared" si="0"/>
        <v>1</v>
      </c>
      <c r="AM54" s="11">
        <v>32000</v>
      </c>
      <c r="AN54" s="12">
        <f t="shared" si="2"/>
        <v>32000</v>
      </c>
    </row>
    <row r="55" spans="1:40">
      <c r="A55" s="45" t="s">
        <v>62</v>
      </c>
      <c r="B55" s="32">
        <v>40</v>
      </c>
      <c r="C55" s="33" t="s">
        <v>373</v>
      </c>
      <c r="D55" s="33" t="s">
        <v>374</v>
      </c>
      <c r="E55" s="33" t="s">
        <v>371</v>
      </c>
      <c r="F55" s="32" t="s">
        <v>381</v>
      </c>
      <c r="G55" s="34">
        <v>1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10">
        <f t="shared" si="0"/>
        <v>1</v>
      </c>
      <c r="AM55" s="11">
        <v>32000</v>
      </c>
      <c r="AN55" s="12">
        <f t="shared" si="2"/>
        <v>32000</v>
      </c>
    </row>
    <row r="56" spans="1:40">
      <c r="A56" s="45" t="s">
        <v>62</v>
      </c>
      <c r="B56" s="32">
        <v>41</v>
      </c>
      <c r="C56" s="33" t="s">
        <v>375</v>
      </c>
      <c r="D56" s="33" t="s">
        <v>375</v>
      </c>
      <c r="E56" s="33" t="s">
        <v>9</v>
      </c>
      <c r="F56" s="32" t="s">
        <v>380</v>
      </c>
      <c r="G56" s="34">
        <v>1</v>
      </c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10">
        <f t="shared" si="0"/>
        <v>1</v>
      </c>
      <c r="AM56" s="11">
        <v>32000</v>
      </c>
      <c r="AN56" s="12">
        <f t="shared" si="2"/>
        <v>32000</v>
      </c>
    </row>
    <row r="57" spans="1:40">
      <c r="A57" s="45" t="s">
        <v>62</v>
      </c>
      <c r="B57" s="32">
        <v>41</v>
      </c>
      <c r="C57" s="33" t="s">
        <v>504</v>
      </c>
      <c r="D57" s="33" t="s">
        <v>181</v>
      </c>
      <c r="E57" s="33" t="s">
        <v>188</v>
      </c>
      <c r="F57" s="32" t="s">
        <v>379</v>
      </c>
      <c r="G57" s="34">
        <v>1</v>
      </c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10">
        <f t="shared" si="0"/>
        <v>1</v>
      </c>
      <c r="AM57" s="11">
        <v>32000</v>
      </c>
      <c r="AN57" s="12">
        <f t="shared" si="2"/>
        <v>32000</v>
      </c>
    </row>
    <row r="58" spans="1:40">
      <c r="A58" s="45" t="s">
        <v>62</v>
      </c>
      <c r="B58" s="32">
        <v>42</v>
      </c>
      <c r="C58" s="33" t="s">
        <v>314</v>
      </c>
      <c r="D58" s="33" t="s">
        <v>315</v>
      </c>
      <c r="E58" s="33" t="s">
        <v>316</v>
      </c>
      <c r="F58" s="32" t="s">
        <v>317</v>
      </c>
      <c r="G58" s="34">
        <v>1</v>
      </c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10">
        <f t="shared" si="0"/>
        <v>1</v>
      </c>
      <c r="AM58" s="11">
        <v>32000</v>
      </c>
      <c r="AN58" s="12">
        <f t="shared" si="2"/>
        <v>32000</v>
      </c>
    </row>
    <row r="59" spans="1:40">
      <c r="A59" s="45" t="s">
        <v>62</v>
      </c>
      <c r="B59" s="32">
        <v>42</v>
      </c>
      <c r="C59" s="33" t="s">
        <v>13</v>
      </c>
      <c r="D59" s="33" t="s">
        <v>38</v>
      </c>
      <c r="E59" s="33" t="s">
        <v>22</v>
      </c>
      <c r="F59" s="32" t="s">
        <v>318</v>
      </c>
      <c r="G59" s="34">
        <v>1</v>
      </c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10">
        <f t="shared" si="0"/>
        <v>1</v>
      </c>
      <c r="AM59" s="11">
        <v>32000</v>
      </c>
      <c r="AN59" s="12">
        <f t="shared" si="2"/>
        <v>32000</v>
      </c>
    </row>
    <row r="60" spans="1:40">
      <c r="A60" s="45" t="s">
        <v>62</v>
      </c>
      <c r="B60" s="32">
        <v>43</v>
      </c>
      <c r="C60" s="33" t="s">
        <v>206</v>
      </c>
      <c r="D60" s="33" t="s">
        <v>520</v>
      </c>
      <c r="E60" s="33" t="s">
        <v>521</v>
      </c>
      <c r="F60" s="32" t="s">
        <v>522</v>
      </c>
      <c r="G60" s="34">
        <v>1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10">
        <f t="shared" si="0"/>
        <v>1</v>
      </c>
      <c r="AM60" s="11">
        <v>32000</v>
      </c>
      <c r="AN60" s="12">
        <f t="shared" si="2"/>
        <v>32000</v>
      </c>
    </row>
    <row r="61" spans="1:40">
      <c r="A61" s="45" t="s">
        <v>62</v>
      </c>
      <c r="B61" s="32">
        <v>44</v>
      </c>
      <c r="C61" s="33" t="s">
        <v>189</v>
      </c>
      <c r="D61" s="33" t="s">
        <v>189</v>
      </c>
      <c r="E61" s="33" t="s">
        <v>190</v>
      </c>
      <c r="F61" s="32" t="s">
        <v>191</v>
      </c>
      <c r="G61" s="34">
        <v>1</v>
      </c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10">
        <f t="shared" si="0"/>
        <v>1</v>
      </c>
      <c r="AM61" s="11">
        <v>32000</v>
      </c>
      <c r="AN61" s="12">
        <f t="shared" si="2"/>
        <v>32000</v>
      </c>
    </row>
    <row r="62" spans="1:40">
      <c r="A62" s="45" t="s">
        <v>62</v>
      </c>
      <c r="B62" s="32">
        <v>44</v>
      </c>
      <c r="C62" s="33" t="s">
        <v>241</v>
      </c>
      <c r="D62" s="33" t="s">
        <v>242</v>
      </c>
      <c r="E62" s="33" t="s">
        <v>243</v>
      </c>
      <c r="F62" s="32" t="s">
        <v>244</v>
      </c>
      <c r="G62" s="34">
        <v>1</v>
      </c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10">
        <f t="shared" si="0"/>
        <v>1</v>
      </c>
      <c r="AM62" s="11">
        <v>32000</v>
      </c>
      <c r="AN62" s="12">
        <f t="shared" si="2"/>
        <v>32000</v>
      </c>
    </row>
    <row r="63" spans="1:40">
      <c r="A63" s="45" t="s">
        <v>62</v>
      </c>
      <c r="B63" s="32">
        <v>48</v>
      </c>
      <c r="C63" s="33" t="s">
        <v>176</v>
      </c>
      <c r="D63" s="33" t="s">
        <v>176</v>
      </c>
      <c r="E63" s="33" t="s">
        <v>184</v>
      </c>
      <c r="F63" s="32" t="s">
        <v>331</v>
      </c>
      <c r="G63" s="34">
        <v>1</v>
      </c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10">
        <f t="shared" si="0"/>
        <v>1</v>
      </c>
      <c r="AM63" s="11">
        <v>32000</v>
      </c>
      <c r="AN63" s="12">
        <f t="shared" si="2"/>
        <v>32000</v>
      </c>
    </row>
    <row r="64" spans="1:40">
      <c r="A64" s="45" t="s">
        <v>62</v>
      </c>
      <c r="B64" s="32">
        <v>48</v>
      </c>
      <c r="C64" s="33" t="s">
        <v>523</v>
      </c>
      <c r="D64" s="33" t="s">
        <v>73</v>
      </c>
      <c r="E64" s="33" t="s">
        <v>70</v>
      </c>
      <c r="F64" s="32" t="s">
        <v>74</v>
      </c>
      <c r="G64" s="34">
        <v>1</v>
      </c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10">
        <f t="shared" si="0"/>
        <v>1</v>
      </c>
      <c r="AM64" s="11">
        <v>32000</v>
      </c>
      <c r="AN64" s="12">
        <f t="shared" si="2"/>
        <v>32000</v>
      </c>
    </row>
    <row r="65" spans="1:40">
      <c r="A65" s="45" t="s">
        <v>62</v>
      </c>
      <c r="B65" s="32">
        <v>51</v>
      </c>
      <c r="C65" s="33" t="s">
        <v>67</v>
      </c>
      <c r="D65" s="33" t="s">
        <v>136</v>
      </c>
      <c r="E65" s="33" t="s">
        <v>505</v>
      </c>
      <c r="F65" s="32" t="s">
        <v>352</v>
      </c>
      <c r="G65" s="34">
        <v>1</v>
      </c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10">
        <f t="shared" si="0"/>
        <v>1</v>
      </c>
      <c r="AM65" s="11">
        <v>32000</v>
      </c>
      <c r="AN65" s="12">
        <f t="shared" si="2"/>
        <v>32000</v>
      </c>
    </row>
    <row r="66" spans="1:40">
      <c r="A66" s="45" t="s">
        <v>62</v>
      </c>
      <c r="B66" s="32">
        <v>51</v>
      </c>
      <c r="C66" s="33" t="s">
        <v>161</v>
      </c>
      <c r="D66" s="33" t="s">
        <v>524</v>
      </c>
      <c r="E66" s="33" t="s">
        <v>42</v>
      </c>
      <c r="F66" s="32" t="s">
        <v>525</v>
      </c>
      <c r="G66" s="34">
        <v>1</v>
      </c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10">
        <f t="shared" si="0"/>
        <v>1</v>
      </c>
      <c r="AM66" s="11">
        <v>32000</v>
      </c>
      <c r="AN66" s="12">
        <f t="shared" si="2"/>
        <v>32000</v>
      </c>
    </row>
    <row r="67" spans="1:40">
      <c r="A67" s="45" t="s">
        <v>62</v>
      </c>
      <c r="B67" s="32">
        <v>55</v>
      </c>
      <c r="C67" s="33" t="s">
        <v>171</v>
      </c>
      <c r="D67" s="33" t="s">
        <v>152</v>
      </c>
      <c r="E67" s="33" t="s">
        <v>37</v>
      </c>
      <c r="F67" s="32" t="s">
        <v>346</v>
      </c>
      <c r="G67" s="34">
        <v>1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10">
        <f t="shared" si="0"/>
        <v>1</v>
      </c>
      <c r="AM67" s="11">
        <v>32000</v>
      </c>
      <c r="AN67" s="12">
        <f t="shared" si="2"/>
        <v>32000</v>
      </c>
    </row>
    <row r="68" spans="1:40">
      <c r="A68" s="45" t="s">
        <v>62</v>
      </c>
      <c r="B68" s="32">
        <v>55</v>
      </c>
      <c r="C68" s="33" t="s">
        <v>26</v>
      </c>
      <c r="D68" s="33" t="s">
        <v>19</v>
      </c>
      <c r="E68" s="33" t="s">
        <v>11</v>
      </c>
      <c r="F68" s="32" t="s">
        <v>350</v>
      </c>
      <c r="G68" s="34">
        <v>1</v>
      </c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10">
        <f t="shared" si="0"/>
        <v>1</v>
      </c>
      <c r="AM68" s="11">
        <v>32000</v>
      </c>
      <c r="AN68" s="12">
        <f t="shared" si="2"/>
        <v>32000</v>
      </c>
    </row>
    <row r="69" spans="1:40">
      <c r="A69" s="45" t="s">
        <v>62</v>
      </c>
      <c r="B69" s="32">
        <v>56</v>
      </c>
      <c r="C69" s="33" t="s">
        <v>186</v>
      </c>
      <c r="D69" s="33" t="s">
        <v>67</v>
      </c>
      <c r="E69" s="33" t="s">
        <v>437</v>
      </c>
      <c r="F69" s="32" t="s">
        <v>444</v>
      </c>
      <c r="G69" s="34">
        <v>1</v>
      </c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10">
        <f t="shared" si="0"/>
        <v>1</v>
      </c>
      <c r="AM69" s="11">
        <v>32000</v>
      </c>
      <c r="AN69" s="12">
        <f t="shared" si="2"/>
        <v>32000</v>
      </c>
    </row>
    <row r="70" spans="1:40">
      <c r="A70" s="45" t="s">
        <v>62</v>
      </c>
      <c r="B70" s="32">
        <v>56</v>
      </c>
      <c r="C70" s="33" t="s">
        <v>422</v>
      </c>
      <c r="D70" s="33" t="s">
        <v>159</v>
      </c>
      <c r="E70" s="33" t="s">
        <v>140</v>
      </c>
      <c r="F70" s="32" t="s">
        <v>435</v>
      </c>
      <c r="G70" s="34">
        <v>1</v>
      </c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10">
        <f t="shared" si="0"/>
        <v>1</v>
      </c>
      <c r="AM70" s="11">
        <v>32000</v>
      </c>
      <c r="AN70" s="12">
        <f t="shared" si="2"/>
        <v>32000</v>
      </c>
    </row>
    <row r="71" spans="1:40">
      <c r="A71" s="45" t="s">
        <v>62</v>
      </c>
      <c r="B71" s="32">
        <v>57</v>
      </c>
      <c r="C71" s="33" t="s">
        <v>23</v>
      </c>
      <c r="D71" s="33" t="s">
        <v>63</v>
      </c>
      <c r="E71" s="33" t="s">
        <v>64</v>
      </c>
      <c r="F71" s="32" t="s">
        <v>65</v>
      </c>
      <c r="G71" s="34">
        <v>1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10">
        <f t="shared" si="0"/>
        <v>1</v>
      </c>
      <c r="AM71" s="11">
        <v>32000</v>
      </c>
      <c r="AN71" s="12">
        <f t="shared" si="2"/>
        <v>32000</v>
      </c>
    </row>
    <row r="72" spans="1:40">
      <c r="A72" s="45" t="s">
        <v>62</v>
      </c>
      <c r="B72" s="32">
        <v>57</v>
      </c>
      <c r="C72" s="33" t="s">
        <v>310</v>
      </c>
      <c r="D72" s="33" t="s">
        <v>237</v>
      </c>
      <c r="E72" s="33" t="s">
        <v>140</v>
      </c>
      <c r="F72" s="32" t="s">
        <v>336</v>
      </c>
      <c r="G72" s="34">
        <v>1</v>
      </c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10">
        <f t="shared" si="0"/>
        <v>1</v>
      </c>
      <c r="AM72" s="11">
        <v>32000</v>
      </c>
      <c r="AN72" s="12">
        <f t="shared" si="2"/>
        <v>32000</v>
      </c>
    </row>
    <row r="73" spans="1:40">
      <c r="A73" s="45" t="s">
        <v>62</v>
      </c>
      <c r="B73" s="32">
        <v>58</v>
      </c>
      <c r="C73" s="33" t="s">
        <v>206</v>
      </c>
      <c r="D73" s="33" t="s">
        <v>206</v>
      </c>
      <c r="E73" s="33" t="s">
        <v>207</v>
      </c>
      <c r="F73" s="32" t="s">
        <v>208</v>
      </c>
      <c r="G73" s="34">
        <v>1</v>
      </c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10">
        <f t="shared" si="0"/>
        <v>1</v>
      </c>
      <c r="AM73" s="11">
        <v>32000</v>
      </c>
      <c r="AN73" s="12">
        <f t="shared" si="2"/>
        <v>32000</v>
      </c>
    </row>
    <row r="74" spans="1:40">
      <c r="A74" s="45" t="s">
        <v>62</v>
      </c>
      <c r="B74" s="32">
        <v>58</v>
      </c>
      <c r="C74" s="33" t="s">
        <v>170</v>
      </c>
      <c r="D74" s="33" t="s">
        <v>12</v>
      </c>
      <c r="E74" s="33" t="s">
        <v>15</v>
      </c>
      <c r="F74" s="32" t="s">
        <v>212</v>
      </c>
      <c r="G74" s="34">
        <v>1</v>
      </c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10">
        <f t="shared" ref="AL74:AL137" si="3">SUM(G74:AK74)</f>
        <v>1</v>
      </c>
      <c r="AM74" s="11">
        <v>32000</v>
      </c>
      <c r="AN74" s="12">
        <f t="shared" si="2"/>
        <v>32000</v>
      </c>
    </row>
    <row r="75" spans="1:40">
      <c r="A75" s="45" t="s">
        <v>62</v>
      </c>
      <c r="B75" s="32">
        <v>59</v>
      </c>
      <c r="C75" s="33" t="s">
        <v>251</v>
      </c>
      <c r="D75" s="33" t="s">
        <v>252</v>
      </c>
      <c r="E75" s="33" t="s">
        <v>70</v>
      </c>
      <c r="F75" s="32" t="s">
        <v>253</v>
      </c>
      <c r="G75" s="34">
        <v>1</v>
      </c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10">
        <f t="shared" si="3"/>
        <v>1</v>
      </c>
      <c r="AM75" s="11">
        <v>32000</v>
      </c>
      <c r="AN75" s="12">
        <f t="shared" si="2"/>
        <v>32000</v>
      </c>
    </row>
    <row r="76" spans="1:40">
      <c r="A76" s="45" t="s">
        <v>62</v>
      </c>
      <c r="B76" s="32">
        <v>59</v>
      </c>
      <c r="C76" s="33" t="s">
        <v>254</v>
      </c>
      <c r="D76" s="33" t="s">
        <v>255</v>
      </c>
      <c r="E76" s="33" t="s">
        <v>135</v>
      </c>
      <c r="F76" s="32" t="s">
        <v>256</v>
      </c>
      <c r="G76" s="34">
        <v>1</v>
      </c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10">
        <f t="shared" si="3"/>
        <v>1</v>
      </c>
      <c r="AM76" s="11">
        <v>32000</v>
      </c>
      <c r="AN76" s="12">
        <f t="shared" si="2"/>
        <v>32000</v>
      </c>
    </row>
    <row r="77" spans="1:40">
      <c r="A77" s="45" t="s">
        <v>62</v>
      </c>
      <c r="B77" s="32">
        <v>61</v>
      </c>
      <c r="C77" s="33" t="s">
        <v>310</v>
      </c>
      <c r="D77" s="33" t="s">
        <v>237</v>
      </c>
      <c r="E77" s="33" t="s">
        <v>168</v>
      </c>
      <c r="F77" s="32" t="s">
        <v>311</v>
      </c>
      <c r="G77" s="34">
        <v>1</v>
      </c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10">
        <f t="shared" si="3"/>
        <v>1</v>
      </c>
      <c r="AM77" s="11">
        <v>32000</v>
      </c>
      <c r="AN77" s="12">
        <f t="shared" si="2"/>
        <v>32000</v>
      </c>
    </row>
    <row r="78" spans="1:40">
      <c r="A78" s="45" t="s">
        <v>62</v>
      </c>
      <c r="B78" s="32">
        <v>61</v>
      </c>
      <c r="C78" s="33" t="s">
        <v>66</v>
      </c>
      <c r="D78" s="33" t="s">
        <v>67</v>
      </c>
      <c r="E78" s="33" t="s">
        <v>68</v>
      </c>
      <c r="F78" s="32" t="s">
        <v>69</v>
      </c>
      <c r="G78" s="34">
        <v>1</v>
      </c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10">
        <f t="shared" si="3"/>
        <v>1</v>
      </c>
      <c r="AM78" s="11">
        <v>32000</v>
      </c>
      <c r="AN78" s="12">
        <f t="shared" si="2"/>
        <v>32000</v>
      </c>
    </row>
    <row r="79" spans="1:40">
      <c r="A79" s="45" t="s">
        <v>62</v>
      </c>
      <c r="B79" s="32">
        <v>63</v>
      </c>
      <c r="C79" s="33" t="s">
        <v>91</v>
      </c>
      <c r="D79" s="33" t="s">
        <v>17</v>
      </c>
      <c r="E79" s="33" t="s">
        <v>210</v>
      </c>
      <c r="F79" s="32" t="s">
        <v>211</v>
      </c>
      <c r="G79" s="34">
        <v>1</v>
      </c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10">
        <f t="shared" si="3"/>
        <v>1</v>
      </c>
      <c r="AM79" s="11">
        <v>32000</v>
      </c>
      <c r="AN79" s="12">
        <f t="shared" si="2"/>
        <v>32000</v>
      </c>
    </row>
    <row r="80" spans="1:40">
      <c r="A80" s="45" t="s">
        <v>62</v>
      </c>
      <c r="B80" s="32">
        <v>63</v>
      </c>
      <c r="C80" s="33" t="s">
        <v>273</v>
      </c>
      <c r="D80" s="33" t="s">
        <v>12</v>
      </c>
      <c r="E80" s="33" t="s">
        <v>506</v>
      </c>
      <c r="F80" s="32" t="s">
        <v>209</v>
      </c>
      <c r="G80" s="34">
        <v>1</v>
      </c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10">
        <f t="shared" si="3"/>
        <v>1</v>
      </c>
      <c r="AM80" s="11">
        <v>32000</v>
      </c>
      <c r="AN80" s="12">
        <f t="shared" si="2"/>
        <v>32000</v>
      </c>
    </row>
    <row r="81" spans="1:40">
      <c r="A81" s="45" t="s">
        <v>62</v>
      </c>
      <c r="B81" s="32">
        <v>65</v>
      </c>
      <c r="C81" s="33" t="s">
        <v>105</v>
      </c>
      <c r="D81" s="33" t="s">
        <v>454</v>
      </c>
      <c r="E81" s="33" t="s">
        <v>384</v>
      </c>
      <c r="F81" s="32" t="s">
        <v>567</v>
      </c>
      <c r="G81" s="34">
        <v>1</v>
      </c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10">
        <f t="shared" si="3"/>
        <v>1</v>
      </c>
      <c r="AM81" s="11">
        <v>32000</v>
      </c>
      <c r="AN81" s="12">
        <f t="shared" si="2"/>
        <v>32000</v>
      </c>
    </row>
    <row r="82" spans="1:40">
      <c r="A82" s="45" t="s">
        <v>62</v>
      </c>
      <c r="B82" s="32">
        <v>65</v>
      </c>
      <c r="C82" s="33" t="s">
        <v>568</v>
      </c>
      <c r="D82" s="33" t="s">
        <v>335</v>
      </c>
      <c r="E82" s="33" t="s">
        <v>382</v>
      </c>
      <c r="F82" s="32" t="s">
        <v>569</v>
      </c>
      <c r="G82" s="34">
        <v>1</v>
      </c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10">
        <f t="shared" si="3"/>
        <v>1</v>
      </c>
      <c r="AM82" s="11">
        <v>32000</v>
      </c>
      <c r="AN82" s="12">
        <f t="shared" si="2"/>
        <v>32000</v>
      </c>
    </row>
    <row r="83" spans="1:40">
      <c r="A83" s="45" t="s">
        <v>62</v>
      </c>
      <c r="B83" s="32">
        <v>66</v>
      </c>
      <c r="C83" s="33" t="s">
        <v>257</v>
      </c>
      <c r="D83" s="33" t="s">
        <v>258</v>
      </c>
      <c r="E83" s="33" t="s">
        <v>28</v>
      </c>
      <c r="F83" s="32" t="s">
        <v>259</v>
      </c>
      <c r="G83" s="34">
        <v>1</v>
      </c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10">
        <f t="shared" si="3"/>
        <v>1</v>
      </c>
      <c r="AM83" s="11">
        <v>32000</v>
      </c>
      <c r="AN83" s="12">
        <f t="shared" si="2"/>
        <v>32000</v>
      </c>
    </row>
    <row r="84" spans="1:40">
      <c r="A84" s="45" t="s">
        <v>62</v>
      </c>
      <c r="B84" s="32">
        <v>66</v>
      </c>
      <c r="C84" s="33" t="s">
        <v>323</v>
      </c>
      <c r="D84" s="33" t="s">
        <v>233</v>
      </c>
      <c r="E84" s="33" t="s">
        <v>143</v>
      </c>
      <c r="F84" s="32" t="s">
        <v>324</v>
      </c>
      <c r="G84" s="34">
        <v>1</v>
      </c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10">
        <f t="shared" si="3"/>
        <v>1</v>
      </c>
      <c r="AM84" s="11">
        <v>32000</v>
      </c>
      <c r="AN84" s="12">
        <f t="shared" si="2"/>
        <v>32000</v>
      </c>
    </row>
    <row r="85" spans="1:40">
      <c r="A85" s="45" t="s">
        <v>62</v>
      </c>
      <c r="B85" s="32">
        <v>67</v>
      </c>
      <c r="C85" s="33" t="s">
        <v>364</v>
      </c>
      <c r="D85" s="33" t="s">
        <v>178</v>
      </c>
      <c r="E85" s="33" t="s">
        <v>135</v>
      </c>
      <c r="F85" s="32" t="s">
        <v>239</v>
      </c>
      <c r="G85" s="34">
        <v>1</v>
      </c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10">
        <f t="shared" si="3"/>
        <v>1</v>
      </c>
      <c r="AM85" s="11">
        <v>32000</v>
      </c>
      <c r="AN85" s="12">
        <f t="shared" si="2"/>
        <v>32000</v>
      </c>
    </row>
    <row r="86" spans="1:40">
      <c r="A86" s="45" t="s">
        <v>62</v>
      </c>
      <c r="B86" s="32">
        <v>67</v>
      </c>
      <c r="C86" s="33" t="s">
        <v>38</v>
      </c>
      <c r="D86" s="33" t="s">
        <v>393</v>
      </c>
      <c r="E86" s="33" t="s">
        <v>394</v>
      </c>
      <c r="F86" s="32" t="s">
        <v>395</v>
      </c>
      <c r="G86" s="34">
        <v>1</v>
      </c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10">
        <f t="shared" si="3"/>
        <v>1</v>
      </c>
      <c r="AM86" s="11">
        <v>32000</v>
      </c>
      <c r="AN86" s="12">
        <f t="shared" si="2"/>
        <v>32000</v>
      </c>
    </row>
    <row r="87" spans="1:40">
      <c r="A87" s="45" t="s">
        <v>62</v>
      </c>
      <c r="B87" s="32">
        <v>68</v>
      </c>
      <c r="C87" s="33" t="s">
        <v>187</v>
      </c>
      <c r="D87" s="33" t="s">
        <v>399</v>
      </c>
      <c r="E87" s="33" t="s">
        <v>75</v>
      </c>
      <c r="F87" s="32" t="s">
        <v>406</v>
      </c>
      <c r="G87" s="34">
        <v>1</v>
      </c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10">
        <f t="shared" si="3"/>
        <v>1</v>
      </c>
      <c r="AM87" s="11">
        <v>32000</v>
      </c>
      <c r="AN87" s="12">
        <f t="shared" si="2"/>
        <v>32000</v>
      </c>
    </row>
    <row r="88" spans="1:40">
      <c r="A88" s="45" t="s">
        <v>62</v>
      </c>
      <c r="B88" s="32">
        <v>68</v>
      </c>
      <c r="C88" s="33" t="s">
        <v>400</v>
      </c>
      <c r="D88" s="33" t="s">
        <v>401</v>
      </c>
      <c r="E88" s="33" t="s">
        <v>229</v>
      </c>
      <c r="F88" s="32" t="s">
        <v>453</v>
      </c>
      <c r="G88" s="34">
        <v>1</v>
      </c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10">
        <f t="shared" si="3"/>
        <v>1</v>
      </c>
      <c r="AM88" s="11">
        <v>32000</v>
      </c>
      <c r="AN88" s="12">
        <f t="shared" si="2"/>
        <v>32000</v>
      </c>
    </row>
    <row r="89" spans="1:40">
      <c r="A89" s="45" t="s">
        <v>62</v>
      </c>
      <c r="B89" s="32">
        <v>69</v>
      </c>
      <c r="C89" s="33" t="s">
        <v>19</v>
      </c>
      <c r="D89" s="33" t="s">
        <v>320</v>
      </c>
      <c r="E89" s="33" t="s">
        <v>321</v>
      </c>
      <c r="F89" s="32" t="s">
        <v>322</v>
      </c>
      <c r="G89" s="34">
        <v>1</v>
      </c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10">
        <f t="shared" si="3"/>
        <v>1</v>
      </c>
      <c r="AM89" s="11">
        <v>32000</v>
      </c>
      <c r="AN89" s="12">
        <f t="shared" si="2"/>
        <v>32000</v>
      </c>
    </row>
    <row r="90" spans="1:40">
      <c r="A90" s="45" t="s">
        <v>62</v>
      </c>
      <c r="B90" s="32">
        <v>69</v>
      </c>
      <c r="C90" s="33" t="s">
        <v>368</v>
      </c>
      <c r="D90" s="33" t="s">
        <v>146</v>
      </c>
      <c r="E90" s="33" t="s">
        <v>25</v>
      </c>
      <c r="F90" s="32" t="s">
        <v>516</v>
      </c>
      <c r="G90" s="34">
        <v>1</v>
      </c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10">
        <f t="shared" si="3"/>
        <v>1</v>
      </c>
      <c r="AM90" s="11">
        <v>32000</v>
      </c>
      <c r="AN90" s="12">
        <f t="shared" si="2"/>
        <v>32000</v>
      </c>
    </row>
    <row r="91" spans="1:40">
      <c r="A91" s="45" t="s">
        <v>62</v>
      </c>
      <c r="B91" s="32">
        <v>71</v>
      </c>
      <c r="C91" s="33" t="s">
        <v>403</v>
      </c>
      <c r="D91" s="33" t="s">
        <v>162</v>
      </c>
      <c r="E91" s="33" t="s">
        <v>321</v>
      </c>
      <c r="F91" s="32" t="s">
        <v>404</v>
      </c>
      <c r="G91" s="34">
        <v>1</v>
      </c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10">
        <f t="shared" si="3"/>
        <v>1</v>
      </c>
      <c r="AM91" s="11">
        <v>32000</v>
      </c>
      <c r="AN91" s="12">
        <f t="shared" si="2"/>
        <v>32000</v>
      </c>
    </row>
    <row r="92" spans="1:40">
      <c r="A92" s="45" t="s">
        <v>62</v>
      </c>
      <c r="B92" s="32">
        <v>71</v>
      </c>
      <c r="C92" s="33" t="s">
        <v>402</v>
      </c>
      <c r="D92" s="33" t="s">
        <v>41</v>
      </c>
      <c r="E92" s="33" t="s">
        <v>20</v>
      </c>
      <c r="F92" s="32" t="s">
        <v>405</v>
      </c>
      <c r="G92" s="34">
        <v>1</v>
      </c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10">
        <f t="shared" si="3"/>
        <v>1</v>
      </c>
      <c r="AM92" s="11">
        <v>32000</v>
      </c>
      <c r="AN92" s="12">
        <f t="shared" si="2"/>
        <v>32000</v>
      </c>
    </row>
    <row r="93" spans="1:40">
      <c r="A93" s="45" t="s">
        <v>62</v>
      </c>
      <c r="B93" s="32">
        <v>72</v>
      </c>
      <c r="C93" s="33" t="s">
        <v>292</v>
      </c>
      <c r="D93" s="33" t="s">
        <v>293</v>
      </c>
      <c r="E93" s="33" t="s">
        <v>46</v>
      </c>
      <c r="F93" s="32" t="s">
        <v>294</v>
      </c>
      <c r="G93" s="34">
        <v>1</v>
      </c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10">
        <f t="shared" si="3"/>
        <v>1</v>
      </c>
      <c r="AM93" s="11">
        <v>32000</v>
      </c>
      <c r="AN93" s="12">
        <f t="shared" ref="AN93:AN138" si="4">AM93*AL93</f>
        <v>32000</v>
      </c>
    </row>
    <row r="94" spans="1:40">
      <c r="A94" s="45" t="s">
        <v>62</v>
      </c>
      <c r="B94" s="32">
        <v>72</v>
      </c>
      <c r="C94" s="33" t="s">
        <v>166</v>
      </c>
      <c r="D94" s="33" t="s">
        <v>295</v>
      </c>
      <c r="E94" s="33" t="s">
        <v>168</v>
      </c>
      <c r="F94" s="32" t="s">
        <v>296</v>
      </c>
      <c r="G94" s="34">
        <v>1</v>
      </c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10">
        <f t="shared" si="3"/>
        <v>1</v>
      </c>
      <c r="AM94" s="11">
        <v>32000</v>
      </c>
      <c r="AN94" s="12">
        <f t="shared" si="4"/>
        <v>32000</v>
      </c>
    </row>
    <row r="95" spans="1:40">
      <c r="A95" s="45" t="s">
        <v>62</v>
      </c>
      <c r="B95" s="32">
        <v>74</v>
      </c>
      <c r="C95" s="33" t="s">
        <v>365</v>
      </c>
      <c r="D95" s="33" t="s">
        <v>366</v>
      </c>
      <c r="E95" s="33" t="s">
        <v>507</v>
      </c>
      <c r="F95" s="32" t="s">
        <v>351</v>
      </c>
      <c r="G95" s="34">
        <v>1</v>
      </c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10">
        <f t="shared" si="3"/>
        <v>1</v>
      </c>
      <c r="AM95" s="11">
        <v>32000</v>
      </c>
      <c r="AN95" s="12">
        <f t="shared" si="4"/>
        <v>32000</v>
      </c>
    </row>
    <row r="96" spans="1:40" ht="13.5" customHeight="1">
      <c r="A96" s="45" t="s">
        <v>62</v>
      </c>
      <c r="B96" s="32">
        <v>74</v>
      </c>
      <c r="C96" s="33" t="s">
        <v>151</v>
      </c>
      <c r="D96" s="33" t="s">
        <v>151</v>
      </c>
      <c r="E96" s="33" t="s">
        <v>9</v>
      </c>
      <c r="F96" s="32" t="s">
        <v>238</v>
      </c>
      <c r="G96" s="34">
        <v>1</v>
      </c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10">
        <f t="shared" si="3"/>
        <v>1</v>
      </c>
      <c r="AM96" s="11">
        <v>32000</v>
      </c>
      <c r="AN96" s="12">
        <f t="shared" si="4"/>
        <v>32000</v>
      </c>
    </row>
    <row r="97" spans="1:40" ht="13.5" customHeight="1">
      <c r="A97" s="45" t="s">
        <v>62</v>
      </c>
      <c r="B97" s="32">
        <v>75</v>
      </c>
      <c r="C97" s="33" t="s">
        <v>457</v>
      </c>
      <c r="D97" s="33" t="s">
        <v>361</v>
      </c>
      <c r="E97" s="33" t="s">
        <v>549</v>
      </c>
      <c r="F97" s="32" t="s">
        <v>550</v>
      </c>
      <c r="G97" s="34">
        <v>1</v>
      </c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10">
        <f t="shared" si="3"/>
        <v>1</v>
      </c>
      <c r="AM97" s="11">
        <v>32000</v>
      </c>
      <c r="AN97" s="12">
        <f t="shared" si="4"/>
        <v>32000</v>
      </c>
    </row>
    <row r="98" spans="1:40" ht="13.5" customHeight="1">
      <c r="A98" s="45" t="s">
        <v>62</v>
      </c>
      <c r="B98" s="32">
        <v>75</v>
      </c>
      <c r="C98" s="33" t="s">
        <v>245</v>
      </c>
      <c r="D98" s="33" t="s">
        <v>383</v>
      </c>
      <c r="E98" s="33" t="s">
        <v>22</v>
      </c>
      <c r="F98" s="32" t="s">
        <v>551</v>
      </c>
      <c r="G98" s="34">
        <v>1</v>
      </c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10">
        <f t="shared" si="3"/>
        <v>1</v>
      </c>
      <c r="AM98" s="11">
        <v>32000</v>
      </c>
      <c r="AN98" s="12">
        <f t="shared" si="4"/>
        <v>32000</v>
      </c>
    </row>
    <row r="99" spans="1:40" ht="13.5" customHeight="1">
      <c r="A99" s="45" t="s">
        <v>62</v>
      </c>
      <c r="B99" s="32">
        <v>77</v>
      </c>
      <c r="C99" s="33" t="s">
        <v>319</v>
      </c>
      <c r="D99" s="33" t="s">
        <v>319</v>
      </c>
      <c r="E99" s="33" t="s">
        <v>160</v>
      </c>
      <c r="F99" s="32" t="s">
        <v>441</v>
      </c>
      <c r="G99" s="34">
        <v>1</v>
      </c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10">
        <f t="shared" si="3"/>
        <v>1</v>
      </c>
      <c r="AM99" s="11">
        <v>32000</v>
      </c>
      <c r="AN99" s="12">
        <f t="shared" si="4"/>
        <v>32000</v>
      </c>
    </row>
    <row r="100" spans="1:40" ht="13.5" customHeight="1">
      <c r="A100" s="45" t="s">
        <v>62</v>
      </c>
      <c r="B100" s="32">
        <v>77</v>
      </c>
      <c r="C100" s="33" t="s">
        <v>414</v>
      </c>
      <c r="D100" s="33" t="s">
        <v>67</v>
      </c>
      <c r="E100" s="33" t="s">
        <v>75</v>
      </c>
      <c r="F100" s="32" t="s">
        <v>420</v>
      </c>
      <c r="G100" s="34">
        <v>1</v>
      </c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10">
        <f t="shared" si="3"/>
        <v>1</v>
      </c>
      <c r="AM100" s="11">
        <v>32000</v>
      </c>
      <c r="AN100" s="12">
        <f t="shared" si="4"/>
        <v>32000</v>
      </c>
    </row>
    <row r="101" spans="1:40" ht="13.5" customHeight="1">
      <c r="A101" s="45" t="s">
        <v>62</v>
      </c>
      <c r="B101" s="32">
        <v>79</v>
      </c>
      <c r="C101" s="33" t="s">
        <v>325</v>
      </c>
      <c r="D101" s="33" t="s">
        <v>325</v>
      </c>
      <c r="E101" s="33" t="s">
        <v>185</v>
      </c>
      <c r="F101" s="32" t="s">
        <v>326</v>
      </c>
      <c r="G101" s="34">
        <v>1</v>
      </c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10">
        <f t="shared" si="3"/>
        <v>1</v>
      </c>
      <c r="AM101" s="11">
        <v>32000</v>
      </c>
      <c r="AN101" s="12">
        <f t="shared" si="4"/>
        <v>32000</v>
      </c>
    </row>
    <row r="102" spans="1:40" ht="13.5" customHeight="1">
      <c r="A102" s="45" t="s">
        <v>62</v>
      </c>
      <c r="B102" s="32">
        <v>79</v>
      </c>
      <c r="C102" s="33" t="s">
        <v>327</v>
      </c>
      <c r="D102" s="33" t="s">
        <v>328</v>
      </c>
      <c r="E102" s="33" t="s">
        <v>329</v>
      </c>
      <c r="F102" s="32" t="s">
        <v>330</v>
      </c>
      <c r="G102" s="34">
        <v>1</v>
      </c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10">
        <f t="shared" si="3"/>
        <v>1</v>
      </c>
      <c r="AM102" s="11">
        <v>32000</v>
      </c>
      <c r="AN102" s="12">
        <f t="shared" si="4"/>
        <v>32000</v>
      </c>
    </row>
    <row r="103" spans="1:40" ht="13.5" customHeight="1">
      <c r="A103" s="45" t="s">
        <v>62</v>
      </c>
      <c r="B103" s="32">
        <v>80</v>
      </c>
      <c r="C103" s="33" t="s">
        <v>224</v>
      </c>
      <c r="D103" s="33" t="s">
        <v>297</v>
      </c>
      <c r="E103" s="33" t="s">
        <v>298</v>
      </c>
      <c r="F103" s="32" t="s">
        <v>299</v>
      </c>
      <c r="G103" s="34">
        <v>1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10">
        <f t="shared" si="3"/>
        <v>1</v>
      </c>
      <c r="AM103" s="11">
        <v>32000</v>
      </c>
      <c r="AN103" s="12">
        <f t="shared" si="4"/>
        <v>32000</v>
      </c>
    </row>
    <row r="104" spans="1:40" ht="13.5" customHeight="1">
      <c r="A104" s="45" t="s">
        <v>62</v>
      </c>
      <c r="B104" s="32">
        <v>80</v>
      </c>
      <c r="C104" s="33" t="s">
        <v>66</v>
      </c>
      <c r="D104" s="33" t="s">
        <v>300</v>
      </c>
      <c r="E104" s="33" t="s">
        <v>9</v>
      </c>
      <c r="F104" s="32" t="s">
        <v>301</v>
      </c>
      <c r="G104" s="34">
        <v>1</v>
      </c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10">
        <f t="shared" si="3"/>
        <v>1</v>
      </c>
      <c r="AM104" s="11">
        <v>32000</v>
      </c>
      <c r="AN104" s="12">
        <f t="shared" si="4"/>
        <v>32000</v>
      </c>
    </row>
    <row r="105" spans="1:40" ht="13.5" customHeight="1">
      <c r="A105" s="45" t="s">
        <v>62</v>
      </c>
      <c r="B105" s="32">
        <v>81</v>
      </c>
      <c r="C105" s="33" t="s">
        <v>45</v>
      </c>
      <c r="D105" s="33" t="s">
        <v>289</v>
      </c>
      <c r="E105" s="33" t="s">
        <v>21</v>
      </c>
      <c r="F105" s="32" t="s">
        <v>290</v>
      </c>
      <c r="G105" s="34">
        <v>1</v>
      </c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10">
        <f t="shared" si="3"/>
        <v>1</v>
      </c>
      <c r="AM105" s="11">
        <v>32000</v>
      </c>
      <c r="AN105" s="12">
        <f t="shared" si="4"/>
        <v>32000</v>
      </c>
    </row>
    <row r="106" spans="1:40" ht="13.5" customHeight="1">
      <c r="A106" s="45" t="s">
        <v>62</v>
      </c>
      <c r="B106" s="32">
        <v>81</v>
      </c>
      <c r="C106" s="33" t="s">
        <v>224</v>
      </c>
      <c r="D106" s="33" t="s">
        <v>236</v>
      </c>
      <c r="E106" s="33" t="s">
        <v>24</v>
      </c>
      <c r="F106" s="32" t="s">
        <v>291</v>
      </c>
      <c r="G106" s="34">
        <v>1</v>
      </c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10">
        <f t="shared" si="3"/>
        <v>1</v>
      </c>
      <c r="AM106" s="11">
        <v>32000</v>
      </c>
      <c r="AN106" s="12">
        <f t="shared" si="4"/>
        <v>32000</v>
      </c>
    </row>
    <row r="107" spans="1:40" ht="13.5" customHeight="1">
      <c r="A107" s="45" t="s">
        <v>62</v>
      </c>
      <c r="B107" s="32">
        <v>83</v>
      </c>
      <c r="C107" s="33" t="s">
        <v>508</v>
      </c>
      <c r="D107" s="33" t="s">
        <v>509</v>
      </c>
      <c r="E107" s="33" t="s">
        <v>9</v>
      </c>
      <c r="F107" s="32" t="s">
        <v>260</v>
      </c>
      <c r="G107" s="34">
        <v>1</v>
      </c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10">
        <f t="shared" si="3"/>
        <v>1</v>
      </c>
      <c r="AM107" s="11">
        <v>32000</v>
      </c>
      <c r="AN107" s="12">
        <f t="shared" si="4"/>
        <v>32000</v>
      </c>
    </row>
    <row r="108" spans="1:40" ht="13.5" customHeight="1">
      <c r="A108" s="45" t="s">
        <v>62</v>
      </c>
      <c r="B108" s="32">
        <v>83</v>
      </c>
      <c r="C108" s="33" t="s">
        <v>156</v>
      </c>
      <c r="D108" s="33" t="s">
        <v>223</v>
      </c>
      <c r="E108" s="33" t="s">
        <v>43</v>
      </c>
      <c r="F108" s="32" t="s">
        <v>261</v>
      </c>
      <c r="G108" s="34">
        <v>1</v>
      </c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10">
        <f t="shared" si="3"/>
        <v>1</v>
      </c>
      <c r="AM108" s="11">
        <v>32000</v>
      </c>
      <c r="AN108" s="12">
        <f t="shared" si="4"/>
        <v>32000</v>
      </c>
    </row>
    <row r="109" spans="1:40" ht="13.5" customHeight="1">
      <c r="A109" s="45" t="s">
        <v>62</v>
      </c>
      <c r="B109" s="32">
        <v>84</v>
      </c>
      <c r="C109" s="33" t="s">
        <v>363</v>
      </c>
      <c r="D109" s="33" t="s">
        <v>120</v>
      </c>
      <c r="E109" s="33" t="s">
        <v>24</v>
      </c>
      <c r="F109" s="32" t="s">
        <v>372</v>
      </c>
      <c r="G109" s="34">
        <v>1</v>
      </c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10">
        <f t="shared" si="3"/>
        <v>1</v>
      </c>
      <c r="AM109" s="11">
        <v>32000</v>
      </c>
      <c r="AN109" s="12">
        <f t="shared" si="4"/>
        <v>32000</v>
      </c>
    </row>
    <row r="110" spans="1:40" ht="13.5" customHeight="1">
      <c r="A110" s="45" t="s">
        <v>62</v>
      </c>
      <c r="B110" s="32">
        <v>84</v>
      </c>
      <c r="C110" s="33" t="s">
        <v>91</v>
      </c>
      <c r="D110" s="33" t="s">
        <v>91</v>
      </c>
      <c r="E110" s="33" t="s">
        <v>198</v>
      </c>
      <c r="F110" s="32" t="s">
        <v>309</v>
      </c>
      <c r="G110" s="34">
        <v>1</v>
      </c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10">
        <f t="shared" si="3"/>
        <v>1</v>
      </c>
      <c r="AM110" s="11">
        <v>32000</v>
      </c>
      <c r="AN110" s="12">
        <f t="shared" si="4"/>
        <v>32000</v>
      </c>
    </row>
    <row r="111" spans="1:40" ht="13.5" customHeight="1">
      <c r="A111" s="45" t="s">
        <v>62</v>
      </c>
      <c r="B111" s="32">
        <v>88</v>
      </c>
      <c r="C111" s="33" t="s">
        <v>367</v>
      </c>
      <c r="D111" s="33" t="s">
        <v>510</v>
      </c>
      <c r="E111" s="33" t="s">
        <v>135</v>
      </c>
      <c r="F111" s="32" t="s">
        <v>370</v>
      </c>
      <c r="G111" s="34">
        <v>1</v>
      </c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10">
        <f t="shared" si="3"/>
        <v>1</v>
      </c>
      <c r="AM111" s="11">
        <v>32000</v>
      </c>
      <c r="AN111" s="12">
        <f t="shared" si="4"/>
        <v>32000</v>
      </c>
    </row>
    <row r="112" spans="1:40" ht="13.5" customHeight="1">
      <c r="A112" s="45" t="s">
        <v>62</v>
      </c>
      <c r="B112" s="32">
        <v>88</v>
      </c>
      <c r="C112" s="33" t="s">
        <v>180</v>
      </c>
      <c r="D112" s="33" t="s">
        <v>145</v>
      </c>
      <c r="E112" s="33" t="s">
        <v>144</v>
      </c>
      <c r="F112" s="32" t="s">
        <v>369</v>
      </c>
      <c r="G112" s="34">
        <v>1</v>
      </c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10">
        <f t="shared" si="3"/>
        <v>1</v>
      </c>
      <c r="AM112" s="11">
        <v>32000</v>
      </c>
      <c r="AN112" s="12">
        <f t="shared" si="4"/>
        <v>32000</v>
      </c>
    </row>
    <row r="113" spans="1:40" ht="13.5" customHeight="1">
      <c r="A113" s="45" t="s">
        <v>62</v>
      </c>
      <c r="B113" s="32">
        <v>90</v>
      </c>
      <c r="C113" s="33" t="s">
        <v>199</v>
      </c>
      <c r="D113" s="33" t="s">
        <v>200</v>
      </c>
      <c r="E113" s="33" t="s">
        <v>153</v>
      </c>
      <c r="F113" s="32" t="s">
        <v>154</v>
      </c>
      <c r="G113" s="34">
        <v>1</v>
      </c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10">
        <f t="shared" si="3"/>
        <v>1</v>
      </c>
      <c r="AM113" s="11">
        <v>32000</v>
      </c>
      <c r="AN113" s="12">
        <f t="shared" si="4"/>
        <v>32000</v>
      </c>
    </row>
    <row r="114" spans="1:40" ht="13.5" customHeight="1">
      <c r="A114" s="45" t="s">
        <v>62</v>
      </c>
      <c r="B114" s="32">
        <v>90</v>
      </c>
      <c r="C114" s="33" t="s">
        <v>201</v>
      </c>
      <c r="D114" s="33" t="s">
        <v>162</v>
      </c>
      <c r="E114" s="33" t="s">
        <v>163</v>
      </c>
      <c r="F114" s="32" t="s">
        <v>164</v>
      </c>
      <c r="G114" s="34">
        <v>1</v>
      </c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10">
        <f t="shared" si="3"/>
        <v>1</v>
      </c>
      <c r="AM114" s="11">
        <v>32000</v>
      </c>
      <c r="AN114" s="12">
        <f t="shared" si="4"/>
        <v>32000</v>
      </c>
    </row>
    <row r="115" spans="1:40" ht="13.5" customHeight="1">
      <c r="A115" s="45" t="s">
        <v>62</v>
      </c>
      <c r="B115" s="32">
        <v>91</v>
      </c>
      <c r="C115" s="33" t="s">
        <v>16</v>
      </c>
      <c r="D115" s="33" t="s">
        <v>10</v>
      </c>
      <c r="E115" s="33" t="s">
        <v>75</v>
      </c>
      <c r="F115" s="32" t="s">
        <v>76</v>
      </c>
      <c r="G115" s="34">
        <v>1</v>
      </c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10">
        <f t="shared" si="3"/>
        <v>1</v>
      </c>
      <c r="AM115" s="11">
        <v>32000</v>
      </c>
      <c r="AN115" s="12">
        <f t="shared" si="4"/>
        <v>32000</v>
      </c>
    </row>
    <row r="116" spans="1:40" ht="13.5" customHeight="1">
      <c r="A116" s="45" t="s">
        <v>62</v>
      </c>
      <c r="B116" s="32">
        <v>91</v>
      </c>
      <c r="C116" s="33" t="s">
        <v>526</v>
      </c>
      <c r="D116" s="33" t="s">
        <v>120</v>
      </c>
      <c r="E116" s="33" t="s">
        <v>527</v>
      </c>
      <c r="F116" s="32" t="s">
        <v>528</v>
      </c>
      <c r="G116" s="34">
        <v>1</v>
      </c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10">
        <f t="shared" si="3"/>
        <v>1</v>
      </c>
      <c r="AM116" s="11">
        <v>32000</v>
      </c>
      <c r="AN116" s="12">
        <f t="shared" si="4"/>
        <v>32000</v>
      </c>
    </row>
    <row r="117" spans="1:40" ht="13.5" customHeight="1">
      <c r="A117" s="45" t="s">
        <v>62</v>
      </c>
      <c r="B117" s="32">
        <v>92</v>
      </c>
      <c r="C117" s="33" t="s">
        <v>283</v>
      </c>
      <c r="D117" s="33" t="s">
        <v>284</v>
      </c>
      <c r="E117" s="33" t="s">
        <v>9</v>
      </c>
      <c r="F117" s="32" t="s">
        <v>285</v>
      </c>
      <c r="G117" s="34">
        <v>1</v>
      </c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10">
        <f t="shared" si="3"/>
        <v>1</v>
      </c>
      <c r="AM117" s="11">
        <v>32000</v>
      </c>
      <c r="AN117" s="12">
        <f t="shared" si="4"/>
        <v>32000</v>
      </c>
    </row>
    <row r="118" spans="1:40" ht="13.5" customHeight="1">
      <c r="A118" s="45" t="s">
        <v>62</v>
      </c>
      <c r="B118" s="32">
        <v>92</v>
      </c>
      <c r="C118" s="33" t="s">
        <v>63</v>
      </c>
      <c r="D118" s="33" t="s">
        <v>93</v>
      </c>
      <c r="E118" s="33" t="s">
        <v>77</v>
      </c>
      <c r="F118" s="32" t="s">
        <v>286</v>
      </c>
      <c r="G118" s="34">
        <v>1</v>
      </c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10">
        <f t="shared" si="3"/>
        <v>1</v>
      </c>
      <c r="AM118" s="11">
        <v>32000</v>
      </c>
      <c r="AN118" s="12">
        <f t="shared" si="4"/>
        <v>32000</v>
      </c>
    </row>
    <row r="119" spans="1:40" ht="13.5" customHeight="1">
      <c r="A119" s="45" t="s">
        <v>62</v>
      </c>
      <c r="B119" s="32">
        <v>93</v>
      </c>
      <c r="C119" s="33" t="s">
        <v>172</v>
      </c>
      <c r="D119" s="33" t="s">
        <v>105</v>
      </c>
      <c r="E119" s="33" t="s">
        <v>391</v>
      </c>
      <c r="F119" s="32" t="s">
        <v>398</v>
      </c>
      <c r="G119" s="34">
        <v>1</v>
      </c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10">
        <f t="shared" si="3"/>
        <v>1</v>
      </c>
      <c r="AM119" s="11">
        <v>32000</v>
      </c>
      <c r="AN119" s="12">
        <f t="shared" si="4"/>
        <v>32000</v>
      </c>
    </row>
    <row r="120" spans="1:40" ht="13.5" customHeight="1">
      <c r="A120" s="45" t="s">
        <v>62</v>
      </c>
      <c r="B120" s="32">
        <v>93</v>
      </c>
      <c r="C120" s="33" t="s">
        <v>19</v>
      </c>
      <c r="D120" s="33" t="s">
        <v>479</v>
      </c>
      <c r="E120" s="33" t="s">
        <v>529</v>
      </c>
      <c r="F120" s="32" t="s">
        <v>530</v>
      </c>
      <c r="G120" s="34">
        <v>1</v>
      </c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10">
        <f t="shared" si="3"/>
        <v>1</v>
      </c>
      <c r="AM120" s="11">
        <v>32000</v>
      </c>
      <c r="AN120" s="12">
        <f t="shared" si="4"/>
        <v>32000</v>
      </c>
    </row>
    <row r="121" spans="1:40" ht="13.5" customHeight="1">
      <c r="A121" s="45" t="s">
        <v>62</v>
      </c>
      <c r="B121" s="32">
        <v>96</v>
      </c>
      <c r="C121" s="33" t="s">
        <v>202</v>
      </c>
      <c r="D121" s="33" t="s">
        <v>204</v>
      </c>
      <c r="E121" s="33" t="s">
        <v>137</v>
      </c>
      <c r="F121" s="32" t="s">
        <v>205</v>
      </c>
      <c r="G121" s="34">
        <v>1</v>
      </c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10">
        <f t="shared" si="3"/>
        <v>1</v>
      </c>
      <c r="AM121" s="11">
        <v>32000</v>
      </c>
      <c r="AN121" s="12">
        <f t="shared" si="4"/>
        <v>32000</v>
      </c>
    </row>
    <row r="122" spans="1:40" ht="13.5" customHeight="1">
      <c r="A122" s="45" t="s">
        <v>62</v>
      </c>
      <c r="B122" s="32">
        <v>96</v>
      </c>
      <c r="C122" s="33" t="s">
        <v>202</v>
      </c>
      <c r="D122" s="33" t="s">
        <v>363</v>
      </c>
      <c r="E122" s="33" t="s">
        <v>9</v>
      </c>
      <c r="F122" s="32" t="s">
        <v>165</v>
      </c>
      <c r="G122" s="34">
        <v>1</v>
      </c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10">
        <f t="shared" si="3"/>
        <v>1</v>
      </c>
      <c r="AM122" s="11">
        <v>32000</v>
      </c>
      <c r="AN122" s="12">
        <f t="shared" si="4"/>
        <v>32000</v>
      </c>
    </row>
    <row r="123" spans="1:40" ht="13.5" customHeight="1">
      <c r="A123" s="45" t="s">
        <v>62</v>
      </c>
      <c r="B123" s="32">
        <v>97</v>
      </c>
      <c r="C123" s="33" t="s">
        <v>312</v>
      </c>
      <c r="D123" s="33" t="s">
        <v>67</v>
      </c>
      <c r="E123" s="33" t="s">
        <v>188</v>
      </c>
      <c r="F123" s="32" t="s">
        <v>313</v>
      </c>
      <c r="G123" s="34">
        <v>1</v>
      </c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10">
        <f t="shared" si="3"/>
        <v>1</v>
      </c>
      <c r="AM123" s="11">
        <v>32000</v>
      </c>
      <c r="AN123" s="12">
        <f t="shared" si="4"/>
        <v>32000</v>
      </c>
    </row>
    <row r="124" spans="1:40" ht="13.5" customHeight="1">
      <c r="A124" s="45" t="s">
        <v>62</v>
      </c>
      <c r="B124" s="32">
        <v>97</v>
      </c>
      <c r="C124" s="33" t="s">
        <v>277</v>
      </c>
      <c r="D124" s="33" t="s">
        <v>278</v>
      </c>
      <c r="E124" s="33" t="s">
        <v>46</v>
      </c>
      <c r="F124" s="32" t="s">
        <v>279</v>
      </c>
      <c r="G124" s="34">
        <v>1</v>
      </c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10">
        <f t="shared" si="3"/>
        <v>1</v>
      </c>
      <c r="AM124" s="11">
        <v>32000</v>
      </c>
      <c r="AN124" s="12">
        <f t="shared" si="4"/>
        <v>32000</v>
      </c>
    </row>
    <row r="125" spans="1:40" ht="13.5" customHeight="1">
      <c r="A125" s="45" t="s">
        <v>62</v>
      </c>
      <c r="B125" s="32">
        <v>98</v>
      </c>
      <c r="C125" s="33" t="s">
        <v>213</v>
      </c>
      <c r="D125" s="33" t="s">
        <v>170</v>
      </c>
      <c r="E125" s="33" t="s">
        <v>104</v>
      </c>
      <c r="F125" s="32" t="s">
        <v>214</v>
      </c>
      <c r="G125" s="34">
        <v>1</v>
      </c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10">
        <f t="shared" si="3"/>
        <v>1</v>
      </c>
      <c r="AM125" s="11">
        <v>32000</v>
      </c>
      <c r="AN125" s="12">
        <f t="shared" si="4"/>
        <v>32000</v>
      </c>
    </row>
    <row r="126" spans="1:40" ht="13.5" customHeight="1">
      <c r="A126" s="45" t="s">
        <v>62</v>
      </c>
      <c r="B126" s="32">
        <v>98</v>
      </c>
      <c r="C126" s="33" t="s">
        <v>215</v>
      </c>
      <c r="D126" s="33" t="s">
        <v>511</v>
      </c>
      <c r="E126" s="33" t="s">
        <v>15</v>
      </c>
      <c r="F126" s="32" t="s">
        <v>216</v>
      </c>
      <c r="G126" s="34">
        <v>1</v>
      </c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10">
        <f t="shared" si="3"/>
        <v>1</v>
      </c>
      <c r="AM126" s="11">
        <v>32000</v>
      </c>
      <c r="AN126" s="12">
        <f t="shared" si="4"/>
        <v>32000</v>
      </c>
    </row>
    <row r="127" spans="1:40" ht="13.5" customHeight="1">
      <c r="A127" s="45" t="s">
        <v>62</v>
      </c>
      <c r="B127" s="32">
        <v>99</v>
      </c>
      <c r="C127" s="33" t="s">
        <v>218</v>
      </c>
      <c r="D127" s="33" t="s">
        <v>120</v>
      </c>
      <c r="E127" s="33" t="s">
        <v>455</v>
      </c>
      <c r="F127" s="32" t="s">
        <v>518</v>
      </c>
      <c r="G127" s="34">
        <v>1</v>
      </c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10">
        <f t="shared" si="3"/>
        <v>1</v>
      </c>
      <c r="AM127" s="11">
        <v>32000</v>
      </c>
      <c r="AN127" s="12">
        <f t="shared" si="4"/>
        <v>32000</v>
      </c>
    </row>
    <row r="128" spans="1:40" ht="13.5" customHeight="1">
      <c r="A128" s="45" t="s">
        <v>62</v>
      </c>
      <c r="B128" s="32">
        <v>99</v>
      </c>
      <c r="C128" s="33" t="s">
        <v>458</v>
      </c>
      <c r="D128" s="33" t="s">
        <v>515</v>
      </c>
      <c r="E128" s="33" t="s">
        <v>356</v>
      </c>
      <c r="F128" s="32" t="s">
        <v>519</v>
      </c>
      <c r="G128" s="34">
        <v>1</v>
      </c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10">
        <f t="shared" si="3"/>
        <v>1</v>
      </c>
      <c r="AM128" s="11">
        <v>32000</v>
      </c>
      <c r="AN128" s="12">
        <f t="shared" si="4"/>
        <v>32000</v>
      </c>
    </row>
    <row r="129" spans="1:40" ht="13.5" customHeight="1">
      <c r="A129" s="45" t="s">
        <v>62</v>
      </c>
      <c r="B129" s="32">
        <v>100</v>
      </c>
      <c r="C129" s="33" t="s">
        <v>268</v>
      </c>
      <c r="D129" s="33" t="s">
        <v>183</v>
      </c>
      <c r="E129" s="33" t="s">
        <v>37</v>
      </c>
      <c r="F129" s="32" t="s">
        <v>269</v>
      </c>
      <c r="G129" s="34">
        <v>1</v>
      </c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10">
        <f t="shared" si="3"/>
        <v>1</v>
      </c>
      <c r="AM129" s="11">
        <v>32000</v>
      </c>
      <c r="AN129" s="12">
        <f t="shared" si="4"/>
        <v>32000</v>
      </c>
    </row>
    <row r="130" spans="1:40" ht="13.5" customHeight="1">
      <c r="A130" s="45" t="s">
        <v>62</v>
      </c>
      <c r="B130" s="32">
        <v>100</v>
      </c>
      <c r="C130" s="33" t="s">
        <v>287</v>
      </c>
      <c r="D130" s="33" t="s">
        <v>98</v>
      </c>
      <c r="E130" s="33" t="s">
        <v>11</v>
      </c>
      <c r="F130" s="32" t="s">
        <v>288</v>
      </c>
      <c r="G130" s="34">
        <v>1</v>
      </c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10">
        <f t="shared" si="3"/>
        <v>1</v>
      </c>
      <c r="AM130" s="11">
        <v>32000</v>
      </c>
      <c r="AN130" s="12">
        <f t="shared" si="4"/>
        <v>32000</v>
      </c>
    </row>
    <row r="131" spans="1:40" ht="13.5" customHeight="1">
      <c r="A131" s="45" t="s">
        <v>62</v>
      </c>
      <c r="B131" s="32">
        <v>101</v>
      </c>
      <c r="C131" s="33" t="s">
        <v>392</v>
      </c>
      <c r="D131" s="33" t="s">
        <v>218</v>
      </c>
      <c r="E131" s="33" t="s">
        <v>28</v>
      </c>
      <c r="F131" s="32" t="s">
        <v>397</v>
      </c>
      <c r="G131" s="34">
        <v>1</v>
      </c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10">
        <f t="shared" si="3"/>
        <v>1</v>
      </c>
      <c r="AM131" s="11">
        <v>32000</v>
      </c>
      <c r="AN131" s="12">
        <f t="shared" si="4"/>
        <v>32000</v>
      </c>
    </row>
    <row r="132" spans="1:40" ht="13.5" customHeight="1">
      <c r="A132" s="45" t="s">
        <v>62</v>
      </c>
      <c r="B132" s="32">
        <v>101</v>
      </c>
      <c r="C132" s="33" t="s">
        <v>98</v>
      </c>
      <c r="D132" s="33" t="s">
        <v>45</v>
      </c>
      <c r="E132" s="33" t="s">
        <v>194</v>
      </c>
      <c r="F132" s="32" t="s">
        <v>396</v>
      </c>
      <c r="G132" s="34">
        <v>1</v>
      </c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10">
        <f t="shared" si="3"/>
        <v>1</v>
      </c>
      <c r="AM132" s="11">
        <v>32000</v>
      </c>
      <c r="AN132" s="12">
        <f t="shared" si="4"/>
        <v>32000</v>
      </c>
    </row>
    <row r="133" spans="1:40" ht="13.5" customHeight="1">
      <c r="A133" s="45" t="s">
        <v>62</v>
      </c>
      <c r="B133" s="32">
        <v>102</v>
      </c>
      <c r="C133" s="33" t="s">
        <v>45</v>
      </c>
      <c r="D133" s="33" t="s">
        <v>362</v>
      </c>
      <c r="E133" s="33" t="s">
        <v>24</v>
      </c>
      <c r="F133" s="32" t="s">
        <v>344</v>
      </c>
      <c r="G133" s="34">
        <v>1</v>
      </c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10">
        <f t="shared" si="3"/>
        <v>1</v>
      </c>
      <c r="AM133" s="11">
        <v>32000</v>
      </c>
      <c r="AN133" s="12">
        <f t="shared" si="4"/>
        <v>32000</v>
      </c>
    </row>
    <row r="134" spans="1:40" ht="13.5" customHeight="1">
      <c r="A134" s="45" t="s">
        <v>62</v>
      </c>
      <c r="B134" s="32">
        <v>102</v>
      </c>
      <c r="C134" s="33" t="s">
        <v>158</v>
      </c>
      <c r="D134" s="33" t="s">
        <v>364</v>
      </c>
      <c r="E134" s="33" t="s">
        <v>37</v>
      </c>
      <c r="F134" s="32" t="s">
        <v>348</v>
      </c>
      <c r="G134" s="34">
        <v>1</v>
      </c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10">
        <f t="shared" si="3"/>
        <v>1</v>
      </c>
      <c r="AM134" s="11">
        <v>32000</v>
      </c>
      <c r="AN134" s="12">
        <f t="shared" si="4"/>
        <v>32000</v>
      </c>
    </row>
    <row r="135" spans="1:40" ht="13.5" customHeight="1">
      <c r="A135" s="45" t="s">
        <v>62</v>
      </c>
      <c r="B135" s="32">
        <v>103</v>
      </c>
      <c r="C135" s="33" t="s">
        <v>192</v>
      </c>
      <c r="D135" s="33" t="s">
        <v>241</v>
      </c>
      <c r="E135" s="33" t="s">
        <v>194</v>
      </c>
      <c r="F135" s="32" t="s">
        <v>195</v>
      </c>
      <c r="G135" s="34">
        <v>1</v>
      </c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10">
        <f t="shared" si="3"/>
        <v>1</v>
      </c>
      <c r="AM135" s="11">
        <v>32000</v>
      </c>
      <c r="AN135" s="12">
        <f t="shared" si="4"/>
        <v>32000</v>
      </c>
    </row>
    <row r="136" spans="1:40" ht="13.5" customHeight="1">
      <c r="A136" s="45" t="s">
        <v>62</v>
      </c>
      <c r="B136" s="32">
        <v>103</v>
      </c>
      <c r="C136" s="33" t="s">
        <v>192</v>
      </c>
      <c r="D136" s="33" t="s">
        <v>241</v>
      </c>
      <c r="E136" s="33" t="s">
        <v>24</v>
      </c>
      <c r="F136" s="32" t="s">
        <v>193</v>
      </c>
      <c r="G136" s="34">
        <v>1</v>
      </c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10">
        <f t="shared" si="3"/>
        <v>1</v>
      </c>
      <c r="AM136" s="11">
        <v>32000</v>
      </c>
      <c r="AN136" s="12">
        <f t="shared" si="4"/>
        <v>32000</v>
      </c>
    </row>
    <row r="137" spans="1:40" ht="13.5" customHeight="1">
      <c r="A137" s="45" t="s">
        <v>62</v>
      </c>
      <c r="B137" s="32">
        <v>108</v>
      </c>
      <c r="C137" s="33" t="s">
        <v>134</v>
      </c>
      <c r="D137" s="33" t="s">
        <v>364</v>
      </c>
      <c r="E137" s="33" t="s">
        <v>436</v>
      </c>
      <c r="F137" s="32" t="s">
        <v>445</v>
      </c>
      <c r="G137" s="34">
        <v>1</v>
      </c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10">
        <f t="shared" si="3"/>
        <v>1</v>
      </c>
      <c r="AM137" s="11">
        <v>32000</v>
      </c>
      <c r="AN137" s="12">
        <f t="shared" si="4"/>
        <v>32000</v>
      </c>
    </row>
    <row r="138" spans="1:40" ht="13.5" customHeight="1">
      <c r="A138" s="45" t="s">
        <v>62</v>
      </c>
      <c r="B138" s="32">
        <v>108</v>
      </c>
      <c r="C138" s="33" t="s">
        <v>428</v>
      </c>
      <c r="D138" s="33" t="s">
        <v>159</v>
      </c>
      <c r="E138" s="33" t="s">
        <v>169</v>
      </c>
      <c r="F138" s="32" t="s">
        <v>429</v>
      </c>
      <c r="G138" s="34">
        <v>1</v>
      </c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10">
        <f t="shared" ref="AL138:AL153" si="5">SUM(G138:AK138)</f>
        <v>1</v>
      </c>
      <c r="AM138" s="11">
        <v>32000</v>
      </c>
      <c r="AN138" s="12">
        <f t="shared" si="4"/>
        <v>32000</v>
      </c>
    </row>
    <row r="139" spans="1:40" ht="13.5" customHeight="1">
      <c r="A139" s="45" t="s">
        <v>62</v>
      </c>
      <c r="B139" s="32">
        <v>109</v>
      </c>
      <c r="C139" s="33" t="s">
        <v>87</v>
      </c>
      <c r="D139" s="33" t="s">
        <v>88</v>
      </c>
      <c r="E139" s="33" t="s">
        <v>89</v>
      </c>
      <c r="F139" s="32" t="s">
        <v>90</v>
      </c>
      <c r="G139" s="34">
        <v>1</v>
      </c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10">
        <f t="shared" si="5"/>
        <v>1</v>
      </c>
      <c r="AM139" s="11">
        <v>32000</v>
      </c>
      <c r="AN139" s="12">
        <f t="shared" ref="AN139:AN153" si="6">AM139*AL139</f>
        <v>32000</v>
      </c>
    </row>
    <row r="140" spans="1:40" ht="13.5" customHeight="1">
      <c r="A140" s="45" t="s">
        <v>62</v>
      </c>
      <c r="B140" s="32">
        <v>109</v>
      </c>
      <c r="C140" s="33" t="s">
        <v>203</v>
      </c>
      <c r="D140" s="33" t="s">
        <v>91</v>
      </c>
      <c r="E140" s="33" t="s">
        <v>25</v>
      </c>
      <c r="F140" s="32" t="s">
        <v>92</v>
      </c>
      <c r="G140" s="34">
        <v>1</v>
      </c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10">
        <f t="shared" si="5"/>
        <v>1</v>
      </c>
      <c r="AM140" s="11">
        <v>32000</v>
      </c>
      <c r="AN140" s="12">
        <f t="shared" si="6"/>
        <v>32000</v>
      </c>
    </row>
    <row r="141" spans="1:40" ht="13.5" customHeight="1">
      <c r="A141" s="45" t="s">
        <v>62</v>
      </c>
      <c r="B141" s="32">
        <v>111</v>
      </c>
      <c r="C141" s="33" t="s">
        <v>94</v>
      </c>
      <c r="D141" s="33" t="s">
        <v>145</v>
      </c>
      <c r="E141" s="33" t="s">
        <v>354</v>
      </c>
      <c r="F141" s="32" t="s">
        <v>339</v>
      </c>
      <c r="G141" s="34">
        <v>1</v>
      </c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10">
        <f t="shared" si="5"/>
        <v>1</v>
      </c>
      <c r="AM141" s="11">
        <v>32000</v>
      </c>
      <c r="AN141" s="12">
        <f t="shared" si="6"/>
        <v>32000</v>
      </c>
    </row>
    <row r="142" spans="1:40" ht="13.5" customHeight="1">
      <c r="A142" s="45" t="s">
        <v>62</v>
      </c>
      <c r="B142" s="32">
        <v>111</v>
      </c>
      <c r="C142" s="33" t="s">
        <v>512</v>
      </c>
      <c r="D142" s="33" t="s">
        <v>332</v>
      </c>
      <c r="E142" s="33" t="s">
        <v>24</v>
      </c>
      <c r="F142" s="32" t="s">
        <v>340</v>
      </c>
      <c r="G142" s="34">
        <v>1</v>
      </c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10">
        <f t="shared" si="5"/>
        <v>1</v>
      </c>
      <c r="AM142" s="11">
        <v>32000</v>
      </c>
      <c r="AN142" s="12">
        <f t="shared" si="6"/>
        <v>32000</v>
      </c>
    </row>
    <row r="143" spans="1:40" ht="13.5" customHeight="1">
      <c r="A143" s="45" t="s">
        <v>62</v>
      </c>
      <c r="B143" s="32">
        <v>119</v>
      </c>
      <c r="C143" s="33" t="s">
        <v>237</v>
      </c>
      <c r="D143" s="33" t="s">
        <v>513</v>
      </c>
      <c r="E143" s="33" t="s">
        <v>138</v>
      </c>
      <c r="F143" s="32" t="s">
        <v>337</v>
      </c>
      <c r="G143" s="34">
        <v>1</v>
      </c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10">
        <f t="shared" si="5"/>
        <v>1</v>
      </c>
      <c r="AM143" s="11">
        <v>32000</v>
      </c>
      <c r="AN143" s="12">
        <f t="shared" si="6"/>
        <v>32000</v>
      </c>
    </row>
    <row r="144" spans="1:40" ht="13.5" customHeight="1">
      <c r="A144" s="45" t="s">
        <v>62</v>
      </c>
      <c r="B144" s="32">
        <v>119</v>
      </c>
      <c r="C144" s="33" t="s">
        <v>79</v>
      </c>
      <c r="D144" s="33" t="s">
        <v>80</v>
      </c>
      <c r="E144" s="33" t="s">
        <v>11</v>
      </c>
      <c r="F144" s="32" t="s">
        <v>81</v>
      </c>
      <c r="G144" s="34">
        <v>1</v>
      </c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10">
        <f t="shared" si="5"/>
        <v>1</v>
      </c>
      <c r="AM144" s="11">
        <v>32000</v>
      </c>
      <c r="AN144" s="12">
        <f t="shared" si="6"/>
        <v>32000</v>
      </c>
    </row>
    <row r="145" spans="1:40" ht="13.5" customHeight="1">
      <c r="A145" s="45" t="s">
        <v>62</v>
      </c>
      <c r="B145" s="32">
        <v>120</v>
      </c>
      <c r="C145" s="33" t="s">
        <v>514</v>
      </c>
      <c r="D145" s="33" t="s">
        <v>358</v>
      </c>
      <c r="E145" s="33" t="s">
        <v>357</v>
      </c>
      <c r="F145" s="32" t="s">
        <v>342</v>
      </c>
      <c r="G145" s="34">
        <v>1</v>
      </c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10">
        <f t="shared" si="5"/>
        <v>1</v>
      </c>
      <c r="AM145" s="11">
        <v>32000</v>
      </c>
      <c r="AN145" s="12">
        <f t="shared" si="6"/>
        <v>32000</v>
      </c>
    </row>
    <row r="146" spans="1:40" ht="13.5" customHeight="1">
      <c r="A146" s="45" t="s">
        <v>62</v>
      </c>
      <c r="B146" s="32">
        <v>120</v>
      </c>
      <c r="C146" s="33" t="s">
        <v>19</v>
      </c>
      <c r="D146" s="33" t="s">
        <v>145</v>
      </c>
      <c r="E146" s="33" t="s">
        <v>15</v>
      </c>
      <c r="F146" s="32" t="s">
        <v>531</v>
      </c>
      <c r="G146" s="34">
        <v>1</v>
      </c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10">
        <f t="shared" si="5"/>
        <v>1</v>
      </c>
      <c r="AM146" s="11">
        <v>32000</v>
      </c>
      <c r="AN146" s="12">
        <f t="shared" si="6"/>
        <v>32000</v>
      </c>
    </row>
    <row r="147" spans="1:40" ht="13.5" customHeight="1">
      <c r="A147" s="45" t="s">
        <v>62</v>
      </c>
      <c r="B147" s="32" t="s">
        <v>552</v>
      </c>
      <c r="C147" s="33" t="s">
        <v>553</v>
      </c>
      <c r="D147" s="33" t="s">
        <v>554</v>
      </c>
      <c r="E147" s="33" t="s">
        <v>95</v>
      </c>
      <c r="F147" s="32" t="s">
        <v>555</v>
      </c>
      <c r="G147" s="34">
        <v>1</v>
      </c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10">
        <f t="shared" si="5"/>
        <v>1</v>
      </c>
      <c r="AM147" s="11">
        <v>32000</v>
      </c>
      <c r="AN147" s="12">
        <f t="shared" si="6"/>
        <v>32000</v>
      </c>
    </row>
    <row r="148" spans="1:40" ht="13.5" customHeight="1">
      <c r="A148" s="45" t="s">
        <v>62</v>
      </c>
      <c r="B148" s="32" t="s">
        <v>552</v>
      </c>
      <c r="C148" s="33" t="s">
        <v>556</v>
      </c>
      <c r="D148" s="33" t="s">
        <v>557</v>
      </c>
      <c r="E148" s="33" t="s">
        <v>24</v>
      </c>
      <c r="F148" s="32" t="s">
        <v>558</v>
      </c>
      <c r="G148" s="34">
        <v>1</v>
      </c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10">
        <f t="shared" si="5"/>
        <v>1</v>
      </c>
      <c r="AM148" s="11">
        <v>32000</v>
      </c>
      <c r="AN148" s="12">
        <f t="shared" si="6"/>
        <v>32000</v>
      </c>
    </row>
    <row r="149" spans="1:40" ht="13.5" customHeight="1">
      <c r="A149" s="45" t="s">
        <v>62</v>
      </c>
      <c r="B149" s="32" t="s">
        <v>577</v>
      </c>
      <c r="C149" s="33" t="s">
        <v>271</v>
      </c>
      <c r="D149" s="33" t="s">
        <v>27</v>
      </c>
      <c r="E149" s="33" t="s">
        <v>144</v>
      </c>
      <c r="F149" s="32" t="s">
        <v>272</v>
      </c>
      <c r="G149" s="34">
        <v>1</v>
      </c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10">
        <f t="shared" si="5"/>
        <v>1</v>
      </c>
      <c r="AM149" s="11">
        <v>32000</v>
      </c>
      <c r="AN149" s="12">
        <f t="shared" si="6"/>
        <v>32000</v>
      </c>
    </row>
    <row r="150" spans="1:40" ht="13.5" customHeight="1">
      <c r="A150" s="45" t="s">
        <v>62</v>
      </c>
      <c r="B150" s="32" t="s">
        <v>536</v>
      </c>
      <c r="C150" s="33" t="s">
        <v>559</v>
      </c>
      <c r="D150" s="33" t="s">
        <v>157</v>
      </c>
      <c r="E150" s="33" t="s">
        <v>560</v>
      </c>
      <c r="F150" s="32" t="s">
        <v>561</v>
      </c>
      <c r="G150" s="34">
        <v>1</v>
      </c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10">
        <f t="shared" si="5"/>
        <v>1</v>
      </c>
      <c r="AM150" s="11">
        <v>32000</v>
      </c>
      <c r="AN150" s="12">
        <f t="shared" si="6"/>
        <v>32000</v>
      </c>
    </row>
    <row r="151" spans="1:40" ht="13.5" customHeight="1">
      <c r="A151" s="45" t="s">
        <v>62</v>
      </c>
      <c r="B151" s="32" t="s">
        <v>536</v>
      </c>
      <c r="C151" s="33" t="s">
        <v>162</v>
      </c>
      <c r="D151" s="33" t="s">
        <v>526</v>
      </c>
      <c r="E151" s="33" t="s">
        <v>160</v>
      </c>
      <c r="F151" s="32" t="s">
        <v>562</v>
      </c>
      <c r="G151" s="34">
        <v>1</v>
      </c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10">
        <f t="shared" si="5"/>
        <v>1</v>
      </c>
      <c r="AM151" s="11">
        <v>32000</v>
      </c>
      <c r="AN151" s="12">
        <f t="shared" si="6"/>
        <v>32000</v>
      </c>
    </row>
    <row r="152" spans="1:40" ht="13.5" customHeight="1">
      <c r="A152" s="45" t="s">
        <v>62</v>
      </c>
      <c r="B152" s="32" t="s">
        <v>534</v>
      </c>
      <c r="C152" s="33" t="s">
        <v>221</v>
      </c>
      <c r="D152" s="33" t="s">
        <v>578</v>
      </c>
      <c r="E152" s="33" t="s">
        <v>538</v>
      </c>
      <c r="F152" s="32" t="s">
        <v>579</v>
      </c>
      <c r="G152" s="34">
        <v>1</v>
      </c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10">
        <f t="shared" si="5"/>
        <v>1</v>
      </c>
      <c r="AM152" s="11">
        <v>32000</v>
      </c>
      <c r="AN152" s="12">
        <f t="shared" si="6"/>
        <v>32000</v>
      </c>
    </row>
    <row r="153" spans="1:40" ht="13.5" customHeight="1">
      <c r="A153" s="45" t="s">
        <v>62</v>
      </c>
      <c r="B153" s="32" t="s">
        <v>534</v>
      </c>
      <c r="C153" s="33" t="s">
        <v>88</v>
      </c>
      <c r="D153" s="33" t="s">
        <v>580</v>
      </c>
      <c r="E153" s="33" t="s">
        <v>140</v>
      </c>
      <c r="F153" s="32" t="s">
        <v>581</v>
      </c>
      <c r="G153" s="34">
        <v>1</v>
      </c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10">
        <f t="shared" si="5"/>
        <v>1</v>
      </c>
      <c r="AM153" s="12">
        <v>32000</v>
      </c>
      <c r="AN153" s="12">
        <f t="shared" si="6"/>
        <v>32000</v>
      </c>
    </row>
    <row r="154" spans="1:40" ht="13.5" customHeight="1">
      <c r="A154" s="45" t="s">
        <v>62</v>
      </c>
      <c r="B154" s="32" t="s">
        <v>535</v>
      </c>
      <c r="C154" s="33" t="s">
        <v>511</v>
      </c>
      <c r="D154" s="33" t="s">
        <v>454</v>
      </c>
      <c r="E154" s="33" t="s">
        <v>582</v>
      </c>
      <c r="F154" s="32" t="s">
        <v>540</v>
      </c>
      <c r="G154" s="34">
        <v>1</v>
      </c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10">
        <f t="shared" ref="AL154:AL157" si="7">SUM(G154:AK154)</f>
        <v>1</v>
      </c>
      <c r="AM154" s="11">
        <v>32000</v>
      </c>
      <c r="AN154" s="12">
        <f t="shared" ref="AN154:AN157" si="8">AM154*AL154</f>
        <v>32000</v>
      </c>
    </row>
    <row r="155" spans="1:40" ht="13.5" customHeight="1">
      <c r="A155" s="45" t="s">
        <v>62</v>
      </c>
      <c r="B155" s="32" t="s">
        <v>535</v>
      </c>
      <c r="C155" s="33" t="s">
        <v>200</v>
      </c>
      <c r="D155" s="33" t="s">
        <v>38</v>
      </c>
      <c r="E155" s="33" t="s">
        <v>539</v>
      </c>
      <c r="F155" s="32" t="s">
        <v>583</v>
      </c>
      <c r="G155" s="34">
        <v>1</v>
      </c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10">
        <f t="shared" si="7"/>
        <v>1</v>
      </c>
      <c r="AM155" s="11">
        <v>32000</v>
      </c>
      <c r="AN155" s="12">
        <f t="shared" si="8"/>
        <v>32000</v>
      </c>
    </row>
    <row r="156" spans="1:40" ht="13.5" customHeight="1">
      <c r="A156" s="51" t="s">
        <v>62</v>
      </c>
      <c r="B156" s="35" t="s">
        <v>537</v>
      </c>
      <c r="C156" s="36" t="s">
        <v>170</v>
      </c>
      <c r="D156" s="36" t="s">
        <v>307</v>
      </c>
      <c r="E156" s="36" t="s">
        <v>548</v>
      </c>
      <c r="F156" s="35" t="s">
        <v>308</v>
      </c>
      <c r="G156" s="37">
        <v>1</v>
      </c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10">
        <f t="shared" si="7"/>
        <v>1</v>
      </c>
      <c r="AM156" s="12">
        <v>32000</v>
      </c>
      <c r="AN156" s="12">
        <f t="shared" si="8"/>
        <v>32000</v>
      </c>
    </row>
    <row r="157" spans="1:40" ht="13.5" customHeight="1">
      <c r="A157" s="51" t="s">
        <v>62</v>
      </c>
      <c r="B157" s="35" t="s">
        <v>537</v>
      </c>
      <c r="C157" s="36" t="s">
        <v>148</v>
      </c>
      <c r="D157" s="36" t="s">
        <v>417</v>
      </c>
      <c r="E157" s="36" t="s">
        <v>359</v>
      </c>
      <c r="F157" s="35" t="s">
        <v>418</v>
      </c>
      <c r="G157" s="37">
        <v>1</v>
      </c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10">
        <f t="shared" si="7"/>
        <v>1</v>
      </c>
      <c r="AM157" s="12">
        <v>32000</v>
      </c>
      <c r="AN157" s="12">
        <f t="shared" si="8"/>
        <v>32000</v>
      </c>
    </row>
    <row r="158" spans="1:40" ht="13.5" customHeight="1">
      <c r="A158" s="51" t="s">
        <v>62</v>
      </c>
      <c r="B158" s="35" t="s">
        <v>1313</v>
      </c>
      <c r="C158" s="33" t="s">
        <v>1241</v>
      </c>
      <c r="D158" s="33" t="s">
        <v>186</v>
      </c>
      <c r="E158" s="33" t="s">
        <v>185</v>
      </c>
      <c r="F158" s="32" t="s">
        <v>1242</v>
      </c>
      <c r="G158" s="37">
        <v>1</v>
      </c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10">
        <f t="shared" ref="AL158:AL174" si="9">SUM(G158:AK158)</f>
        <v>1</v>
      </c>
      <c r="AM158" s="12">
        <v>32000</v>
      </c>
      <c r="AN158" s="12">
        <f t="shared" ref="AN158:AN174" si="10">AM158*AL158</f>
        <v>32000</v>
      </c>
    </row>
    <row r="159" spans="1:40" ht="13.5" customHeight="1">
      <c r="A159" s="51" t="s">
        <v>62</v>
      </c>
      <c r="B159" s="35" t="s">
        <v>857</v>
      </c>
      <c r="C159" s="33" t="s">
        <v>1244</v>
      </c>
      <c r="D159" s="33" t="s">
        <v>39</v>
      </c>
      <c r="E159" s="33" t="s">
        <v>40</v>
      </c>
      <c r="F159" s="32" t="s">
        <v>1245</v>
      </c>
      <c r="G159" s="37">
        <v>1</v>
      </c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10">
        <f t="shared" si="9"/>
        <v>1</v>
      </c>
      <c r="AM159" s="12">
        <v>32000</v>
      </c>
      <c r="AN159" s="12">
        <f t="shared" si="10"/>
        <v>32000</v>
      </c>
    </row>
    <row r="160" spans="1:40" ht="13.5" customHeight="1">
      <c r="A160" s="51" t="s">
        <v>62</v>
      </c>
      <c r="B160" s="35" t="s">
        <v>1314</v>
      </c>
      <c r="C160" s="33" t="s">
        <v>1259</v>
      </c>
      <c r="D160" s="33" t="s">
        <v>1280</v>
      </c>
      <c r="E160" s="33" t="s">
        <v>1260</v>
      </c>
      <c r="F160" s="32" t="s">
        <v>1261</v>
      </c>
      <c r="G160" s="37">
        <v>1</v>
      </c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10">
        <f t="shared" si="9"/>
        <v>1</v>
      </c>
      <c r="AM160" s="12">
        <v>32000</v>
      </c>
      <c r="AN160" s="12">
        <f t="shared" si="10"/>
        <v>32000</v>
      </c>
    </row>
    <row r="161" spans="1:40" ht="13.5" customHeight="1">
      <c r="A161" s="51" t="s">
        <v>62</v>
      </c>
      <c r="B161" s="35" t="s">
        <v>852</v>
      </c>
      <c r="C161" s="33" t="s">
        <v>39</v>
      </c>
      <c r="D161" s="33" t="s">
        <v>1281</v>
      </c>
      <c r="E161" s="33" t="s">
        <v>1267</v>
      </c>
      <c r="F161" s="32" t="s">
        <v>1268</v>
      </c>
      <c r="G161" s="37">
        <v>1</v>
      </c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10">
        <f t="shared" si="9"/>
        <v>1</v>
      </c>
      <c r="AM161" s="12">
        <v>32000</v>
      </c>
      <c r="AN161" s="12">
        <f t="shared" si="10"/>
        <v>32000</v>
      </c>
    </row>
    <row r="162" spans="1:40" ht="13.5" customHeight="1">
      <c r="A162" s="51" t="s">
        <v>62</v>
      </c>
      <c r="B162" s="35" t="s">
        <v>852</v>
      </c>
      <c r="C162" s="33" t="s">
        <v>1269</v>
      </c>
      <c r="D162" s="33" t="s">
        <v>333</v>
      </c>
      <c r="E162" s="33" t="s">
        <v>37</v>
      </c>
      <c r="F162" s="32" t="s">
        <v>1270</v>
      </c>
      <c r="G162" s="37">
        <v>1</v>
      </c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10">
        <f t="shared" si="9"/>
        <v>1</v>
      </c>
      <c r="AM162" s="12">
        <v>32000</v>
      </c>
      <c r="AN162" s="12">
        <f t="shared" si="10"/>
        <v>32000</v>
      </c>
    </row>
    <row r="163" spans="1:40" ht="13.5" customHeight="1">
      <c r="A163" s="51" t="s">
        <v>62</v>
      </c>
      <c r="B163" s="35" t="s">
        <v>1314</v>
      </c>
      <c r="C163" s="33" t="s">
        <v>38</v>
      </c>
      <c r="D163" s="33" t="s">
        <v>335</v>
      </c>
      <c r="E163" s="33" t="s">
        <v>1262</v>
      </c>
      <c r="F163" s="32" t="s">
        <v>1263</v>
      </c>
      <c r="G163" s="37">
        <v>1</v>
      </c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10">
        <f t="shared" si="9"/>
        <v>1</v>
      </c>
      <c r="AM163" s="12">
        <v>32000</v>
      </c>
      <c r="AN163" s="12">
        <f t="shared" si="10"/>
        <v>32000</v>
      </c>
    </row>
    <row r="164" spans="1:40" ht="13.5" customHeight="1">
      <c r="A164" s="51" t="s">
        <v>62</v>
      </c>
      <c r="B164" s="35" t="s">
        <v>972</v>
      </c>
      <c r="C164" s="36" t="s">
        <v>1319</v>
      </c>
      <c r="D164" s="36" t="s">
        <v>14</v>
      </c>
      <c r="E164" s="36" t="s">
        <v>1257</v>
      </c>
      <c r="F164" s="35" t="s">
        <v>1258</v>
      </c>
      <c r="G164" s="37">
        <v>1</v>
      </c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10">
        <f t="shared" si="9"/>
        <v>1</v>
      </c>
      <c r="AM164" s="12">
        <v>32000</v>
      </c>
      <c r="AN164" s="12">
        <f t="shared" si="10"/>
        <v>32000</v>
      </c>
    </row>
    <row r="165" spans="1:40" ht="13.5" customHeight="1">
      <c r="A165" s="51" t="s">
        <v>62</v>
      </c>
      <c r="B165" s="35" t="s">
        <v>857</v>
      </c>
      <c r="C165" s="33" t="s">
        <v>41</v>
      </c>
      <c r="D165" s="33" t="s">
        <v>13</v>
      </c>
      <c r="E165" s="33" t="s">
        <v>37</v>
      </c>
      <c r="F165" s="32" t="s">
        <v>1243</v>
      </c>
      <c r="G165" s="37">
        <v>1</v>
      </c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10">
        <f t="shared" si="9"/>
        <v>1</v>
      </c>
      <c r="AM165" s="12">
        <v>32000</v>
      </c>
      <c r="AN165" s="12">
        <f t="shared" si="10"/>
        <v>32000</v>
      </c>
    </row>
    <row r="166" spans="1:40" ht="13.5" customHeight="1">
      <c r="A166" s="51" t="s">
        <v>62</v>
      </c>
      <c r="B166" s="35" t="s">
        <v>1315</v>
      </c>
      <c r="C166" s="33" t="s">
        <v>45</v>
      </c>
      <c r="D166" s="33" t="s">
        <v>1153</v>
      </c>
      <c r="E166" s="33" t="s">
        <v>46</v>
      </c>
      <c r="F166" s="32" t="s">
        <v>1248</v>
      </c>
      <c r="G166" s="37">
        <v>1</v>
      </c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10">
        <f t="shared" si="9"/>
        <v>1</v>
      </c>
      <c r="AM166" s="12">
        <v>32000</v>
      </c>
      <c r="AN166" s="12">
        <f t="shared" si="10"/>
        <v>32000</v>
      </c>
    </row>
    <row r="167" spans="1:40" ht="13.5" customHeight="1">
      <c r="A167" s="51" t="s">
        <v>62</v>
      </c>
      <c r="B167" s="35" t="s">
        <v>1316</v>
      </c>
      <c r="C167" s="33" t="s">
        <v>1235</v>
      </c>
      <c r="D167" s="33" t="s">
        <v>899</v>
      </c>
      <c r="E167" s="33" t="s">
        <v>1236</v>
      </c>
      <c r="F167" s="32" t="s">
        <v>1237</v>
      </c>
      <c r="G167" s="37">
        <v>1</v>
      </c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10">
        <f t="shared" si="9"/>
        <v>1</v>
      </c>
      <c r="AM167" s="12">
        <v>32000</v>
      </c>
      <c r="AN167" s="12">
        <f t="shared" si="10"/>
        <v>32000</v>
      </c>
    </row>
    <row r="168" spans="1:40" ht="13.5" customHeight="1">
      <c r="A168" s="51" t="s">
        <v>62</v>
      </c>
      <c r="B168" s="35" t="s">
        <v>1316</v>
      </c>
      <c r="C168" s="33" t="s">
        <v>26</v>
      </c>
      <c r="D168" s="33" t="s">
        <v>1274</v>
      </c>
      <c r="E168" s="33" t="s">
        <v>42</v>
      </c>
      <c r="F168" s="32" t="s">
        <v>1238</v>
      </c>
      <c r="G168" s="37">
        <v>1</v>
      </c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10">
        <f t="shared" si="9"/>
        <v>1</v>
      </c>
      <c r="AM168" s="12">
        <v>32000</v>
      </c>
      <c r="AN168" s="12">
        <f t="shared" si="10"/>
        <v>32000</v>
      </c>
    </row>
    <row r="169" spans="1:40" ht="13.5" customHeight="1">
      <c r="A169" s="51" t="s">
        <v>62</v>
      </c>
      <c r="B169" s="35" t="s">
        <v>972</v>
      </c>
      <c r="C169" s="33" t="s">
        <v>1254</v>
      </c>
      <c r="D169" s="33" t="s">
        <v>1044</v>
      </c>
      <c r="E169" s="33" t="s">
        <v>1255</v>
      </c>
      <c r="F169" s="32" t="s">
        <v>1256</v>
      </c>
      <c r="G169" s="37">
        <v>1</v>
      </c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10">
        <f t="shared" si="9"/>
        <v>1</v>
      </c>
      <c r="AM169" s="12">
        <v>32000</v>
      </c>
      <c r="AN169" s="12">
        <f t="shared" si="10"/>
        <v>32000</v>
      </c>
    </row>
    <row r="170" spans="1:40" ht="13.5" customHeight="1">
      <c r="A170" s="51" t="s">
        <v>62</v>
      </c>
      <c r="B170" s="35" t="s">
        <v>1313</v>
      </c>
      <c r="C170" s="33" t="s">
        <v>1239</v>
      </c>
      <c r="D170" s="33" t="s">
        <v>1275</v>
      </c>
      <c r="E170" s="33" t="s">
        <v>43</v>
      </c>
      <c r="F170" s="32" t="s">
        <v>1240</v>
      </c>
      <c r="G170" s="37">
        <v>1</v>
      </c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10">
        <f t="shared" si="9"/>
        <v>1</v>
      </c>
      <c r="AM170" s="12">
        <v>32000</v>
      </c>
      <c r="AN170" s="12">
        <f t="shared" si="10"/>
        <v>32000</v>
      </c>
    </row>
    <row r="171" spans="1:40" ht="13.5" customHeight="1">
      <c r="A171" s="51" t="s">
        <v>62</v>
      </c>
      <c r="B171" s="35" t="s">
        <v>1315</v>
      </c>
      <c r="C171" s="33" t="s">
        <v>1246</v>
      </c>
      <c r="D171" s="33" t="s">
        <v>1264</v>
      </c>
      <c r="E171" s="33" t="s">
        <v>24</v>
      </c>
      <c r="F171" s="32" t="s">
        <v>1247</v>
      </c>
      <c r="G171" s="37">
        <v>1</v>
      </c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10">
        <f t="shared" si="9"/>
        <v>1</v>
      </c>
      <c r="AM171" s="12">
        <v>32000</v>
      </c>
      <c r="AN171" s="12">
        <f t="shared" si="10"/>
        <v>32000</v>
      </c>
    </row>
    <row r="172" spans="1:40" ht="13.5" customHeight="1">
      <c r="A172" s="51" t="s">
        <v>62</v>
      </c>
      <c r="B172" s="35" t="s">
        <v>1317</v>
      </c>
      <c r="C172" s="33" t="s">
        <v>228</v>
      </c>
      <c r="D172" s="33" t="s">
        <v>1271</v>
      </c>
      <c r="E172" s="33" t="s">
        <v>225</v>
      </c>
      <c r="F172" s="32" t="s">
        <v>1272</v>
      </c>
      <c r="G172" s="37">
        <v>1</v>
      </c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10">
        <f t="shared" si="9"/>
        <v>1</v>
      </c>
      <c r="AM172" s="12">
        <v>32000</v>
      </c>
      <c r="AN172" s="12">
        <f t="shared" si="10"/>
        <v>32000</v>
      </c>
    </row>
    <row r="173" spans="1:40" ht="13.5" customHeight="1" thickBot="1">
      <c r="A173" s="47" t="s">
        <v>62</v>
      </c>
      <c r="B173" s="59" t="s">
        <v>1318</v>
      </c>
      <c r="C173" s="38" t="s">
        <v>94</v>
      </c>
      <c r="D173" s="38" t="s">
        <v>1264</v>
      </c>
      <c r="E173" s="38" t="s">
        <v>1265</v>
      </c>
      <c r="F173" s="59" t="s">
        <v>1247</v>
      </c>
      <c r="G173" s="39">
        <v>1</v>
      </c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13">
        <f t="shared" si="9"/>
        <v>1</v>
      </c>
      <c r="AM173" s="14">
        <v>32000</v>
      </c>
      <c r="AN173" s="14">
        <f t="shared" si="10"/>
        <v>32000</v>
      </c>
    </row>
    <row r="174" spans="1:40" ht="13.5" customHeight="1">
      <c r="A174" s="45" t="s">
        <v>62</v>
      </c>
      <c r="B174" s="32">
        <v>3</v>
      </c>
      <c r="C174" s="33" t="s">
        <v>584</v>
      </c>
      <c r="D174" s="33" t="s">
        <v>585</v>
      </c>
      <c r="E174" s="33" t="s">
        <v>137</v>
      </c>
      <c r="F174" s="32" t="s">
        <v>586</v>
      </c>
      <c r="G174" s="46"/>
      <c r="H174" s="34">
        <v>1</v>
      </c>
      <c r="I174" s="34">
        <v>1</v>
      </c>
      <c r="J174" s="34">
        <v>1</v>
      </c>
      <c r="K174" s="34">
        <v>1</v>
      </c>
      <c r="L174" s="34">
        <v>1</v>
      </c>
      <c r="M174" s="34">
        <v>1</v>
      </c>
      <c r="N174" s="34">
        <v>1</v>
      </c>
      <c r="O174" s="34">
        <v>1</v>
      </c>
      <c r="P174" s="34">
        <v>1</v>
      </c>
      <c r="Q174" s="34">
        <v>1</v>
      </c>
      <c r="R174" s="34">
        <v>1</v>
      </c>
      <c r="S174" s="34">
        <v>1</v>
      </c>
      <c r="T174" s="34">
        <v>1</v>
      </c>
      <c r="U174" s="34">
        <v>1</v>
      </c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2">
        <f t="shared" si="9"/>
        <v>14</v>
      </c>
      <c r="AM174" s="11">
        <v>32000</v>
      </c>
      <c r="AN174" s="11">
        <f t="shared" si="10"/>
        <v>448000</v>
      </c>
    </row>
    <row r="175" spans="1:40" ht="13.5" customHeight="1">
      <c r="A175" s="45" t="s">
        <v>62</v>
      </c>
      <c r="B175" s="32">
        <v>3</v>
      </c>
      <c r="C175" s="33" t="s">
        <v>151</v>
      </c>
      <c r="D175" s="33" t="s">
        <v>587</v>
      </c>
      <c r="E175" s="33" t="s">
        <v>20</v>
      </c>
      <c r="F175" s="32" t="s">
        <v>588</v>
      </c>
      <c r="G175" s="46"/>
      <c r="H175" s="34">
        <v>1</v>
      </c>
      <c r="I175" s="34">
        <v>1</v>
      </c>
      <c r="J175" s="34">
        <v>1</v>
      </c>
      <c r="K175" s="34">
        <v>1</v>
      </c>
      <c r="L175" s="34">
        <v>1</v>
      </c>
      <c r="M175" s="34">
        <v>1</v>
      </c>
      <c r="N175" s="34">
        <v>1</v>
      </c>
      <c r="O175" s="34">
        <v>1</v>
      </c>
      <c r="P175" s="34">
        <v>1</v>
      </c>
      <c r="Q175" s="34">
        <v>1</v>
      </c>
      <c r="R175" s="34">
        <v>1</v>
      </c>
      <c r="S175" s="34">
        <v>1</v>
      </c>
      <c r="T175" s="34">
        <v>1</v>
      </c>
      <c r="U175" s="34">
        <v>1</v>
      </c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10">
        <f t="shared" ref="AL175:AL205" si="11">SUM(G175:AK175)</f>
        <v>14</v>
      </c>
      <c r="AM175" s="11">
        <v>32000</v>
      </c>
      <c r="AN175" s="12">
        <f t="shared" ref="AN175:AN205" si="12">AM175*AL175</f>
        <v>448000</v>
      </c>
    </row>
    <row r="176" spans="1:40" ht="13.5" customHeight="1">
      <c r="A176" s="45" t="s">
        <v>62</v>
      </c>
      <c r="B176" s="32">
        <v>4</v>
      </c>
      <c r="C176" s="33" t="s">
        <v>423</v>
      </c>
      <c r="D176" s="33" t="s">
        <v>224</v>
      </c>
      <c r="E176" s="33" t="s">
        <v>24</v>
      </c>
      <c r="F176" s="32" t="s">
        <v>434</v>
      </c>
      <c r="G176" s="46"/>
      <c r="H176" s="34">
        <v>1</v>
      </c>
      <c r="I176" s="34">
        <v>1</v>
      </c>
      <c r="J176" s="34">
        <v>1</v>
      </c>
      <c r="K176" s="34">
        <v>1</v>
      </c>
      <c r="L176" s="34">
        <v>1</v>
      </c>
      <c r="M176" s="34">
        <v>1</v>
      </c>
      <c r="N176" s="34">
        <v>1</v>
      </c>
      <c r="O176" s="34">
        <v>1</v>
      </c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10">
        <f t="shared" si="11"/>
        <v>8</v>
      </c>
      <c r="AM176" s="11">
        <v>32000</v>
      </c>
      <c r="AN176" s="12">
        <f t="shared" si="12"/>
        <v>256000</v>
      </c>
    </row>
    <row r="177" spans="1:40" ht="13.5" customHeight="1">
      <c r="A177" s="45" t="s">
        <v>62</v>
      </c>
      <c r="B177" s="32">
        <v>4</v>
      </c>
      <c r="C177" s="33" t="s">
        <v>454</v>
      </c>
      <c r="D177" s="33" t="s">
        <v>438</v>
      </c>
      <c r="E177" s="33" t="s">
        <v>64</v>
      </c>
      <c r="F177" s="32" t="s">
        <v>443</v>
      </c>
      <c r="G177" s="46"/>
      <c r="H177" s="34">
        <v>1</v>
      </c>
      <c r="I177" s="34">
        <v>1</v>
      </c>
      <c r="J177" s="34">
        <v>1</v>
      </c>
      <c r="K177" s="34">
        <v>1</v>
      </c>
      <c r="L177" s="34">
        <v>1</v>
      </c>
      <c r="M177" s="34">
        <v>1</v>
      </c>
      <c r="N177" s="34">
        <v>1</v>
      </c>
      <c r="O177" s="34">
        <v>1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10">
        <f t="shared" si="11"/>
        <v>8</v>
      </c>
      <c r="AM177" s="11">
        <v>32000</v>
      </c>
      <c r="AN177" s="12">
        <f t="shared" si="12"/>
        <v>256000</v>
      </c>
    </row>
    <row r="178" spans="1:40" ht="13.5" customHeight="1">
      <c r="A178" s="45" t="s">
        <v>62</v>
      </c>
      <c r="B178" s="32">
        <v>5</v>
      </c>
      <c r="C178" s="33" t="s">
        <v>222</v>
      </c>
      <c r="D178" s="33" t="s">
        <v>457</v>
      </c>
      <c r="E178" s="33" t="s">
        <v>571</v>
      </c>
      <c r="F178" s="32" t="s">
        <v>576</v>
      </c>
      <c r="G178" s="46"/>
      <c r="H178" s="46"/>
      <c r="I178" s="46"/>
      <c r="J178" s="34">
        <v>1</v>
      </c>
      <c r="K178" s="34">
        <v>1</v>
      </c>
      <c r="L178" s="34">
        <v>1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10">
        <f t="shared" si="11"/>
        <v>3</v>
      </c>
      <c r="AM178" s="11">
        <v>32000</v>
      </c>
      <c r="AN178" s="12">
        <f t="shared" si="12"/>
        <v>96000</v>
      </c>
    </row>
    <row r="179" spans="1:40" ht="13.5" customHeight="1">
      <c r="A179" s="45" t="s">
        <v>62</v>
      </c>
      <c r="B179" s="32">
        <v>5</v>
      </c>
      <c r="C179" s="33" t="s">
        <v>871</v>
      </c>
      <c r="D179" s="33" t="s">
        <v>67</v>
      </c>
      <c r="E179" s="33" t="s">
        <v>37</v>
      </c>
      <c r="F179" s="32" t="s">
        <v>572</v>
      </c>
      <c r="G179" s="46"/>
      <c r="H179" s="46"/>
      <c r="I179" s="46"/>
      <c r="J179" s="34">
        <v>1</v>
      </c>
      <c r="K179" s="34">
        <v>1</v>
      </c>
      <c r="L179" s="34">
        <v>1</v>
      </c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10">
        <f t="shared" si="11"/>
        <v>3</v>
      </c>
      <c r="AM179" s="11">
        <v>32000</v>
      </c>
      <c r="AN179" s="12">
        <f t="shared" si="12"/>
        <v>96000</v>
      </c>
    </row>
    <row r="180" spans="1:40" ht="13.5" customHeight="1">
      <c r="A180" s="45" t="s">
        <v>62</v>
      </c>
      <c r="B180" s="32">
        <v>7</v>
      </c>
      <c r="C180" s="33" t="s">
        <v>383</v>
      </c>
      <c r="D180" s="33" t="s">
        <v>26</v>
      </c>
      <c r="E180" s="33" t="s">
        <v>589</v>
      </c>
      <c r="F180" s="32" t="s">
        <v>590</v>
      </c>
      <c r="G180" s="46"/>
      <c r="H180" s="34">
        <v>1</v>
      </c>
      <c r="I180" s="34">
        <v>1</v>
      </c>
      <c r="J180" s="34">
        <v>1</v>
      </c>
      <c r="K180" s="34">
        <v>1</v>
      </c>
      <c r="L180" s="34">
        <v>1</v>
      </c>
      <c r="M180" s="34">
        <v>1</v>
      </c>
      <c r="N180" s="34">
        <v>1</v>
      </c>
      <c r="O180" s="34">
        <v>1</v>
      </c>
      <c r="P180" s="34">
        <v>1</v>
      </c>
      <c r="Q180" s="34">
        <v>1</v>
      </c>
      <c r="R180" s="34">
        <v>1</v>
      </c>
      <c r="S180" s="34">
        <v>1</v>
      </c>
      <c r="T180" s="34">
        <v>1</v>
      </c>
      <c r="U180" s="34">
        <v>1</v>
      </c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10">
        <f t="shared" si="11"/>
        <v>14</v>
      </c>
      <c r="AM180" s="11">
        <v>32000</v>
      </c>
      <c r="AN180" s="12">
        <f t="shared" si="12"/>
        <v>448000</v>
      </c>
    </row>
    <row r="181" spans="1:40" ht="13.5" customHeight="1">
      <c r="A181" s="45" t="s">
        <v>62</v>
      </c>
      <c r="B181" s="32">
        <v>7</v>
      </c>
      <c r="C181" s="33" t="s">
        <v>591</v>
      </c>
      <c r="D181" s="33" t="s">
        <v>592</v>
      </c>
      <c r="E181" s="33" t="s">
        <v>53</v>
      </c>
      <c r="F181" s="32" t="s">
        <v>593</v>
      </c>
      <c r="G181" s="46"/>
      <c r="H181" s="34">
        <v>1</v>
      </c>
      <c r="I181" s="34">
        <v>1</v>
      </c>
      <c r="J181" s="34">
        <v>1</v>
      </c>
      <c r="K181" s="34">
        <v>1</v>
      </c>
      <c r="L181" s="34">
        <v>1</v>
      </c>
      <c r="M181" s="34">
        <v>1</v>
      </c>
      <c r="N181" s="34">
        <v>1</v>
      </c>
      <c r="O181" s="34">
        <v>1</v>
      </c>
      <c r="P181" s="34">
        <v>1</v>
      </c>
      <c r="Q181" s="34">
        <v>1</v>
      </c>
      <c r="R181" s="34">
        <v>1</v>
      </c>
      <c r="S181" s="34">
        <v>1</v>
      </c>
      <c r="T181" s="34">
        <v>1</v>
      </c>
      <c r="U181" s="34">
        <v>1</v>
      </c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10">
        <f t="shared" si="11"/>
        <v>14</v>
      </c>
      <c r="AM181" s="11">
        <v>32000</v>
      </c>
      <c r="AN181" s="12">
        <f t="shared" si="12"/>
        <v>448000</v>
      </c>
    </row>
    <row r="182" spans="1:40" ht="13.5" customHeight="1">
      <c r="A182" s="45" t="s">
        <v>62</v>
      </c>
      <c r="B182" s="32">
        <v>8</v>
      </c>
      <c r="C182" s="33" t="s">
        <v>19</v>
      </c>
      <c r="D182" s="33" t="s">
        <v>891</v>
      </c>
      <c r="E182" s="33" t="s">
        <v>37</v>
      </c>
      <c r="F182" s="32" t="s">
        <v>904</v>
      </c>
      <c r="G182" s="46"/>
      <c r="H182" s="46"/>
      <c r="I182" s="46"/>
      <c r="J182" s="46"/>
      <c r="K182" s="46"/>
      <c r="L182" s="46"/>
      <c r="M182" s="46"/>
      <c r="N182" s="46"/>
      <c r="O182" s="34">
        <v>1</v>
      </c>
      <c r="P182" s="34">
        <v>1</v>
      </c>
      <c r="Q182" s="34">
        <v>1</v>
      </c>
      <c r="R182" s="34">
        <v>1</v>
      </c>
      <c r="S182" s="34">
        <v>1</v>
      </c>
      <c r="T182" s="34">
        <v>1</v>
      </c>
      <c r="U182" s="34">
        <v>1</v>
      </c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10">
        <f t="shared" si="11"/>
        <v>7</v>
      </c>
      <c r="AM182" s="11">
        <v>32000</v>
      </c>
      <c r="AN182" s="12">
        <f t="shared" si="12"/>
        <v>224000</v>
      </c>
    </row>
    <row r="183" spans="1:40" ht="13.5" customHeight="1">
      <c r="A183" s="45" t="s">
        <v>62</v>
      </c>
      <c r="B183" s="32">
        <v>8</v>
      </c>
      <c r="C183" s="33" t="s">
        <v>491</v>
      </c>
      <c r="D183" s="33" t="s">
        <v>492</v>
      </c>
      <c r="E183" s="33" t="s">
        <v>53</v>
      </c>
      <c r="F183" s="32" t="s">
        <v>493</v>
      </c>
      <c r="G183" s="46"/>
      <c r="H183" s="46"/>
      <c r="I183" s="46"/>
      <c r="J183" s="46"/>
      <c r="K183" s="46"/>
      <c r="L183" s="46"/>
      <c r="M183" s="46"/>
      <c r="N183" s="46"/>
      <c r="O183" s="34">
        <v>1</v>
      </c>
      <c r="P183" s="34">
        <v>1</v>
      </c>
      <c r="Q183" s="34">
        <v>1</v>
      </c>
      <c r="R183" s="34">
        <v>1</v>
      </c>
      <c r="S183" s="34">
        <v>1</v>
      </c>
      <c r="T183" s="34">
        <v>1</v>
      </c>
      <c r="U183" s="34">
        <v>1</v>
      </c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10">
        <f t="shared" si="11"/>
        <v>7</v>
      </c>
      <c r="AM183" s="11">
        <v>32000</v>
      </c>
      <c r="AN183" s="12">
        <f t="shared" si="12"/>
        <v>224000</v>
      </c>
    </row>
    <row r="184" spans="1:40" ht="13.5" customHeight="1">
      <c r="A184" s="45" t="s">
        <v>62</v>
      </c>
      <c r="B184" s="32">
        <v>9</v>
      </c>
      <c r="C184" s="33" t="s">
        <v>594</v>
      </c>
      <c r="D184" s="33" t="s">
        <v>377</v>
      </c>
      <c r="E184" s="33" t="s">
        <v>9</v>
      </c>
      <c r="F184" s="32" t="s">
        <v>595</v>
      </c>
      <c r="G184" s="46"/>
      <c r="H184" s="34">
        <v>1</v>
      </c>
      <c r="I184" s="34">
        <v>1</v>
      </c>
      <c r="J184" s="34">
        <v>1</v>
      </c>
      <c r="K184" s="34">
        <v>1</v>
      </c>
      <c r="L184" s="34">
        <v>1</v>
      </c>
      <c r="M184" s="34">
        <v>1</v>
      </c>
      <c r="N184" s="34">
        <v>1</v>
      </c>
      <c r="O184" s="34">
        <v>1</v>
      </c>
      <c r="P184" s="34">
        <v>1</v>
      </c>
      <c r="Q184" s="34">
        <v>1</v>
      </c>
      <c r="R184" s="34">
        <v>1</v>
      </c>
      <c r="S184" s="34">
        <v>1</v>
      </c>
      <c r="T184" s="34">
        <v>1</v>
      </c>
      <c r="U184" s="34">
        <v>1</v>
      </c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10">
        <f t="shared" si="11"/>
        <v>14</v>
      </c>
      <c r="AM184" s="11">
        <v>32000</v>
      </c>
      <c r="AN184" s="12">
        <f t="shared" si="12"/>
        <v>448000</v>
      </c>
    </row>
    <row r="185" spans="1:40" ht="13.5" customHeight="1">
      <c r="A185" s="45" t="s">
        <v>62</v>
      </c>
      <c r="B185" s="32">
        <v>9</v>
      </c>
      <c r="C185" s="33" t="s">
        <v>176</v>
      </c>
      <c r="D185" s="33" t="s">
        <v>219</v>
      </c>
      <c r="E185" s="33" t="s">
        <v>22</v>
      </c>
      <c r="F185" s="32" t="s">
        <v>442</v>
      </c>
      <c r="G185" s="46"/>
      <c r="H185" s="34">
        <v>1</v>
      </c>
      <c r="I185" s="34">
        <v>1</v>
      </c>
      <c r="J185" s="34">
        <v>1</v>
      </c>
      <c r="K185" s="34">
        <v>1</v>
      </c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10">
        <f t="shared" si="11"/>
        <v>4</v>
      </c>
      <c r="AM185" s="11">
        <v>32000</v>
      </c>
      <c r="AN185" s="12">
        <f t="shared" si="12"/>
        <v>128000</v>
      </c>
    </row>
    <row r="186" spans="1:40" ht="13.5" customHeight="1">
      <c r="A186" s="45" t="s">
        <v>62</v>
      </c>
      <c r="B186" s="32">
        <v>10</v>
      </c>
      <c r="C186" s="33" t="s">
        <v>596</v>
      </c>
      <c r="D186" s="33" t="s">
        <v>159</v>
      </c>
      <c r="E186" s="33" t="s">
        <v>597</v>
      </c>
      <c r="F186" s="32" t="s">
        <v>598</v>
      </c>
      <c r="G186" s="46"/>
      <c r="H186" s="34">
        <v>1</v>
      </c>
      <c r="I186" s="34">
        <v>1</v>
      </c>
      <c r="J186" s="34">
        <v>1</v>
      </c>
      <c r="K186" s="34">
        <v>1</v>
      </c>
      <c r="L186" s="34">
        <v>1</v>
      </c>
      <c r="M186" s="34">
        <v>1</v>
      </c>
      <c r="N186" s="34">
        <v>1</v>
      </c>
      <c r="O186" s="34">
        <v>1</v>
      </c>
      <c r="P186" s="34">
        <v>1</v>
      </c>
      <c r="Q186" s="34">
        <v>1</v>
      </c>
      <c r="R186" s="34">
        <v>1</v>
      </c>
      <c r="S186" s="34">
        <v>1</v>
      </c>
      <c r="T186" s="34">
        <v>1</v>
      </c>
      <c r="U186" s="34">
        <v>1</v>
      </c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10">
        <f t="shared" si="11"/>
        <v>14</v>
      </c>
      <c r="AM186" s="11">
        <v>32000</v>
      </c>
      <c r="AN186" s="12">
        <f t="shared" si="12"/>
        <v>448000</v>
      </c>
    </row>
    <row r="187" spans="1:40" ht="13.5" customHeight="1">
      <c r="A187" s="45" t="s">
        <v>62</v>
      </c>
      <c r="B187" s="32">
        <v>10</v>
      </c>
      <c r="C187" s="33" t="s">
        <v>596</v>
      </c>
      <c r="D187" s="33" t="s">
        <v>599</v>
      </c>
      <c r="E187" s="33" t="s">
        <v>600</v>
      </c>
      <c r="F187" s="32" t="s">
        <v>601</v>
      </c>
      <c r="G187" s="46"/>
      <c r="H187" s="34">
        <v>1</v>
      </c>
      <c r="I187" s="34">
        <v>1</v>
      </c>
      <c r="J187" s="34">
        <v>1</v>
      </c>
      <c r="K187" s="34">
        <v>1</v>
      </c>
      <c r="L187" s="34">
        <v>1</v>
      </c>
      <c r="M187" s="34">
        <v>1</v>
      </c>
      <c r="N187" s="34">
        <v>1</v>
      </c>
      <c r="O187" s="34">
        <v>1</v>
      </c>
      <c r="P187" s="34">
        <v>1</v>
      </c>
      <c r="Q187" s="34">
        <v>1</v>
      </c>
      <c r="R187" s="34">
        <v>1</v>
      </c>
      <c r="S187" s="34">
        <v>1</v>
      </c>
      <c r="T187" s="34">
        <v>1</v>
      </c>
      <c r="U187" s="34">
        <v>1</v>
      </c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10">
        <f t="shared" si="11"/>
        <v>14</v>
      </c>
      <c r="AM187" s="11">
        <v>32000</v>
      </c>
      <c r="AN187" s="12">
        <f t="shared" si="12"/>
        <v>448000</v>
      </c>
    </row>
    <row r="188" spans="1:40" ht="13.5" customHeight="1">
      <c r="A188" s="45" t="s">
        <v>62</v>
      </c>
      <c r="B188" s="32">
        <v>11</v>
      </c>
      <c r="C188" s="33" t="s">
        <v>94</v>
      </c>
      <c r="D188" s="33" t="s">
        <v>602</v>
      </c>
      <c r="E188" s="33" t="s">
        <v>9</v>
      </c>
      <c r="F188" s="32" t="s">
        <v>603</v>
      </c>
      <c r="G188" s="46"/>
      <c r="H188" s="34">
        <v>1</v>
      </c>
      <c r="I188" s="34">
        <v>1</v>
      </c>
      <c r="J188" s="34">
        <v>1</v>
      </c>
      <c r="K188" s="34">
        <v>1</v>
      </c>
      <c r="L188" s="34">
        <v>1</v>
      </c>
      <c r="M188" s="34">
        <v>1</v>
      </c>
      <c r="N188" s="34">
        <v>1</v>
      </c>
      <c r="O188" s="34">
        <v>1</v>
      </c>
      <c r="P188" s="34">
        <v>1</v>
      </c>
      <c r="Q188" s="34">
        <v>1</v>
      </c>
      <c r="R188" s="34">
        <v>1</v>
      </c>
      <c r="S188" s="34">
        <v>1</v>
      </c>
      <c r="T188" s="34">
        <v>1</v>
      </c>
      <c r="U188" s="34">
        <v>1</v>
      </c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10">
        <f t="shared" si="11"/>
        <v>14</v>
      </c>
      <c r="AM188" s="11">
        <v>32000</v>
      </c>
      <c r="AN188" s="12">
        <f t="shared" si="12"/>
        <v>448000</v>
      </c>
    </row>
    <row r="189" spans="1:40" ht="13.5" customHeight="1">
      <c r="A189" s="45" t="s">
        <v>62</v>
      </c>
      <c r="B189" s="32">
        <v>11</v>
      </c>
      <c r="C189" s="33" t="s">
        <v>146</v>
      </c>
      <c r="D189" s="33" t="s">
        <v>479</v>
      </c>
      <c r="E189" s="33" t="s">
        <v>68</v>
      </c>
      <c r="F189" s="32" t="s">
        <v>604</v>
      </c>
      <c r="G189" s="46"/>
      <c r="H189" s="34">
        <v>1</v>
      </c>
      <c r="I189" s="34">
        <v>1</v>
      </c>
      <c r="J189" s="34">
        <v>1</v>
      </c>
      <c r="K189" s="34">
        <v>1</v>
      </c>
      <c r="L189" s="34">
        <v>1</v>
      </c>
      <c r="M189" s="34">
        <v>1</v>
      </c>
      <c r="N189" s="34">
        <v>1</v>
      </c>
      <c r="O189" s="34">
        <v>1</v>
      </c>
      <c r="P189" s="34">
        <v>1</v>
      </c>
      <c r="Q189" s="34">
        <v>1</v>
      </c>
      <c r="R189" s="34">
        <v>1</v>
      </c>
      <c r="S189" s="34">
        <v>1</v>
      </c>
      <c r="T189" s="34">
        <v>1</v>
      </c>
      <c r="U189" s="34">
        <v>1</v>
      </c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10">
        <f t="shared" si="11"/>
        <v>14</v>
      </c>
      <c r="AM189" s="11">
        <v>32000</v>
      </c>
      <c r="AN189" s="12">
        <f t="shared" si="12"/>
        <v>448000</v>
      </c>
    </row>
    <row r="190" spans="1:40" ht="13.5" customHeight="1">
      <c r="A190" s="45" t="s">
        <v>62</v>
      </c>
      <c r="B190" s="35">
        <v>13</v>
      </c>
      <c r="C190" s="36" t="s">
        <v>563</v>
      </c>
      <c r="D190" s="36" t="s">
        <v>564</v>
      </c>
      <c r="E190" s="36" t="s">
        <v>229</v>
      </c>
      <c r="F190" s="35" t="s">
        <v>565</v>
      </c>
      <c r="G190" s="52"/>
      <c r="H190" s="37">
        <v>1</v>
      </c>
      <c r="I190" s="37">
        <v>1</v>
      </c>
      <c r="J190" s="37">
        <v>1</v>
      </c>
      <c r="K190" s="37">
        <v>1</v>
      </c>
      <c r="L190" s="37">
        <v>1</v>
      </c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10">
        <f t="shared" si="11"/>
        <v>5</v>
      </c>
      <c r="AM190" s="12">
        <v>32000</v>
      </c>
      <c r="AN190" s="12">
        <f t="shared" si="12"/>
        <v>160000</v>
      </c>
    </row>
    <row r="191" spans="1:40" ht="13.5" customHeight="1">
      <c r="A191" s="45" t="s">
        <v>62</v>
      </c>
      <c r="B191" s="35">
        <v>13</v>
      </c>
      <c r="C191" s="36" t="s">
        <v>147</v>
      </c>
      <c r="D191" s="36" t="s">
        <v>72</v>
      </c>
      <c r="E191" s="36" t="s">
        <v>70</v>
      </c>
      <c r="F191" s="35" t="s">
        <v>566</v>
      </c>
      <c r="G191" s="52"/>
      <c r="H191" s="37">
        <v>1</v>
      </c>
      <c r="I191" s="37">
        <v>1</v>
      </c>
      <c r="J191" s="37">
        <v>1</v>
      </c>
      <c r="K191" s="37">
        <v>1</v>
      </c>
      <c r="L191" s="37">
        <v>1</v>
      </c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10">
        <f t="shared" si="11"/>
        <v>5</v>
      </c>
      <c r="AM191" s="12">
        <v>32000</v>
      </c>
      <c r="AN191" s="12">
        <f t="shared" si="12"/>
        <v>160000</v>
      </c>
    </row>
    <row r="192" spans="1:40" ht="13.5" customHeight="1">
      <c r="A192" s="45" t="s">
        <v>62</v>
      </c>
      <c r="B192" s="35">
        <v>14</v>
      </c>
      <c r="C192" s="36" t="s">
        <v>887</v>
      </c>
      <c r="D192" s="36" t="s">
        <v>887</v>
      </c>
      <c r="E192" s="36" t="s">
        <v>888</v>
      </c>
      <c r="F192" s="35" t="s">
        <v>907</v>
      </c>
      <c r="G192" s="52"/>
      <c r="H192" s="52"/>
      <c r="I192" s="52"/>
      <c r="J192" s="52"/>
      <c r="K192" s="52"/>
      <c r="L192" s="52"/>
      <c r="M192" s="52"/>
      <c r="N192" s="52"/>
      <c r="O192" s="37">
        <v>1</v>
      </c>
      <c r="P192" s="37">
        <v>1</v>
      </c>
      <c r="Q192" s="37">
        <v>1</v>
      </c>
      <c r="R192" s="37">
        <v>1</v>
      </c>
      <c r="S192" s="37">
        <v>1</v>
      </c>
      <c r="T192" s="37">
        <v>1</v>
      </c>
      <c r="U192" s="37">
        <v>1</v>
      </c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10">
        <f t="shared" si="11"/>
        <v>7</v>
      </c>
      <c r="AM192" s="12">
        <v>32000</v>
      </c>
      <c r="AN192" s="12">
        <f t="shared" si="12"/>
        <v>224000</v>
      </c>
    </row>
    <row r="193" spans="1:40" ht="13.5" customHeight="1">
      <c r="A193" s="45" t="s">
        <v>62</v>
      </c>
      <c r="B193" s="35">
        <v>14</v>
      </c>
      <c r="C193" s="36" t="s">
        <v>17</v>
      </c>
      <c r="D193" s="36" t="s">
        <v>23</v>
      </c>
      <c r="E193" s="36" t="s">
        <v>889</v>
      </c>
      <c r="F193" s="35" t="s">
        <v>906</v>
      </c>
      <c r="G193" s="52"/>
      <c r="H193" s="52"/>
      <c r="I193" s="52"/>
      <c r="J193" s="52"/>
      <c r="K193" s="52"/>
      <c r="L193" s="52"/>
      <c r="M193" s="52"/>
      <c r="N193" s="52"/>
      <c r="O193" s="37">
        <v>1</v>
      </c>
      <c r="P193" s="37">
        <v>1</v>
      </c>
      <c r="Q193" s="37">
        <v>1</v>
      </c>
      <c r="R193" s="37">
        <v>1</v>
      </c>
      <c r="S193" s="37">
        <v>1</v>
      </c>
      <c r="T193" s="37">
        <v>1</v>
      </c>
      <c r="U193" s="37">
        <v>1</v>
      </c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10">
        <f t="shared" si="11"/>
        <v>7</v>
      </c>
      <c r="AM193" s="12">
        <v>32000</v>
      </c>
      <c r="AN193" s="12">
        <f t="shared" si="12"/>
        <v>224000</v>
      </c>
    </row>
    <row r="194" spans="1:40" ht="13.5" customHeight="1">
      <c r="A194" s="45" t="s">
        <v>62</v>
      </c>
      <c r="B194" s="32">
        <v>15</v>
      </c>
      <c r="C194" s="33" t="s">
        <v>134</v>
      </c>
      <c r="D194" s="33" t="s">
        <v>12</v>
      </c>
      <c r="E194" s="33" t="s">
        <v>11</v>
      </c>
      <c r="F194" s="32" t="s">
        <v>605</v>
      </c>
      <c r="G194" s="46"/>
      <c r="H194" s="34">
        <v>1</v>
      </c>
      <c r="I194" s="34">
        <v>1</v>
      </c>
      <c r="J194" s="34">
        <v>1</v>
      </c>
      <c r="K194" s="34">
        <v>1</v>
      </c>
      <c r="L194" s="34">
        <v>1</v>
      </c>
      <c r="M194" s="34">
        <v>1</v>
      </c>
      <c r="N194" s="34">
        <v>1</v>
      </c>
      <c r="O194" s="34">
        <v>1</v>
      </c>
      <c r="P194" s="34">
        <v>1</v>
      </c>
      <c r="Q194" s="34">
        <v>1</v>
      </c>
      <c r="R194" s="34">
        <v>1</v>
      </c>
      <c r="S194" s="34">
        <v>1</v>
      </c>
      <c r="T194" s="34">
        <v>1</v>
      </c>
      <c r="U194" s="34">
        <v>1</v>
      </c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10">
        <f t="shared" si="11"/>
        <v>14</v>
      </c>
      <c r="AM194" s="11">
        <v>32000</v>
      </c>
      <c r="AN194" s="12">
        <f t="shared" si="12"/>
        <v>448000</v>
      </c>
    </row>
    <row r="195" spans="1:40" ht="13.5" customHeight="1">
      <c r="A195" s="45" t="s">
        <v>62</v>
      </c>
      <c r="B195" s="32">
        <v>15</v>
      </c>
      <c r="C195" s="33" t="s">
        <v>150</v>
      </c>
      <c r="D195" s="33" t="s">
        <v>151</v>
      </c>
      <c r="E195" s="33" t="s">
        <v>606</v>
      </c>
      <c r="F195" s="32" t="s">
        <v>607</v>
      </c>
      <c r="G195" s="46"/>
      <c r="H195" s="34">
        <v>1</v>
      </c>
      <c r="I195" s="34">
        <v>1</v>
      </c>
      <c r="J195" s="34">
        <v>1</v>
      </c>
      <c r="K195" s="34">
        <v>1</v>
      </c>
      <c r="L195" s="34">
        <v>1</v>
      </c>
      <c r="M195" s="34">
        <v>1</v>
      </c>
      <c r="N195" s="34">
        <v>1</v>
      </c>
      <c r="O195" s="34">
        <v>1</v>
      </c>
      <c r="P195" s="34">
        <v>1</v>
      </c>
      <c r="Q195" s="34">
        <v>1</v>
      </c>
      <c r="R195" s="34">
        <v>1</v>
      </c>
      <c r="S195" s="34">
        <v>1</v>
      </c>
      <c r="T195" s="34">
        <v>1</v>
      </c>
      <c r="U195" s="34">
        <v>1</v>
      </c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10">
        <f t="shared" si="11"/>
        <v>14</v>
      </c>
      <c r="AM195" s="11">
        <v>32000</v>
      </c>
      <c r="AN195" s="12">
        <f t="shared" si="12"/>
        <v>448000</v>
      </c>
    </row>
    <row r="196" spans="1:40" ht="13.5" customHeight="1">
      <c r="A196" s="45" t="s">
        <v>62</v>
      </c>
      <c r="B196" s="32">
        <v>16</v>
      </c>
      <c r="C196" s="33" t="s">
        <v>608</v>
      </c>
      <c r="D196" s="33" t="s">
        <v>609</v>
      </c>
      <c r="E196" s="33" t="s">
        <v>610</v>
      </c>
      <c r="F196" s="32" t="s">
        <v>611</v>
      </c>
      <c r="G196" s="46"/>
      <c r="H196" s="34">
        <v>1</v>
      </c>
      <c r="I196" s="34">
        <v>1</v>
      </c>
      <c r="J196" s="34">
        <v>1</v>
      </c>
      <c r="K196" s="34">
        <v>1</v>
      </c>
      <c r="L196" s="34">
        <v>1</v>
      </c>
      <c r="M196" s="34">
        <v>1</v>
      </c>
      <c r="N196" s="34">
        <v>1</v>
      </c>
      <c r="O196" s="34">
        <v>1</v>
      </c>
      <c r="P196" s="34">
        <v>1</v>
      </c>
      <c r="Q196" s="34">
        <v>1</v>
      </c>
      <c r="R196" s="34">
        <v>1</v>
      </c>
      <c r="S196" s="34">
        <v>1</v>
      </c>
      <c r="T196" s="34">
        <v>1</v>
      </c>
      <c r="U196" s="34">
        <v>1</v>
      </c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10">
        <f t="shared" si="11"/>
        <v>14</v>
      </c>
      <c r="AM196" s="11">
        <v>32000</v>
      </c>
      <c r="AN196" s="12">
        <f t="shared" si="12"/>
        <v>448000</v>
      </c>
    </row>
    <row r="197" spans="1:40" ht="13.5" customHeight="1">
      <c r="A197" s="45" t="s">
        <v>62</v>
      </c>
      <c r="B197" s="32">
        <v>16</v>
      </c>
      <c r="C197" s="33" t="s">
        <v>159</v>
      </c>
      <c r="D197" s="33" t="s">
        <v>608</v>
      </c>
      <c r="E197" s="33" t="s">
        <v>184</v>
      </c>
      <c r="F197" s="32" t="s">
        <v>612</v>
      </c>
      <c r="G197" s="46"/>
      <c r="H197" s="34">
        <v>1</v>
      </c>
      <c r="I197" s="34">
        <v>1</v>
      </c>
      <c r="J197" s="34">
        <v>1</v>
      </c>
      <c r="K197" s="34">
        <v>1</v>
      </c>
      <c r="L197" s="34">
        <v>1</v>
      </c>
      <c r="M197" s="34">
        <v>1</v>
      </c>
      <c r="N197" s="34">
        <v>1</v>
      </c>
      <c r="O197" s="34">
        <v>1</v>
      </c>
      <c r="P197" s="34">
        <v>1</v>
      </c>
      <c r="Q197" s="34">
        <v>1</v>
      </c>
      <c r="R197" s="34">
        <v>1</v>
      </c>
      <c r="S197" s="34">
        <v>1</v>
      </c>
      <c r="T197" s="34">
        <v>1</v>
      </c>
      <c r="U197" s="34">
        <v>1</v>
      </c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10">
        <f t="shared" si="11"/>
        <v>14</v>
      </c>
      <c r="AM197" s="11">
        <v>32000</v>
      </c>
      <c r="AN197" s="12">
        <f t="shared" si="12"/>
        <v>448000</v>
      </c>
    </row>
    <row r="198" spans="1:40" ht="13.5" customHeight="1">
      <c r="A198" s="45" t="s">
        <v>62</v>
      </c>
      <c r="B198" s="32">
        <v>17</v>
      </c>
      <c r="C198" s="33" t="s">
        <v>8</v>
      </c>
      <c r="D198" s="33" t="s">
        <v>181</v>
      </c>
      <c r="E198" s="33" t="s">
        <v>15</v>
      </c>
      <c r="F198" s="32" t="s">
        <v>613</v>
      </c>
      <c r="G198" s="46"/>
      <c r="H198" s="34">
        <v>1</v>
      </c>
      <c r="I198" s="34">
        <v>1</v>
      </c>
      <c r="J198" s="34">
        <v>1</v>
      </c>
      <c r="K198" s="34">
        <v>1</v>
      </c>
      <c r="L198" s="34">
        <v>1</v>
      </c>
      <c r="M198" s="34">
        <v>1</v>
      </c>
      <c r="N198" s="34">
        <v>1</v>
      </c>
      <c r="O198" s="34">
        <v>1</v>
      </c>
      <c r="P198" s="34">
        <v>1</v>
      </c>
      <c r="Q198" s="34">
        <v>1</v>
      </c>
      <c r="R198" s="34">
        <v>1</v>
      </c>
      <c r="S198" s="34">
        <v>1</v>
      </c>
      <c r="T198" s="34">
        <v>1</v>
      </c>
      <c r="U198" s="34">
        <v>1</v>
      </c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10">
        <f t="shared" si="11"/>
        <v>14</v>
      </c>
      <c r="AM198" s="11">
        <v>32000</v>
      </c>
      <c r="AN198" s="12">
        <f t="shared" si="12"/>
        <v>448000</v>
      </c>
    </row>
    <row r="199" spans="1:40" ht="13.5" customHeight="1">
      <c r="A199" s="45" t="s">
        <v>62</v>
      </c>
      <c r="B199" s="32">
        <v>17</v>
      </c>
      <c r="C199" s="33" t="s">
        <v>614</v>
      </c>
      <c r="D199" s="33" t="s">
        <v>615</v>
      </c>
      <c r="E199" s="33" t="s">
        <v>9</v>
      </c>
      <c r="F199" s="32" t="s">
        <v>616</v>
      </c>
      <c r="G199" s="46"/>
      <c r="H199" s="34">
        <v>1</v>
      </c>
      <c r="I199" s="34">
        <v>1</v>
      </c>
      <c r="J199" s="34">
        <v>1</v>
      </c>
      <c r="K199" s="34">
        <v>1</v>
      </c>
      <c r="L199" s="34">
        <v>1</v>
      </c>
      <c r="M199" s="34">
        <v>1</v>
      </c>
      <c r="N199" s="34">
        <v>1</v>
      </c>
      <c r="O199" s="34">
        <v>1</v>
      </c>
      <c r="P199" s="34">
        <v>1</v>
      </c>
      <c r="Q199" s="34">
        <v>1</v>
      </c>
      <c r="R199" s="34">
        <v>1</v>
      </c>
      <c r="S199" s="34">
        <v>1</v>
      </c>
      <c r="T199" s="34">
        <v>1</v>
      </c>
      <c r="U199" s="34">
        <v>1</v>
      </c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10">
        <f t="shared" si="11"/>
        <v>14</v>
      </c>
      <c r="AM199" s="11">
        <v>32000</v>
      </c>
      <c r="AN199" s="12">
        <f t="shared" si="12"/>
        <v>448000</v>
      </c>
    </row>
    <row r="200" spans="1:40" ht="13.5" customHeight="1">
      <c r="A200" s="45" t="s">
        <v>62</v>
      </c>
      <c r="B200" s="32">
        <v>18</v>
      </c>
      <c r="C200" s="33" t="s">
        <v>223</v>
      </c>
      <c r="D200" s="33" t="s">
        <v>403</v>
      </c>
      <c r="E200" s="33" t="s">
        <v>25</v>
      </c>
      <c r="F200" s="32" t="s">
        <v>617</v>
      </c>
      <c r="G200" s="46"/>
      <c r="H200" s="34">
        <v>1</v>
      </c>
      <c r="I200" s="34">
        <v>1</v>
      </c>
      <c r="J200" s="34">
        <v>1</v>
      </c>
      <c r="K200" s="34">
        <v>1</v>
      </c>
      <c r="L200" s="34">
        <v>1</v>
      </c>
      <c r="M200" s="34">
        <v>1</v>
      </c>
      <c r="N200" s="34">
        <v>1</v>
      </c>
      <c r="O200" s="34">
        <v>1</v>
      </c>
      <c r="P200" s="34">
        <v>1</v>
      </c>
      <c r="Q200" s="34">
        <v>1</v>
      </c>
      <c r="R200" s="34">
        <v>1</v>
      </c>
      <c r="S200" s="34">
        <v>1</v>
      </c>
      <c r="T200" s="34">
        <v>1</v>
      </c>
      <c r="U200" s="34">
        <v>1</v>
      </c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10">
        <f t="shared" si="11"/>
        <v>14</v>
      </c>
      <c r="AM200" s="11">
        <v>32000</v>
      </c>
      <c r="AN200" s="12">
        <f t="shared" si="12"/>
        <v>448000</v>
      </c>
    </row>
    <row r="201" spans="1:40" ht="13.5" customHeight="1">
      <c r="A201" s="45" t="s">
        <v>62</v>
      </c>
      <c r="B201" s="32">
        <v>18</v>
      </c>
      <c r="C201" s="33" t="s">
        <v>618</v>
      </c>
      <c r="D201" s="33" t="s">
        <v>619</v>
      </c>
      <c r="E201" s="33" t="s">
        <v>620</v>
      </c>
      <c r="F201" s="32" t="s">
        <v>621</v>
      </c>
      <c r="G201" s="46"/>
      <c r="H201" s="34">
        <v>1</v>
      </c>
      <c r="I201" s="34">
        <v>1</v>
      </c>
      <c r="J201" s="34">
        <v>1</v>
      </c>
      <c r="K201" s="34">
        <v>1</v>
      </c>
      <c r="L201" s="34">
        <v>1</v>
      </c>
      <c r="M201" s="34">
        <v>1</v>
      </c>
      <c r="N201" s="34">
        <v>1</v>
      </c>
      <c r="O201" s="34">
        <v>1</v>
      </c>
      <c r="P201" s="34">
        <v>1</v>
      </c>
      <c r="Q201" s="34">
        <v>1</v>
      </c>
      <c r="R201" s="34">
        <v>1</v>
      </c>
      <c r="S201" s="34">
        <v>1</v>
      </c>
      <c r="T201" s="34">
        <v>1</v>
      </c>
      <c r="U201" s="34">
        <v>1</v>
      </c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10">
        <f t="shared" si="11"/>
        <v>14</v>
      </c>
      <c r="AM201" s="11">
        <v>32000</v>
      </c>
      <c r="AN201" s="12">
        <f t="shared" si="12"/>
        <v>448000</v>
      </c>
    </row>
    <row r="202" spans="1:40" ht="13.5" customHeight="1">
      <c r="A202" s="45" t="s">
        <v>62</v>
      </c>
      <c r="B202" s="32">
        <v>21</v>
      </c>
      <c r="C202" s="33" t="s">
        <v>491</v>
      </c>
      <c r="D202" s="33" t="s">
        <v>492</v>
      </c>
      <c r="E202" s="33" t="s">
        <v>53</v>
      </c>
      <c r="F202" s="32" t="s">
        <v>493</v>
      </c>
      <c r="G202" s="46"/>
      <c r="H202" s="34">
        <v>1</v>
      </c>
      <c r="I202" s="34">
        <v>1</v>
      </c>
      <c r="J202" s="34">
        <v>1</v>
      </c>
      <c r="K202" s="34">
        <v>1</v>
      </c>
      <c r="L202" s="34">
        <v>1</v>
      </c>
      <c r="M202" s="34">
        <v>1</v>
      </c>
      <c r="N202" s="34">
        <v>1</v>
      </c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10">
        <f t="shared" si="11"/>
        <v>7</v>
      </c>
      <c r="AM202" s="11">
        <v>32000</v>
      </c>
      <c r="AN202" s="12">
        <f t="shared" si="12"/>
        <v>224000</v>
      </c>
    </row>
    <row r="203" spans="1:40" ht="13.5" customHeight="1">
      <c r="A203" s="45" t="s">
        <v>62</v>
      </c>
      <c r="B203" s="32">
        <v>21</v>
      </c>
      <c r="C203" s="33" t="s">
        <v>439</v>
      </c>
      <c r="D203" s="33" t="s">
        <v>203</v>
      </c>
      <c r="E203" s="33" t="s">
        <v>229</v>
      </c>
      <c r="F203" s="32" t="s">
        <v>440</v>
      </c>
      <c r="G203" s="46"/>
      <c r="H203" s="34">
        <v>1</v>
      </c>
      <c r="I203" s="34">
        <v>1</v>
      </c>
      <c r="J203" s="34">
        <v>1</v>
      </c>
      <c r="K203" s="34">
        <v>1</v>
      </c>
      <c r="L203" s="34">
        <v>1</v>
      </c>
      <c r="M203" s="34">
        <v>1</v>
      </c>
      <c r="N203" s="34">
        <v>1</v>
      </c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10">
        <f t="shared" si="11"/>
        <v>7</v>
      </c>
      <c r="AM203" s="11">
        <v>32000</v>
      </c>
      <c r="AN203" s="12">
        <f t="shared" si="12"/>
        <v>224000</v>
      </c>
    </row>
    <row r="204" spans="1:40" ht="13.5" customHeight="1">
      <c r="A204" s="45" t="s">
        <v>62</v>
      </c>
      <c r="B204" s="32">
        <v>22</v>
      </c>
      <c r="C204" s="33" t="s">
        <v>225</v>
      </c>
      <c r="D204" s="33" t="s">
        <v>427</v>
      </c>
      <c r="E204" s="33" t="s">
        <v>547</v>
      </c>
      <c r="F204" s="32" t="s">
        <v>431</v>
      </c>
      <c r="G204" s="46"/>
      <c r="H204" s="34">
        <v>1</v>
      </c>
      <c r="I204" s="34">
        <v>1</v>
      </c>
      <c r="J204" s="34">
        <v>1</v>
      </c>
      <c r="K204" s="34">
        <v>1</v>
      </c>
      <c r="L204" s="34">
        <v>1</v>
      </c>
      <c r="M204" s="34">
        <v>1</v>
      </c>
      <c r="N204" s="34">
        <v>1</v>
      </c>
      <c r="O204" s="34">
        <v>1</v>
      </c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10">
        <f t="shared" si="11"/>
        <v>8</v>
      </c>
      <c r="AM204" s="11">
        <v>32000</v>
      </c>
      <c r="AN204" s="12">
        <f t="shared" si="12"/>
        <v>256000</v>
      </c>
    </row>
    <row r="205" spans="1:40" ht="13.5" customHeight="1">
      <c r="A205" s="45" t="s">
        <v>62</v>
      </c>
      <c r="B205" s="32">
        <v>22</v>
      </c>
      <c r="C205" s="33" t="s">
        <v>45</v>
      </c>
      <c r="D205" s="33" t="s">
        <v>383</v>
      </c>
      <c r="E205" s="33" t="s">
        <v>28</v>
      </c>
      <c r="F205" s="32" t="s">
        <v>430</v>
      </c>
      <c r="G205" s="46"/>
      <c r="H205" s="34">
        <v>1</v>
      </c>
      <c r="I205" s="34">
        <v>1</v>
      </c>
      <c r="J205" s="34">
        <v>1</v>
      </c>
      <c r="K205" s="34">
        <v>1</v>
      </c>
      <c r="L205" s="34">
        <v>1</v>
      </c>
      <c r="M205" s="34">
        <v>1</v>
      </c>
      <c r="N205" s="34">
        <v>1</v>
      </c>
      <c r="O205" s="34">
        <v>1</v>
      </c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10">
        <f t="shared" si="11"/>
        <v>8</v>
      </c>
      <c r="AM205" s="11">
        <v>32000</v>
      </c>
      <c r="AN205" s="12">
        <f t="shared" si="12"/>
        <v>256000</v>
      </c>
    </row>
    <row r="206" spans="1:40" ht="13.5" customHeight="1">
      <c r="A206" s="45" t="s">
        <v>62</v>
      </c>
      <c r="B206" s="32">
        <v>23</v>
      </c>
      <c r="C206" s="33" t="s">
        <v>867</v>
      </c>
      <c r="D206" s="33" t="s">
        <v>146</v>
      </c>
      <c r="E206" s="33" t="s">
        <v>155</v>
      </c>
      <c r="F206" s="32" t="s">
        <v>870</v>
      </c>
      <c r="G206" s="46"/>
      <c r="H206" s="34">
        <v>1</v>
      </c>
      <c r="I206" s="34">
        <v>1</v>
      </c>
      <c r="J206" s="34">
        <v>1</v>
      </c>
      <c r="K206" s="34">
        <v>1</v>
      </c>
      <c r="L206" s="34">
        <v>1</v>
      </c>
      <c r="M206" s="34">
        <v>1</v>
      </c>
      <c r="N206" s="34">
        <v>1</v>
      </c>
      <c r="O206" s="34">
        <v>1</v>
      </c>
      <c r="P206" s="34">
        <v>1</v>
      </c>
      <c r="Q206" s="34">
        <v>1</v>
      </c>
      <c r="R206" s="34">
        <v>1</v>
      </c>
      <c r="S206" s="34">
        <v>1</v>
      </c>
      <c r="T206" s="34">
        <v>1</v>
      </c>
      <c r="U206" s="34">
        <v>1</v>
      </c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10">
        <f t="shared" ref="AL206:AL237" si="13">SUM(G206:AK206)</f>
        <v>14</v>
      </c>
      <c r="AM206" s="11">
        <v>32000</v>
      </c>
      <c r="AN206" s="12">
        <f t="shared" ref="AN206:AN237" si="14">AM206*AL206</f>
        <v>448000</v>
      </c>
    </row>
    <row r="207" spans="1:40" ht="13.5" customHeight="1">
      <c r="A207" s="45" t="s">
        <v>62</v>
      </c>
      <c r="B207" s="32">
        <v>23</v>
      </c>
      <c r="C207" s="33" t="s">
        <v>867</v>
      </c>
      <c r="D207" s="33" t="s">
        <v>146</v>
      </c>
      <c r="E207" s="33" t="s">
        <v>825</v>
      </c>
      <c r="F207" s="32" t="s">
        <v>872</v>
      </c>
      <c r="G207" s="46"/>
      <c r="H207" s="34">
        <v>1</v>
      </c>
      <c r="I207" s="34">
        <v>1</v>
      </c>
      <c r="J207" s="34">
        <v>1</v>
      </c>
      <c r="K207" s="34">
        <v>1</v>
      </c>
      <c r="L207" s="34">
        <v>1</v>
      </c>
      <c r="M207" s="34">
        <v>1</v>
      </c>
      <c r="N207" s="34">
        <v>1</v>
      </c>
      <c r="O207" s="34">
        <v>1</v>
      </c>
      <c r="P207" s="34">
        <v>1</v>
      </c>
      <c r="Q207" s="34">
        <v>1</v>
      </c>
      <c r="R207" s="34">
        <v>1</v>
      </c>
      <c r="S207" s="34">
        <v>1</v>
      </c>
      <c r="T207" s="34">
        <v>1</v>
      </c>
      <c r="U207" s="34">
        <v>1</v>
      </c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10">
        <f t="shared" si="13"/>
        <v>14</v>
      </c>
      <c r="AM207" s="11">
        <v>32000</v>
      </c>
      <c r="AN207" s="12">
        <f t="shared" si="14"/>
        <v>448000</v>
      </c>
    </row>
    <row r="208" spans="1:40" ht="13.5" customHeight="1">
      <c r="A208" s="45" t="s">
        <v>62</v>
      </c>
      <c r="B208" s="32">
        <v>24</v>
      </c>
      <c r="C208" s="33" t="s">
        <v>424</v>
      </c>
      <c r="D208" s="33" t="s">
        <v>13</v>
      </c>
      <c r="E208" s="33" t="s">
        <v>425</v>
      </c>
      <c r="F208" s="32" t="s">
        <v>433</v>
      </c>
      <c r="G208" s="46"/>
      <c r="H208" s="34">
        <v>1</v>
      </c>
      <c r="I208" s="34">
        <v>1</v>
      </c>
      <c r="J208" s="34">
        <v>1</v>
      </c>
      <c r="K208" s="34">
        <v>1</v>
      </c>
      <c r="L208" s="34">
        <v>1</v>
      </c>
      <c r="M208" s="34">
        <v>1</v>
      </c>
      <c r="N208" s="34">
        <v>1</v>
      </c>
      <c r="O208" s="34">
        <v>1</v>
      </c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10">
        <f t="shared" si="13"/>
        <v>8</v>
      </c>
      <c r="AM208" s="11">
        <v>32000</v>
      </c>
      <c r="AN208" s="12">
        <f t="shared" si="14"/>
        <v>256000</v>
      </c>
    </row>
    <row r="209" spans="1:40" ht="13.5" customHeight="1">
      <c r="A209" s="45" t="s">
        <v>62</v>
      </c>
      <c r="B209" s="32">
        <v>24</v>
      </c>
      <c r="C209" s="33" t="s">
        <v>424</v>
      </c>
      <c r="D209" s="33" t="s">
        <v>426</v>
      </c>
      <c r="E209" s="33" t="s">
        <v>188</v>
      </c>
      <c r="F209" s="32" t="s">
        <v>432</v>
      </c>
      <c r="G209" s="46"/>
      <c r="H209" s="34">
        <v>1</v>
      </c>
      <c r="I209" s="34">
        <v>1</v>
      </c>
      <c r="J209" s="34">
        <v>1</v>
      </c>
      <c r="K209" s="34">
        <v>1</v>
      </c>
      <c r="L209" s="34">
        <v>1</v>
      </c>
      <c r="M209" s="34">
        <v>1</v>
      </c>
      <c r="N209" s="34">
        <v>1</v>
      </c>
      <c r="O209" s="34">
        <v>1</v>
      </c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10">
        <f t="shared" si="13"/>
        <v>8</v>
      </c>
      <c r="AM209" s="11">
        <v>32000</v>
      </c>
      <c r="AN209" s="12">
        <f t="shared" si="14"/>
        <v>256000</v>
      </c>
    </row>
    <row r="210" spans="1:40" ht="13.5" customHeight="1">
      <c r="A210" s="45" t="s">
        <v>62</v>
      </c>
      <c r="B210" s="32">
        <v>24</v>
      </c>
      <c r="C210" s="33" t="s">
        <v>899</v>
      </c>
      <c r="D210" s="33" t="s">
        <v>16</v>
      </c>
      <c r="E210" s="33" t="s">
        <v>143</v>
      </c>
      <c r="F210" s="32" t="s">
        <v>900</v>
      </c>
      <c r="G210" s="46"/>
      <c r="H210" s="46"/>
      <c r="I210" s="46"/>
      <c r="J210" s="46"/>
      <c r="K210" s="46"/>
      <c r="L210" s="46"/>
      <c r="M210" s="46"/>
      <c r="N210" s="46"/>
      <c r="O210" s="46"/>
      <c r="P210" s="34">
        <v>1</v>
      </c>
      <c r="Q210" s="34">
        <v>1</v>
      </c>
      <c r="R210" s="34">
        <v>1</v>
      </c>
      <c r="S210" s="34">
        <v>1</v>
      </c>
      <c r="T210" s="34">
        <v>1</v>
      </c>
      <c r="U210" s="34">
        <v>1</v>
      </c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10">
        <f t="shared" si="13"/>
        <v>6</v>
      </c>
      <c r="AM210" s="11">
        <v>32000</v>
      </c>
      <c r="AN210" s="12">
        <f t="shared" si="14"/>
        <v>192000</v>
      </c>
    </row>
    <row r="211" spans="1:40" ht="13.5" customHeight="1">
      <c r="A211" s="45" t="s">
        <v>62</v>
      </c>
      <c r="B211" s="32">
        <v>25</v>
      </c>
      <c r="C211" s="33" t="s">
        <v>173</v>
      </c>
      <c r="D211" s="33" t="s">
        <v>622</v>
      </c>
      <c r="E211" s="33" t="s">
        <v>46</v>
      </c>
      <c r="F211" s="32" t="s">
        <v>623</v>
      </c>
      <c r="G211" s="46"/>
      <c r="H211" s="34">
        <v>1</v>
      </c>
      <c r="I211" s="34">
        <v>1</v>
      </c>
      <c r="J211" s="34">
        <v>1</v>
      </c>
      <c r="K211" s="34">
        <v>1</v>
      </c>
      <c r="L211" s="34">
        <v>1</v>
      </c>
      <c r="M211" s="34">
        <v>1</v>
      </c>
      <c r="N211" s="34">
        <v>1</v>
      </c>
      <c r="O211" s="34">
        <v>1</v>
      </c>
      <c r="P211" s="34">
        <v>1</v>
      </c>
      <c r="Q211" s="34">
        <v>1</v>
      </c>
      <c r="R211" s="34">
        <v>1</v>
      </c>
      <c r="S211" s="34">
        <v>1</v>
      </c>
      <c r="T211" s="34">
        <v>1</v>
      </c>
      <c r="U211" s="34">
        <v>1</v>
      </c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10">
        <f t="shared" si="13"/>
        <v>14</v>
      </c>
      <c r="AM211" s="11">
        <v>32000</v>
      </c>
      <c r="AN211" s="12">
        <f t="shared" si="14"/>
        <v>448000</v>
      </c>
    </row>
    <row r="212" spans="1:40" ht="13.5" customHeight="1">
      <c r="A212" s="45" t="s">
        <v>62</v>
      </c>
      <c r="B212" s="32">
        <v>25</v>
      </c>
      <c r="C212" s="33" t="s">
        <v>687</v>
      </c>
      <c r="D212" s="33" t="s">
        <v>868</v>
      </c>
      <c r="E212" s="33" t="s">
        <v>43</v>
      </c>
      <c r="F212" s="32" t="s">
        <v>869</v>
      </c>
      <c r="G212" s="46"/>
      <c r="H212" s="34">
        <v>1</v>
      </c>
      <c r="I212" s="34">
        <v>1</v>
      </c>
      <c r="J212" s="34">
        <v>1</v>
      </c>
      <c r="K212" s="34">
        <v>1</v>
      </c>
      <c r="L212" s="34">
        <v>1</v>
      </c>
      <c r="M212" s="34">
        <v>1</v>
      </c>
      <c r="N212" s="34">
        <v>1</v>
      </c>
      <c r="O212" s="34">
        <v>1</v>
      </c>
      <c r="P212" s="34">
        <v>1</v>
      </c>
      <c r="Q212" s="34">
        <v>1</v>
      </c>
      <c r="R212" s="34">
        <v>1</v>
      </c>
      <c r="S212" s="34">
        <v>1</v>
      </c>
      <c r="T212" s="34">
        <v>1</v>
      </c>
      <c r="U212" s="34">
        <v>1</v>
      </c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10">
        <f t="shared" si="13"/>
        <v>14</v>
      </c>
      <c r="AM212" s="11">
        <v>32000</v>
      </c>
      <c r="AN212" s="12">
        <f t="shared" si="14"/>
        <v>448000</v>
      </c>
    </row>
    <row r="213" spans="1:40" ht="13.5" customHeight="1">
      <c r="A213" s="45" t="s">
        <v>62</v>
      </c>
      <c r="B213" s="32">
        <v>29</v>
      </c>
      <c r="C213" s="33" t="s">
        <v>624</v>
      </c>
      <c r="D213" s="33" t="s">
        <v>171</v>
      </c>
      <c r="E213" s="33" t="s">
        <v>625</v>
      </c>
      <c r="F213" s="32" t="s">
        <v>626</v>
      </c>
      <c r="G213" s="46"/>
      <c r="H213" s="34">
        <v>1</v>
      </c>
      <c r="I213" s="34">
        <v>1</v>
      </c>
      <c r="J213" s="34">
        <v>1</v>
      </c>
      <c r="K213" s="34">
        <v>1</v>
      </c>
      <c r="L213" s="34">
        <v>1</v>
      </c>
      <c r="M213" s="34">
        <v>1</v>
      </c>
      <c r="N213" s="34">
        <v>1</v>
      </c>
      <c r="O213" s="34">
        <v>1</v>
      </c>
      <c r="P213" s="34">
        <v>1</v>
      </c>
      <c r="Q213" s="34">
        <v>1</v>
      </c>
      <c r="R213" s="34">
        <v>1</v>
      </c>
      <c r="S213" s="34">
        <v>1</v>
      </c>
      <c r="T213" s="34">
        <v>1</v>
      </c>
      <c r="U213" s="34">
        <v>1</v>
      </c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10">
        <f t="shared" si="13"/>
        <v>14</v>
      </c>
      <c r="AM213" s="11">
        <v>32000</v>
      </c>
      <c r="AN213" s="12">
        <f t="shared" si="14"/>
        <v>448000</v>
      </c>
    </row>
    <row r="214" spans="1:40" ht="13.5" customHeight="1">
      <c r="A214" s="45" t="s">
        <v>62</v>
      </c>
      <c r="B214" s="32">
        <v>29</v>
      </c>
      <c r="C214" s="33" t="s">
        <v>84</v>
      </c>
      <c r="D214" s="33" t="s">
        <v>172</v>
      </c>
      <c r="E214" s="33" t="s">
        <v>627</v>
      </c>
      <c r="F214" s="32" t="s">
        <v>628</v>
      </c>
      <c r="G214" s="46"/>
      <c r="H214" s="34">
        <v>1</v>
      </c>
      <c r="I214" s="34">
        <v>1</v>
      </c>
      <c r="J214" s="34">
        <v>1</v>
      </c>
      <c r="K214" s="34">
        <v>1</v>
      </c>
      <c r="L214" s="34">
        <v>1</v>
      </c>
      <c r="M214" s="34">
        <v>1</v>
      </c>
      <c r="N214" s="34">
        <v>1</v>
      </c>
      <c r="O214" s="34">
        <v>1</v>
      </c>
      <c r="P214" s="34">
        <v>1</v>
      </c>
      <c r="Q214" s="34">
        <v>1</v>
      </c>
      <c r="R214" s="34">
        <v>1</v>
      </c>
      <c r="S214" s="34">
        <v>1</v>
      </c>
      <c r="T214" s="34">
        <v>1</v>
      </c>
      <c r="U214" s="34">
        <v>1</v>
      </c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10">
        <f t="shared" si="13"/>
        <v>14</v>
      </c>
      <c r="AM214" s="11">
        <v>32000</v>
      </c>
      <c r="AN214" s="12">
        <f t="shared" si="14"/>
        <v>448000</v>
      </c>
    </row>
    <row r="215" spans="1:40" ht="13.5" customHeight="1">
      <c r="A215" s="45" t="s">
        <v>62</v>
      </c>
      <c r="B215" s="32">
        <v>30</v>
      </c>
      <c r="C215" s="33" t="s">
        <v>170</v>
      </c>
      <c r="D215" s="33" t="s">
        <v>363</v>
      </c>
      <c r="E215" s="33" t="s">
        <v>625</v>
      </c>
      <c r="F215" s="32" t="s">
        <v>629</v>
      </c>
      <c r="G215" s="46"/>
      <c r="H215" s="34">
        <v>1</v>
      </c>
      <c r="I215" s="34">
        <v>1</v>
      </c>
      <c r="J215" s="34">
        <v>1</v>
      </c>
      <c r="K215" s="34">
        <v>1</v>
      </c>
      <c r="L215" s="34">
        <v>1</v>
      </c>
      <c r="M215" s="34">
        <v>1</v>
      </c>
      <c r="N215" s="34">
        <v>1</v>
      </c>
      <c r="O215" s="34">
        <v>1</v>
      </c>
      <c r="P215" s="34">
        <v>1</v>
      </c>
      <c r="Q215" s="34">
        <v>1</v>
      </c>
      <c r="R215" s="34">
        <v>1</v>
      </c>
      <c r="S215" s="34">
        <v>1</v>
      </c>
      <c r="T215" s="34">
        <v>1</v>
      </c>
      <c r="U215" s="34">
        <v>1</v>
      </c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10">
        <f t="shared" si="13"/>
        <v>14</v>
      </c>
      <c r="AM215" s="11">
        <v>32000</v>
      </c>
      <c r="AN215" s="12">
        <f t="shared" si="14"/>
        <v>448000</v>
      </c>
    </row>
    <row r="216" spans="1:40" ht="13.5" customHeight="1">
      <c r="A216" s="45" t="s">
        <v>62</v>
      </c>
      <c r="B216" s="32">
        <v>30</v>
      </c>
      <c r="C216" s="33" t="s">
        <v>591</v>
      </c>
      <c r="D216" s="33" t="s">
        <v>630</v>
      </c>
      <c r="E216" s="33" t="s">
        <v>11</v>
      </c>
      <c r="F216" s="32" t="s">
        <v>631</v>
      </c>
      <c r="G216" s="46"/>
      <c r="H216" s="34">
        <v>1</v>
      </c>
      <c r="I216" s="34">
        <v>1</v>
      </c>
      <c r="J216" s="34">
        <v>1</v>
      </c>
      <c r="K216" s="34">
        <v>1</v>
      </c>
      <c r="L216" s="34">
        <v>1</v>
      </c>
      <c r="M216" s="34">
        <v>1</v>
      </c>
      <c r="N216" s="34">
        <v>1</v>
      </c>
      <c r="O216" s="34">
        <v>1</v>
      </c>
      <c r="P216" s="34">
        <v>1</v>
      </c>
      <c r="Q216" s="34">
        <v>1</v>
      </c>
      <c r="R216" s="34">
        <v>1</v>
      </c>
      <c r="S216" s="34">
        <v>1</v>
      </c>
      <c r="T216" s="34">
        <v>1</v>
      </c>
      <c r="U216" s="34">
        <v>1</v>
      </c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10">
        <f t="shared" si="13"/>
        <v>14</v>
      </c>
      <c r="AM216" s="11">
        <v>32000</v>
      </c>
      <c r="AN216" s="12">
        <f t="shared" si="14"/>
        <v>448000</v>
      </c>
    </row>
    <row r="217" spans="1:40" ht="13.5" customHeight="1">
      <c r="A217" s="45" t="s">
        <v>62</v>
      </c>
      <c r="B217" s="32">
        <v>31</v>
      </c>
      <c r="C217" s="33" t="s">
        <v>632</v>
      </c>
      <c r="D217" s="33" t="s">
        <v>159</v>
      </c>
      <c r="E217" s="33" t="s">
        <v>144</v>
      </c>
      <c r="F217" s="32" t="s">
        <v>633</v>
      </c>
      <c r="G217" s="46"/>
      <c r="H217" s="34">
        <v>1</v>
      </c>
      <c r="I217" s="34">
        <v>1</v>
      </c>
      <c r="J217" s="34">
        <v>1</v>
      </c>
      <c r="K217" s="34">
        <v>1</v>
      </c>
      <c r="L217" s="34">
        <v>1</v>
      </c>
      <c r="M217" s="34">
        <v>1</v>
      </c>
      <c r="N217" s="34">
        <v>1</v>
      </c>
      <c r="O217" s="34">
        <v>1</v>
      </c>
      <c r="P217" s="34">
        <v>1</v>
      </c>
      <c r="Q217" s="34">
        <v>1</v>
      </c>
      <c r="R217" s="34">
        <v>1</v>
      </c>
      <c r="S217" s="34">
        <v>1</v>
      </c>
      <c r="T217" s="34">
        <v>1</v>
      </c>
      <c r="U217" s="34">
        <v>1</v>
      </c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10">
        <f t="shared" si="13"/>
        <v>14</v>
      </c>
      <c r="AM217" s="11">
        <v>32000</v>
      </c>
      <c r="AN217" s="12">
        <f t="shared" si="14"/>
        <v>448000</v>
      </c>
    </row>
    <row r="218" spans="1:40" ht="13.5" customHeight="1">
      <c r="A218" s="45" t="s">
        <v>62</v>
      </c>
      <c r="B218" s="32">
        <v>31</v>
      </c>
      <c r="C218" s="33" t="s">
        <v>634</v>
      </c>
      <c r="D218" s="33" t="s">
        <v>635</v>
      </c>
      <c r="E218" s="33" t="s">
        <v>636</v>
      </c>
      <c r="F218" s="32" t="s">
        <v>637</v>
      </c>
      <c r="G218" s="46"/>
      <c r="H218" s="34">
        <v>1</v>
      </c>
      <c r="I218" s="34">
        <v>1</v>
      </c>
      <c r="J218" s="34">
        <v>1</v>
      </c>
      <c r="K218" s="34">
        <v>1</v>
      </c>
      <c r="L218" s="34">
        <v>1</v>
      </c>
      <c r="M218" s="34">
        <v>1</v>
      </c>
      <c r="N218" s="34">
        <v>1</v>
      </c>
      <c r="O218" s="34">
        <v>1</v>
      </c>
      <c r="P218" s="34">
        <v>1</v>
      </c>
      <c r="Q218" s="34">
        <v>1</v>
      </c>
      <c r="R218" s="34">
        <v>1</v>
      </c>
      <c r="S218" s="34">
        <v>1</v>
      </c>
      <c r="T218" s="34">
        <v>1</v>
      </c>
      <c r="U218" s="34">
        <v>1</v>
      </c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10">
        <f t="shared" si="13"/>
        <v>14</v>
      </c>
      <c r="AM218" s="11">
        <v>32000</v>
      </c>
      <c r="AN218" s="12">
        <f t="shared" si="14"/>
        <v>448000</v>
      </c>
    </row>
    <row r="219" spans="1:40" ht="13.5" customHeight="1">
      <c r="A219" s="45" t="s">
        <v>62</v>
      </c>
      <c r="B219" s="32">
        <v>33</v>
      </c>
      <c r="C219" s="33" t="s">
        <v>439</v>
      </c>
      <c r="D219" s="33" t="s">
        <v>139</v>
      </c>
      <c r="E219" s="33" t="s">
        <v>143</v>
      </c>
      <c r="F219" s="32" t="s">
        <v>638</v>
      </c>
      <c r="G219" s="46"/>
      <c r="H219" s="34">
        <v>1</v>
      </c>
      <c r="I219" s="34">
        <v>1</v>
      </c>
      <c r="J219" s="34">
        <v>1</v>
      </c>
      <c r="K219" s="34">
        <v>1</v>
      </c>
      <c r="L219" s="34">
        <v>1</v>
      </c>
      <c r="M219" s="34">
        <v>1</v>
      </c>
      <c r="N219" s="34">
        <v>1</v>
      </c>
      <c r="O219" s="34">
        <v>1</v>
      </c>
      <c r="P219" s="34">
        <v>1</v>
      </c>
      <c r="Q219" s="34">
        <v>1</v>
      </c>
      <c r="R219" s="34">
        <v>1</v>
      </c>
      <c r="S219" s="34">
        <v>1</v>
      </c>
      <c r="T219" s="34">
        <v>1</v>
      </c>
      <c r="U219" s="34">
        <v>1</v>
      </c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10">
        <f t="shared" si="13"/>
        <v>14</v>
      </c>
      <c r="AM219" s="11">
        <v>32000</v>
      </c>
      <c r="AN219" s="12">
        <f t="shared" si="14"/>
        <v>448000</v>
      </c>
    </row>
    <row r="220" spans="1:40" ht="13.5" customHeight="1">
      <c r="A220" s="45" t="s">
        <v>62</v>
      </c>
      <c r="B220" s="32">
        <v>33</v>
      </c>
      <c r="C220" s="33" t="s">
        <v>639</v>
      </c>
      <c r="D220" s="33" t="s">
        <v>391</v>
      </c>
      <c r="E220" s="33" t="s">
        <v>188</v>
      </c>
      <c r="F220" s="32" t="s">
        <v>640</v>
      </c>
      <c r="G220" s="46"/>
      <c r="H220" s="34">
        <v>1</v>
      </c>
      <c r="I220" s="34">
        <v>1</v>
      </c>
      <c r="J220" s="34">
        <v>1</v>
      </c>
      <c r="K220" s="34">
        <v>1</v>
      </c>
      <c r="L220" s="34">
        <v>1</v>
      </c>
      <c r="M220" s="34">
        <v>1</v>
      </c>
      <c r="N220" s="34">
        <v>1</v>
      </c>
      <c r="O220" s="34">
        <v>1</v>
      </c>
      <c r="P220" s="34">
        <v>1</v>
      </c>
      <c r="Q220" s="34">
        <v>1</v>
      </c>
      <c r="R220" s="34">
        <v>1</v>
      </c>
      <c r="S220" s="34">
        <v>1</v>
      </c>
      <c r="T220" s="34">
        <v>1</v>
      </c>
      <c r="U220" s="34">
        <v>1</v>
      </c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10">
        <f t="shared" si="13"/>
        <v>14</v>
      </c>
      <c r="AM220" s="11">
        <v>32000</v>
      </c>
      <c r="AN220" s="12">
        <f t="shared" si="14"/>
        <v>448000</v>
      </c>
    </row>
    <row r="221" spans="1:40" ht="13.5" customHeight="1">
      <c r="A221" s="45" t="s">
        <v>62</v>
      </c>
      <c r="B221" s="32">
        <v>34</v>
      </c>
      <c r="C221" s="33" t="s">
        <v>10</v>
      </c>
      <c r="D221" s="33" t="s">
        <v>439</v>
      </c>
      <c r="E221" s="33" t="s">
        <v>641</v>
      </c>
      <c r="F221" s="32" t="s">
        <v>642</v>
      </c>
      <c r="G221" s="46"/>
      <c r="H221" s="34">
        <v>1</v>
      </c>
      <c r="I221" s="34">
        <v>1</v>
      </c>
      <c r="J221" s="34">
        <v>1</v>
      </c>
      <c r="K221" s="34">
        <v>1</v>
      </c>
      <c r="L221" s="34">
        <v>1</v>
      </c>
      <c r="M221" s="34">
        <v>1</v>
      </c>
      <c r="N221" s="34">
        <v>1</v>
      </c>
      <c r="O221" s="34">
        <v>1</v>
      </c>
      <c r="P221" s="34">
        <v>1</v>
      </c>
      <c r="Q221" s="34">
        <v>1</v>
      </c>
      <c r="R221" s="34">
        <v>1</v>
      </c>
      <c r="S221" s="34">
        <v>1</v>
      </c>
      <c r="T221" s="34">
        <v>1</v>
      </c>
      <c r="U221" s="34">
        <v>1</v>
      </c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10">
        <f t="shared" si="13"/>
        <v>14</v>
      </c>
      <c r="AM221" s="11">
        <v>32000</v>
      </c>
      <c r="AN221" s="12">
        <f t="shared" si="14"/>
        <v>448000</v>
      </c>
    </row>
    <row r="222" spans="1:40" ht="13.5" customHeight="1">
      <c r="A222" s="45" t="s">
        <v>62</v>
      </c>
      <c r="B222" s="32">
        <v>34</v>
      </c>
      <c r="C222" s="33" t="s">
        <v>312</v>
      </c>
      <c r="D222" s="33" t="s">
        <v>643</v>
      </c>
      <c r="E222" s="33" t="s">
        <v>644</v>
      </c>
      <c r="F222" s="32" t="s">
        <v>645</v>
      </c>
      <c r="G222" s="46"/>
      <c r="H222" s="34">
        <v>1</v>
      </c>
      <c r="I222" s="34">
        <v>1</v>
      </c>
      <c r="J222" s="34">
        <v>1</v>
      </c>
      <c r="K222" s="34">
        <v>1</v>
      </c>
      <c r="L222" s="34">
        <v>1</v>
      </c>
      <c r="M222" s="34">
        <v>1</v>
      </c>
      <c r="N222" s="34">
        <v>1</v>
      </c>
      <c r="O222" s="34">
        <v>1</v>
      </c>
      <c r="P222" s="34">
        <v>1</v>
      </c>
      <c r="Q222" s="34">
        <v>1</v>
      </c>
      <c r="R222" s="34">
        <v>1</v>
      </c>
      <c r="S222" s="34">
        <v>1</v>
      </c>
      <c r="T222" s="34">
        <v>1</v>
      </c>
      <c r="U222" s="34">
        <v>1</v>
      </c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10">
        <f t="shared" si="13"/>
        <v>14</v>
      </c>
      <c r="AM222" s="11">
        <v>32000</v>
      </c>
      <c r="AN222" s="12">
        <f t="shared" si="14"/>
        <v>448000</v>
      </c>
    </row>
    <row r="223" spans="1:40" ht="13.5" customHeight="1">
      <c r="A223" s="45" t="s">
        <v>62</v>
      </c>
      <c r="B223" s="32">
        <v>36</v>
      </c>
      <c r="C223" s="33" t="s">
        <v>646</v>
      </c>
      <c r="D223" s="33" t="s">
        <v>19</v>
      </c>
      <c r="E223" s="33" t="s">
        <v>21</v>
      </c>
      <c r="F223" s="32" t="s">
        <v>647</v>
      </c>
      <c r="G223" s="46"/>
      <c r="H223" s="34">
        <v>1</v>
      </c>
      <c r="I223" s="34">
        <v>1</v>
      </c>
      <c r="J223" s="34">
        <v>1</v>
      </c>
      <c r="K223" s="34">
        <v>1</v>
      </c>
      <c r="L223" s="34">
        <v>1</v>
      </c>
      <c r="M223" s="34">
        <v>1</v>
      </c>
      <c r="N223" s="34">
        <v>1</v>
      </c>
      <c r="O223" s="34">
        <v>1</v>
      </c>
      <c r="P223" s="34">
        <v>1</v>
      </c>
      <c r="Q223" s="34">
        <v>1</v>
      </c>
      <c r="R223" s="34">
        <v>1</v>
      </c>
      <c r="S223" s="34">
        <v>1</v>
      </c>
      <c r="T223" s="34">
        <v>1</v>
      </c>
      <c r="U223" s="34">
        <v>1</v>
      </c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10">
        <f t="shared" si="13"/>
        <v>14</v>
      </c>
      <c r="AM223" s="11">
        <v>32000</v>
      </c>
      <c r="AN223" s="12">
        <f t="shared" si="14"/>
        <v>448000</v>
      </c>
    </row>
    <row r="224" spans="1:40" ht="13.5" customHeight="1">
      <c r="A224" s="45" t="s">
        <v>62</v>
      </c>
      <c r="B224" s="32">
        <v>36</v>
      </c>
      <c r="C224" s="33" t="s">
        <v>249</v>
      </c>
      <c r="D224" s="33" t="s">
        <v>47</v>
      </c>
      <c r="E224" s="33" t="s">
        <v>37</v>
      </c>
      <c r="F224" s="32" t="s">
        <v>648</v>
      </c>
      <c r="G224" s="46"/>
      <c r="H224" s="34">
        <v>1</v>
      </c>
      <c r="I224" s="34">
        <v>1</v>
      </c>
      <c r="J224" s="34">
        <v>1</v>
      </c>
      <c r="K224" s="34">
        <v>1</v>
      </c>
      <c r="L224" s="34">
        <v>1</v>
      </c>
      <c r="M224" s="34">
        <v>1</v>
      </c>
      <c r="N224" s="34">
        <v>1</v>
      </c>
      <c r="O224" s="34">
        <v>1</v>
      </c>
      <c r="P224" s="34">
        <v>1</v>
      </c>
      <c r="Q224" s="34">
        <v>1</v>
      </c>
      <c r="R224" s="34">
        <v>1</v>
      </c>
      <c r="S224" s="34">
        <v>1</v>
      </c>
      <c r="T224" s="34">
        <v>1</v>
      </c>
      <c r="U224" s="34">
        <v>1</v>
      </c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10">
        <f t="shared" si="13"/>
        <v>14</v>
      </c>
      <c r="AM224" s="11">
        <v>32000</v>
      </c>
      <c r="AN224" s="12">
        <f t="shared" si="14"/>
        <v>448000</v>
      </c>
    </row>
    <row r="225" spans="1:40" ht="13.5" customHeight="1">
      <c r="A225" s="45" t="s">
        <v>62</v>
      </c>
      <c r="B225" s="32">
        <v>37</v>
      </c>
      <c r="C225" s="33" t="s">
        <v>649</v>
      </c>
      <c r="D225" s="33" t="s">
        <v>650</v>
      </c>
      <c r="E225" s="33" t="s">
        <v>37</v>
      </c>
      <c r="F225" s="32" t="s">
        <v>651</v>
      </c>
      <c r="G225" s="46"/>
      <c r="H225" s="34">
        <v>1</v>
      </c>
      <c r="I225" s="34">
        <v>1</v>
      </c>
      <c r="J225" s="34">
        <v>1</v>
      </c>
      <c r="K225" s="34">
        <v>1</v>
      </c>
      <c r="L225" s="34">
        <v>1</v>
      </c>
      <c r="M225" s="34">
        <v>1</v>
      </c>
      <c r="N225" s="34">
        <v>1</v>
      </c>
      <c r="O225" s="34">
        <v>1</v>
      </c>
      <c r="P225" s="34">
        <v>1</v>
      </c>
      <c r="Q225" s="34">
        <v>1</v>
      </c>
      <c r="R225" s="34">
        <v>1</v>
      </c>
      <c r="S225" s="34">
        <v>1</v>
      </c>
      <c r="T225" s="34">
        <v>1</v>
      </c>
      <c r="U225" s="34">
        <v>1</v>
      </c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10">
        <f t="shared" si="13"/>
        <v>14</v>
      </c>
      <c r="AM225" s="11">
        <v>32000</v>
      </c>
      <c r="AN225" s="12">
        <f t="shared" si="14"/>
        <v>448000</v>
      </c>
    </row>
    <row r="226" spans="1:40" ht="13.5" customHeight="1">
      <c r="A226" s="45" t="s">
        <v>62</v>
      </c>
      <c r="B226" s="32">
        <v>37</v>
      </c>
      <c r="C226" s="33" t="s">
        <v>146</v>
      </c>
      <c r="D226" s="33" t="s">
        <v>650</v>
      </c>
      <c r="E226" s="33" t="s">
        <v>652</v>
      </c>
      <c r="F226" s="32" t="s">
        <v>653</v>
      </c>
      <c r="G226" s="46"/>
      <c r="H226" s="34">
        <v>1</v>
      </c>
      <c r="I226" s="34">
        <v>1</v>
      </c>
      <c r="J226" s="34">
        <v>1</v>
      </c>
      <c r="K226" s="34">
        <v>1</v>
      </c>
      <c r="L226" s="34">
        <v>1</v>
      </c>
      <c r="M226" s="34">
        <v>1</v>
      </c>
      <c r="N226" s="34">
        <v>1</v>
      </c>
      <c r="O226" s="34">
        <v>1</v>
      </c>
      <c r="P226" s="34">
        <v>1</v>
      </c>
      <c r="Q226" s="34">
        <v>1</v>
      </c>
      <c r="R226" s="34">
        <v>1</v>
      </c>
      <c r="S226" s="34">
        <v>1</v>
      </c>
      <c r="T226" s="34">
        <v>1</v>
      </c>
      <c r="U226" s="34">
        <v>1</v>
      </c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10">
        <f t="shared" si="13"/>
        <v>14</v>
      </c>
      <c r="AM226" s="11">
        <v>32000</v>
      </c>
      <c r="AN226" s="12">
        <f t="shared" si="14"/>
        <v>448000</v>
      </c>
    </row>
    <row r="227" spans="1:40" ht="13.5" customHeight="1">
      <c r="A227" s="45" t="s">
        <v>62</v>
      </c>
      <c r="B227" s="32">
        <v>38</v>
      </c>
      <c r="C227" s="33" t="s">
        <v>650</v>
      </c>
      <c r="D227" s="33" t="s">
        <v>145</v>
      </c>
      <c r="E227" s="33" t="s">
        <v>654</v>
      </c>
      <c r="F227" s="32" t="s">
        <v>655</v>
      </c>
      <c r="G227" s="46"/>
      <c r="H227" s="34">
        <v>1</v>
      </c>
      <c r="I227" s="34">
        <v>1</v>
      </c>
      <c r="J227" s="34">
        <v>1</v>
      </c>
      <c r="K227" s="34">
        <v>1</v>
      </c>
      <c r="L227" s="34">
        <v>1</v>
      </c>
      <c r="M227" s="34">
        <v>1</v>
      </c>
      <c r="N227" s="34">
        <v>1</v>
      </c>
      <c r="O227" s="34">
        <v>1</v>
      </c>
      <c r="P227" s="34">
        <v>1</v>
      </c>
      <c r="Q227" s="34">
        <v>1</v>
      </c>
      <c r="R227" s="34">
        <v>1</v>
      </c>
      <c r="S227" s="34">
        <v>1</v>
      </c>
      <c r="T227" s="34">
        <v>1</v>
      </c>
      <c r="U227" s="34">
        <v>1</v>
      </c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10">
        <f t="shared" si="13"/>
        <v>14</v>
      </c>
      <c r="AM227" s="11">
        <v>32000</v>
      </c>
      <c r="AN227" s="12">
        <f t="shared" si="14"/>
        <v>448000</v>
      </c>
    </row>
    <row r="228" spans="1:40" ht="13.5" customHeight="1">
      <c r="A228" s="45" t="s">
        <v>62</v>
      </c>
      <c r="B228" s="32">
        <v>38</v>
      </c>
      <c r="C228" s="33" t="s">
        <v>650</v>
      </c>
      <c r="D228" s="33" t="s">
        <v>656</v>
      </c>
      <c r="E228" s="33" t="s">
        <v>657</v>
      </c>
      <c r="F228" s="32" t="s">
        <v>658</v>
      </c>
      <c r="G228" s="46"/>
      <c r="H228" s="34">
        <v>1</v>
      </c>
      <c r="I228" s="34">
        <v>1</v>
      </c>
      <c r="J228" s="34">
        <v>1</v>
      </c>
      <c r="K228" s="34">
        <v>1</v>
      </c>
      <c r="L228" s="34">
        <v>1</v>
      </c>
      <c r="M228" s="34">
        <v>1</v>
      </c>
      <c r="N228" s="34">
        <v>1</v>
      </c>
      <c r="O228" s="34">
        <v>1</v>
      </c>
      <c r="P228" s="34">
        <v>1</v>
      </c>
      <c r="Q228" s="34">
        <v>1</v>
      </c>
      <c r="R228" s="34">
        <v>1</v>
      </c>
      <c r="S228" s="34">
        <v>1</v>
      </c>
      <c r="T228" s="34">
        <v>1</v>
      </c>
      <c r="U228" s="34">
        <v>1</v>
      </c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10">
        <f t="shared" si="13"/>
        <v>14</v>
      </c>
      <c r="AM228" s="11">
        <v>32000</v>
      </c>
      <c r="AN228" s="12">
        <f t="shared" si="14"/>
        <v>448000</v>
      </c>
    </row>
    <row r="229" spans="1:40" ht="13.5" customHeight="1">
      <c r="A229" s="45" t="s">
        <v>62</v>
      </c>
      <c r="B229" s="32">
        <v>39</v>
      </c>
      <c r="C229" s="33" t="s">
        <v>56</v>
      </c>
      <c r="D229" s="33" t="s">
        <v>873</v>
      </c>
      <c r="E229" s="33" t="s">
        <v>24</v>
      </c>
      <c r="F229" s="32" t="s">
        <v>874</v>
      </c>
      <c r="G229" s="46"/>
      <c r="H229" s="34">
        <v>1</v>
      </c>
      <c r="I229" s="34">
        <v>1</v>
      </c>
      <c r="J229" s="34">
        <v>1</v>
      </c>
      <c r="K229" s="34">
        <v>1</v>
      </c>
      <c r="L229" s="34">
        <v>1</v>
      </c>
      <c r="M229" s="34">
        <v>1</v>
      </c>
      <c r="N229" s="34">
        <v>1</v>
      </c>
      <c r="O229" s="34">
        <v>1</v>
      </c>
      <c r="P229" s="34">
        <v>1</v>
      </c>
      <c r="Q229" s="34">
        <v>1</v>
      </c>
      <c r="R229" s="34">
        <v>1</v>
      </c>
      <c r="S229" s="34">
        <v>1</v>
      </c>
      <c r="T229" s="34">
        <v>1</v>
      </c>
      <c r="U229" s="34">
        <v>1</v>
      </c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10">
        <f t="shared" si="13"/>
        <v>14</v>
      </c>
      <c r="AM229" s="11">
        <v>32000</v>
      </c>
      <c r="AN229" s="12">
        <f t="shared" si="14"/>
        <v>448000</v>
      </c>
    </row>
    <row r="230" spans="1:40" ht="13.5" customHeight="1">
      <c r="A230" s="45" t="s">
        <v>62</v>
      </c>
      <c r="B230" s="32">
        <v>40</v>
      </c>
      <c r="C230" s="33" t="s">
        <v>650</v>
      </c>
      <c r="D230" s="33" t="s">
        <v>145</v>
      </c>
      <c r="E230" s="33" t="s">
        <v>9</v>
      </c>
      <c r="F230" s="32" t="s">
        <v>659</v>
      </c>
      <c r="G230" s="46"/>
      <c r="H230" s="34">
        <v>1</v>
      </c>
      <c r="I230" s="34">
        <v>1</v>
      </c>
      <c r="J230" s="34">
        <v>1</v>
      </c>
      <c r="K230" s="34">
        <v>1</v>
      </c>
      <c r="L230" s="34">
        <v>1</v>
      </c>
      <c r="M230" s="34">
        <v>1</v>
      </c>
      <c r="N230" s="34">
        <v>1</v>
      </c>
      <c r="O230" s="34">
        <v>1</v>
      </c>
      <c r="P230" s="34">
        <v>1</v>
      </c>
      <c r="Q230" s="34">
        <v>1</v>
      </c>
      <c r="R230" s="34">
        <v>1</v>
      </c>
      <c r="S230" s="34">
        <v>1</v>
      </c>
      <c r="T230" s="34">
        <v>1</v>
      </c>
      <c r="U230" s="34">
        <v>1</v>
      </c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10">
        <f t="shared" si="13"/>
        <v>14</v>
      </c>
      <c r="AM230" s="11">
        <v>32000</v>
      </c>
      <c r="AN230" s="12">
        <f t="shared" si="14"/>
        <v>448000</v>
      </c>
    </row>
    <row r="231" spans="1:40" ht="13.5" customHeight="1">
      <c r="A231" s="45" t="s">
        <v>62</v>
      </c>
      <c r="B231" s="32">
        <v>40</v>
      </c>
      <c r="C231" s="33" t="s">
        <v>227</v>
      </c>
      <c r="D231" s="33" t="s">
        <v>660</v>
      </c>
      <c r="E231" s="33" t="s">
        <v>11</v>
      </c>
      <c r="F231" s="32" t="s">
        <v>661</v>
      </c>
      <c r="G231" s="46"/>
      <c r="H231" s="34">
        <v>1</v>
      </c>
      <c r="I231" s="34">
        <v>1</v>
      </c>
      <c r="J231" s="34">
        <v>1</v>
      </c>
      <c r="K231" s="34">
        <v>1</v>
      </c>
      <c r="L231" s="34">
        <v>1</v>
      </c>
      <c r="M231" s="34">
        <v>1</v>
      </c>
      <c r="N231" s="34">
        <v>1</v>
      </c>
      <c r="O231" s="34">
        <v>1</v>
      </c>
      <c r="P231" s="34">
        <v>1</v>
      </c>
      <c r="Q231" s="34">
        <v>1</v>
      </c>
      <c r="R231" s="34">
        <v>1</v>
      </c>
      <c r="S231" s="34">
        <v>1</v>
      </c>
      <c r="T231" s="34">
        <v>1</v>
      </c>
      <c r="U231" s="34">
        <v>1</v>
      </c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10">
        <f t="shared" si="13"/>
        <v>14</v>
      </c>
      <c r="AM231" s="11">
        <v>32000</v>
      </c>
      <c r="AN231" s="12">
        <f t="shared" si="14"/>
        <v>448000</v>
      </c>
    </row>
    <row r="232" spans="1:40" ht="13.5" customHeight="1">
      <c r="A232" s="45" t="s">
        <v>62</v>
      </c>
      <c r="B232" s="32">
        <v>41</v>
      </c>
      <c r="C232" s="33" t="s">
        <v>662</v>
      </c>
      <c r="D232" s="33" t="s">
        <v>151</v>
      </c>
      <c r="E232" s="33" t="s">
        <v>25</v>
      </c>
      <c r="F232" s="32" t="s">
        <v>663</v>
      </c>
      <c r="G232" s="46"/>
      <c r="H232" s="34">
        <v>1</v>
      </c>
      <c r="I232" s="34">
        <v>1</v>
      </c>
      <c r="J232" s="34">
        <v>1</v>
      </c>
      <c r="K232" s="34">
        <v>1</v>
      </c>
      <c r="L232" s="34">
        <v>1</v>
      </c>
      <c r="M232" s="34">
        <v>1</v>
      </c>
      <c r="N232" s="34">
        <v>1</v>
      </c>
      <c r="O232" s="34">
        <v>1</v>
      </c>
      <c r="P232" s="34">
        <v>1</v>
      </c>
      <c r="Q232" s="34">
        <v>1</v>
      </c>
      <c r="R232" s="34">
        <v>1</v>
      </c>
      <c r="S232" s="34">
        <v>1</v>
      </c>
      <c r="T232" s="34">
        <v>1</v>
      </c>
      <c r="U232" s="34">
        <v>1</v>
      </c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10">
        <f t="shared" si="13"/>
        <v>14</v>
      </c>
      <c r="AM232" s="11">
        <v>32000</v>
      </c>
      <c r="AN232" s="12">
        <f t="shared" si="14"/>
        <v>448000</v>
      </c>
    </row>
    <row r="233" spans="1:40" ht="13.5" customHeight="1">
      <c r="A233" s="45" t="s">
        <v>62</v>
      </c>
      <c r="B233" s="32">
        <v>41</v>
      </c>
      <c r="C233" s="33" t="s">
        <v>664</v>
      </c>
      <c r="D233" s="33" t="s">
        <v>93</v>
      </c>
      <c r="E233" s="33" t="s">
        <v>665</v>
      </c>
      <c r="F233" s="32" t="s">
        <v>666</v>
      </c>
      <c r="G233" s="46"/>
      <c r="H233" s="34">
        <v>1</v>
      </c>
      <c r="I233" s="34">
        <v>1</v>
      </c>
      <c r="J233" s="34">
        <v>1</v>
      </c>
      <c r="K233" s="34">
        <v>1</v>
      </c>
      <c r="L233" s="34">
        <v>1</v>
      </c>
      <c r="M233" s="34">
        <v>1</v>
      </c>
      <c r="N233" s="34">
        <v>1</v>
      </c>
      <c r="O233" s="34">
        <v>1</v>
      </c>
      <c r="P233" s="34">
        <v>1</v>
      </c>
      <c r="Q233" s="34">
        <v>1</v>
      </c>
      <c r="R233" s="34">
        <v>1</v>
      </c>
      <c r="S233" s="34">
        <v>1</v>
      </c>
      <c r="T233" s="34">
        <v>1</v>
      </c>
      <c r="U233" s="34">
        <v>1</v>
      </c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10">
        <f t="shared" si="13"/>
        <v>14</v>
      </c>
      <c r="AM233" s="11">
        <v>32000</v>
      </c>
      <c r="AN233" s="12">
        <f t="shared" si="14"/>
        <v>448000</v>
      </c>
    </row>
    <row r="234" spans="1:40" ht="13.5" customHeight="1">
      <c r="A234" s="45" t="s">
        <v>62</v>
      </c>
      <c r="B234" s="32">
        <v>42</v>
      </c>
      <c r="C234" s="33" t="s">
        <v>667</v>
      </c>
      <c r="D234" s="33" t="s">
        <v>668</v>
      </c>
      <c r="E234" s="33" t="s">
        <v>669</v>
      </c>
      <c r="F234" s="32" t="s">
        <v>670</v>
      </c>
      <c r="G234" s="46"/>
      <c r="H234" s="34">
        <v>1</v>
      </c>
      <c r="I234" s="34">
        <v>1</v>
      </c>
      <c r="J234" s="34">
        <v>1</v>
      </c>
      <c r="K234" s="34">
        <v>1</v>
      </c>
      <c r="L234" s="34">
        <v>1</v>
      </c>
      <c r="M234" s="34">
        <v>1</v>
      </c>
      <c r="N234" s="34">
        <v>1</v>
      </c>
      <c r="O234" s="34">
        <v>1</v>
      </c>
      <c r="P234" s="34">
        <v>1</v>
      </c>
      <c r="Q234" s="34">
        <v>1</v>
      </c>
      <c r="R234" s="34">
        <v>1</v>
      </c>
      <c r="S234" s="34">
        <v>1</v>
      </c>
      <c r="T234" s="34">
        <v>1</v>
      </c>
      <c r="U234" s="34">
        <v>1</v>
      </c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10">
        <f t="shared" si="13"/>
        <v>14</v>
      </c>
      <c r="AM234" s="11">
        <v>32000</v>
      </c>
      <c r="AN234" s="12">
        <f t="shared" si="14"/>
        <v>448000</v>
      </c>
    </row>
    <row r="235" spans="1:40" ht="13.5" customHeight="1">
      <c r="A235" s="45" t="s">
        <v>62</v>
      </c>
      <c r="B235" s="32">
        <v>42</v>
      </c>
      <c r="C235" s="33" t="s">
        <v>671</v>
      </c>
      <c r="D235" s="33" t="s">
        <v>672</v>
      </c>
      <c r="E235" s="33" t="s">
        <v>11</v>
      </c>
      <c r="F235" s="32" t="s">
        <v>673</v>
      </c>
      <c r="G235" s="46"/>
      <c r="H235" s="34">
        <v>1</v>
      </c>
      <c r="I235" s="34">
        <v>1</v>
      </c>
      <c r="J235" s="34">
        <v>1</v>
      </c>
      <c r="K235" s="34">
        <v>1</v>
      </c>
      <c r="L235" s="34">
        <v>1</v>
      </c>
      <c r="M235" s="34">
        <v>1</v>
      </c>
      <c r="N235" s="34">
        <v>1</v>
      </c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10">
        <f t="shared" si="13"/>
        <v>7</v>
      </c>
      <c r="AM235" s="11">
        <v>32000</v>
      </c>
      <c r="AN235" s="12">
        <f t="shared" si="14"/>
        <v>224000</v>
      </c>
    </row>
    <row r="236" spans="1:40" ht="13.5" customHeight="1">
      <c r="A236" s="45" t="s">
        <v>62</v>
      </c>
      <c r="B236" s="32">
        <v>42</v>
      </c>
      <c r="C236" s="33" t="s">
        <v>892</v>
      </c>
      <c r="D236" s="33" t="s">
        <v>893</v>
      </c>
      <c r="E236" s="33" t="s">
        <v>169</v>
      </c>
      <c r="F236" s="32" t="s">
        <v>903</v>
      </c>
      <c r="G236" s="46"/>
      <c r="H236" s="46"/>
      <c r="I236" s="46"/>
      <c r="J236" s="46"/>
      <c r="K236" s="46"/>
      <c r="L236" s="46"/>
      <c r="M236" s="46"/>
      <c r="N236" s="46"/>
      <c r="O236" s="34">
        <v>1</v>
      </c>
      <c r="P236" s="34">
        <v>1</v>
      </c>
      <c r="Q236" s="34">
        <v>1</v>
      </c>
      <c r="R236" s="34">
        <v>1</v>
      </c>
      <c r="S236" s="34">
        <v>1</v>
      </c>
      <c r="T236" s="34">
        <v>1</v>
      </c>
      <c r="U236" s="34">
        <v>1</v>
      </c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10">
        <f t="shared" si="13"/>
        <v>7</v>
      </c>
      <c r="AM236" s="11">
        <v>32000</v>
      </c>
      <c r="AN236" s="12">
        <f t="shared" si="14"/>
        <v>224000</v>
      </c>
    </row>
    <row r="237" spans="1:40" ht="13.5" customHeight="1">
      <c r="A237" s="45" t="s">
        <v>62</v>
      </c>
      <c r="B237" s="32">
        <v>43</v>
      </c>
      <c r="C237" s="33" t="s">
        <v>674</v>
      </c>
      <c r="D237" s="33" t="s">
        <v>223</v>
      </c>
      <c r="E237" s="33" t="s">
        <v>188</v>
      </c>
      <c r="F237" s="32" t="s">
        <v>675</v>
      </c>
      <c r="G237" s="46"/>
      <c r="H237" s="34">
        <v>1</v>
      </c>
      <c r="I237" s="34">
        <v>1</v>
      </c>
      <c r="J237" s="34">
        <v>1</v>
      </c>
      <c r="K237" s="34">
        <v>1</v>
      </c>
      <c r="L237" s="34">
        <v>1</v>
      </c>
      <c r="M237" s="34">
        <v>1</v>
      </c>
      <c r="N237" s="34">
        <v>1</v>
      </c>
      <c r="O237" s="34">
        <v>1</v>
      </c>
      <c r="P237" s="34">
        <v>1</v>
      </c>
      <c r="Q237" s="34">
        <v>1</v>
      </c>
      <c r="R237" s="34">
        <v>1</v>
      </c>
      <c r="S237" s="34">
        <v>1</v>
      </c>
      <c r="T237" s="34">
        <v>1</v>
      </c>
      <c r="U237" s="34">
        <v>1</v>
      </c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10">
        <f t="shared" si="13"/>
        <v>14</v>
      </c>
      <c r="AM237" s="11">
        <v>32000</v>
      </c>
      <c r="AN237" s="12">
        <f t="shared" si="14"/>
        <v>448000</v>
      </c>
    </row>
    <row r="238" spans="1:40" ht="13.5" customHeight="1">
      <c r="A238" s="45" t="s">
        <v>62</v>
      </c>
      <c r="B238" s="32">
        <v>43</v>
      </c>
      <c r="C238" s="33" t="s">
        <v>224</v>
      </c>
      <c r="D238" s="33" t="s">
        <v>91</v>
      </c>
      <c r="E238" s="33" t="s">
        <v>46</v>
      </c>
      <c r="F238" s="32" t="s">
        <v>676</v>
      </c>
      <c r="G238" s="46"/>
      <c r="H238" s="34">
        <v>1</v>
      </c>
      <c r="I238" s="34">
        <v>1</v>
      </c>
      <c r="J238" s="34">
        <v>1</v>
      </c>
      <c r="K238" s="34">
        <v>1</v>
      </c>
      <c r="L238" s="34">
        <v>1</v>
      </c>
      <c r="M238" s="34">
        <v>1</v>
      </c>
      <c r="N238" s="34">
        <v>1</v>
      </c>
      <c r="O238" s="34">
        <v>1</v>
      </c>
      <c r="P238" s="34">
        <v>1</v>
      </c>
      <c r="Q238" s="34">
        <v>1</v>
      </c>
      <c r="R238" s="34">
        <v>1</v>
      </c>
      <c r="S238" s="34">
        <v>1</v>
      </c>
      <c r="T238" s="34">
        <v>1</v>
      </c>
      <c r="U238" s="34">
        <v>1</v>
      </c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10">
        <f t="shared" ref="AL238:AL269" si="15">SUM(G238:AK238)</f>
        <v>14</v>
      </c>
      <c r="AM238" s="11">
        <v>32000</v>
      </c>
      <c r="AN238" s="12">
        <f t="shared" ref="AN238:AN269" si="16">AM238*AL238</f>
        <v>448000</v>
      </c>
    </row>
    <row r="239" spans="1:40" ht="13.5" customHeight="1">
      <c r="A239" s="45" t="s">
        <v>62</v>
      </c>
      <c r="B239" s="32">
        <v>44</v>
      </c>
      <c r="C239" s="33" t="s">
        <v>10</v>
      </c>
      <c r="D239" s="33" t="s">
        <v>650</v>
      </c>
      <c r="E239" s="33" t="s">
        <v>37</v>
      </c>
      <c r="F239" s="32" t="s">
        <v>677</v>
      </c>
      <c r="G239" s="46"/>
      <c r="H239" s="34">
        <v>1</v>
      </c>
      <c r="I239" s="34">
        <v>1</v>
      </c>
      <c r="J239" s="34">
        <v>1</v>
      </c>
      <c r="K239" s="34">
        <v>1</v>
      </c>
      <c r="L239" s="34">
        <v>1</v>
      </c>
      <c r="M239" s="34">
        <v>1</v>
      </c>
      <c r="N239" s="34">
        <v>1</v>
      </c>
      <c r="O239" s="34">
        <v>1</v>
      </c>
      <c r="P239" s="34">
        <v>1</v>
      </c>
      <c r="Q239" s="34">
        <v>1</v>
      </c>
      <c r="R239" s="34">
        <v>1</v>
      </c>
      <c r="S239" s="34">
        <v>1</v>
      </c>
      <c r="T239" s="34">
        <v>1</v>
      </c>
      <c r="U239" s="34">
        <v>1</v>
      </c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10">
        <f t="shared" si="15"/>
        <v>14</v>
      </c>
      <c r="AM239" s="11">
        <v>32000</v>
      </c>
      <c r="AN239" s="12">
        <f t="shared" si="16"/>
        <v>448000</v>
      </c>
    </row>
    <row r="240" spans="1:40" ht="13.5" customHeight="1">
      <c r="A240" s="45" t="s">
        <v>62</v>
      </c>
      <c r="B240" s="32">
        <v>44</v>
      </c>
      <c r="C240" s="33" t="s">
        <v>273</v>
      </c>
      <c r="D240" s="33" t="s">
        <v>678</v>
      </c>
      <c r="E240" s="33" t="s">
        <v>652</v>
      </c>
      <c r="F240" s="32" t="s">
        <v>679</v>
      </c>
      <c r="G240" s="46"/>
      <c r="H240" s="34">
        <v>1</v>
      </c>
      <c r="I240" s="34">
        <v>1</v>
      </c>
      <c r="J240" s="34">
        <v>1</v>
      </c>
      <c r="K240" s="34">
        <v>1</v>
      </c>
      <c r="L240" s="34">
        <v>1</v>
      </c>
      <c r="M240" s="34">
        <v>1</v>
      </c>
      <c r="N240" s="34">
        <v>1</v>
      </c>
      <c r="O240" s="34">
        <v>1</v>
      </c>
      <c r="P240" s="34">
        <v>1</v>
      </c>
      <c r="Q240" s="34">
        <v>1</v>
      </c>
      <c r="R240" s="34">
        <v>1</v>
      </c>
      <c r="S240" s="34">
        <v>1</v>
      </c>
      <c r="T240" s="34">
        <v>1</v>
      </c>
      <c r="U240" s="34">
        <v>1</v>
      </c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10">
        <f t="shared" si="15"/>
        <v>14</v>
      </c>
      <c r="AM240" s="11">
        <v>32000</v>
      </c>
      <c r="AN240" s="12">
        <f t="shared" si="16"/>
        <v>448000</v>
      </c>
    </row>
    <row r="241" spans="1:40" ht="13.5" customHeight="1">
      <c r="A241" s="45" t="s">
        <v>62</v>
      </c>
      <c r="B241" s="32">
        <v>45</v>
      </c>
      <c r="C241" s="33" t="s">
        <v>319</v>
      </c>
      <c r="D241" s="33" t="s">
        <v>439</v>
      </c>
      <c r="E241" s="33" t="s">
        <v>680</v>
      </c>
      <c r="F241" s="32" t="s">
        <v>681</v>
      </c>
      <c r="G241" s="46"/>
      <c r="H241" s="34">
        <v>1</v>
      </c>
      <c r="I241" s="34">
        <v>1</v>
      </c>
      <c r="J241" s="34">
        <v>1</v>
      </c>
      <c r="K241" s="34">
        <v>1</v>
      </c>
      <c r="L241" s="34">
        <v>1</v>
      </c>
      <c r="M241" s="34">
        <v>1</v>
      </c>
      <c r="N241" s="34">
        <v>1</v>
      </c>
      <c r="O241" s="34">
        <v>1</v>
      </c>
      <c r="P241" s="34">
        <v>1</v>
      </c>
      <c r="Q241" s="34">
        <v>1</v>
      </c>
      <c r="R241" s="34">
        <v>1</v>
      </c>
      <c r="S241" s="34">
        <v>1</v>
      </c>
      <c r="T241" s="34">
        <v>1</v>
      </c>
      <c r="U241" s="34">
        <v>1</v>
      </c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10">
        <f t="shared" si="15"/>
        <v>14</v>
      </c>
      <c r="AM241" s="11">
        <v>32000</v>
      </c>
      <c r="AN241" s="12">
        <f t="shared" si="16"/>
        <v>448000</v>
      </c>
    </row>
    <row r="242" spans="1:40" ht="13.5" customHeight="1">
      <c r="A242" s="45" t="s">
        <v>62</v>
      </c>
      <c r="B242" s="32">
        <v>45</v>
      </c>
      <c r="C242" s="33" t="s">
        <v>682</v>
      </c>
      <c r="D242" s="33" t="s">
        <v>683</v>
      </c>
      <c r="E242" s="33" t="s">
        <v>684</v>
      </c>
      <c r="F242" s="32" t="s">
        <v>685</v>
      </c>
      <c r="G242" s="46"/>
      <c r="H242" s="34">
        <v>1</v>
      </c>
      <c r="I242" s="34">
        <v>1</v>
      </c>
      <c r="J242" s="34">
        <v>1</v>
      </c>
      <c r="K242" s="34">
        <v>1</v>
      </c>
      <c r="L242" s="34">
        <v>1</v>
      </c>
      <c r="M242" s="34">
        <v>1</v>
      </c>
      <c r="N242" s="34">
        <v>1</v>
      </c>
      <c r="O242" s="34">
        <v>1</v>
      </c>
      <c r="P242" s="34">
        <v>1</v>
      </c>
      <c r="Q242" s="34">
        <v>1</v>
      </c>
      <c r="R242" s="34">
        <v>1</v>
      </c>
      <c r="S242" s="34">
        <v>1</v>
      </c>
      <c r="T242" s="34">
        <v>1</v>
      </c>
      <c r="U242" s="34">
        <v>1</v>
      </c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10">
        <f t="shared" si="15"/>
        <v>14</v>
      </c>
      <c r="AM242" s="11">
        <v>32000</v>
      </c>
      <c r="AN242" s="12">
        <f t="shared" si="16"/>
        <v>448000</v>
      </c>
    </row>
    <row r="243" spans="1:40" ht="13.5" customHeight="1">
      <c r="A243" s="45" t="s">
        <v>62</v>
      </c>
      <c r="B243" s="32">
        <v>48</v>
      </c>
      <c r="C243" s="33" t="s">
        <v>26</v>
      </c>
      <c r="D243" s="33" t="s">
        <v>213</v>
      </c>
      <c r="E243" s="33" t="s">
        <v>11</v>
      </c>
      <c r="F243" s="32" t="s">
        <v>686</v>
      </c>
      <c r="G243" s="46"/>
      <c r="H243" s="34">
        <v>1</v>
      </c>
      <c r="I243" s="34">
        <v>1</v>
      </c>
      <c r="J243" s="34">
        <v>1</v>
      </c>
      <c r="K243" s="34">
        <v>1</v>
      </c>
      <c r="L243" s="34">
        <v>1</v>
      </c>
      <c r="M243" s="34">
        <v>1</v>
      </c>
      <c r="N243" s="34">
        <v>1</v>
      </c>
      <c r="O243" s="34">
        <v>1</v>
      </c>
      <c r="P243" s="34">
        <v>1</v>
      </c>
      <c r="Q243" s="34">
        <v>1</v>
      </c>
      <c r="R243" s="34">
        <v>1</v>
      </c>
      <c r="S243" s="34">
        <v>1</v>
      </c>
      <c r="T243" s="34">
        <v>1</v>
      </c>
      <c r="U243" s="34">
        <v>1</v>
      </c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10">
        <f t="shared" si="15"/>
        <v>14</v>
      </c>
      <c r="AM243" s="11">
        <v>32000</v>
      </c>
      <c r="AN243" s="12">
        <f t="shared" si="16"/>
        <v>448000</v>
      </c>
    </row>
    <row r="244" spans="1:40" ht="13.5" customHeight="1">
      <c r="A244" s="45" t="s">
        <v>62</v>
      </c>
      <c r="B244" s="32">
        <v>48</v>
      </c>
      <c r="C244" s="33" t="s">
        <v>512</v>
      </c>
      <c r="D244" s="33" t="s">
        <v>687</v>
      </c>
      <c r="E244" s="33" t="s">
        <v>11</v>
      </c>
      <c r="F244" s="32" t="s">
        <v>688</v>
      </c>
      <c r="G244" s="46"/>
      <c r="H244" s="34">
        <v>1</v>
      </c>
      <c r="I244" s="34">
        <v>1</v>
      </c>
      <c r="J244" s="34">
        <v>1</v>
      </c>
      <c r="K244" s="34">
        <v>1</v>
      </c>
      <c r="L244" s="34">
        <v>1</v>
      </c>
      <c r="M244" s="34">
        <v>1</v>
      </c>
      <c r="N244" s="34">
        <v>1</v>
      </c>
      <c r="O244" s="34">
        <v>1</v>
      </c>
      <c r="P244" s="34">
        <v>1</v>
      </c>
      <c r="Q244" s="34">
        <v>1</v>
      </c>
      <c r="R244" s="34">
        <v>1</v>
      </c>
      <c r="S244" s="34">
        <v>1</v>
      </c>
      <c r="T244" s="34">
        <v>1</v>
      </c>
      <c r="U244" s="34">
        <v>1</v>
      </c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10">
        <f t="shared" si="15"/>
        <v>14</v>
      </c>
      <c r="AM244" s="11">
        <v>32000</v>
      </c>
      <c r="AN244" s="12">
        <f t="shared" si="16"/>
        <v>448000</v>
      </c>
    </row>
    <row r="245" spans="1:40" ht="13.5" customHeight="1">
      <c r="A245" s="45" t="s">
        <v>62</v>
      </c>
      <c r="B245" s="32">
        <v>49</v>
      </c>
      <c r="C245" s="33" t="s">
        <v>687</v>
      </c>
      <c r="D245" s="33" t="s">
        <v>88</v>
      </c>
      <c r="E245" s="33" t="s">
        <v>135</v>
      </c>
      <c r="F245" s="32" t="s">
        <v>689</v>
      </c>
      <c r="G245" s="46"/>
      <c r="H245" s="34">
        <v>1</v>
      </c>
      <c r="I245" s="34">
        <v>1</v>
      </c>
      <c r="J245" s="34">
        <v>1</v>
      </c>
      <c r="K245" s="34">
        <v>1</v>
      </c>
      <c r="L245" s="34">
        <v>1</v>
      </c>
      <c r="M245" s="34">
        <v>1</v>
      </c>
      <c r="N245" s="34">
        <v>1</v>
      </c>
      <c r="O245" s="34">
        <v>1</v>
      </c>
      <c r="P245" s="34">
        <v>1</v>
      </c>
      <c r="Q245" s="34">
        <v>1</v>
      </c>
      <c r="R245" s="34">
        <v>1</v>
      </c>
      <c r="S245" s="34">
        <v>1</v>
      </c>
      <c r="T245" s="34">
        <v>1</v>
      </c>
      <c r="U245" s="34">
        <v>1</v>
      </c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10">
        <f t="shared" si="15"/>
        <v>14</v>
      </c>
      <c r="AM245" s="11">
        <v>32000</v>
      </c>
      <c r="AN245" s="12">
        <f t="shared" si="16"/>
        <v>448000</v>
      </c>
    </row>
    <row r="246" spans="1:40" ht="13.5" customHeight="1">
      <c r="A246" s="45" t="s">
        <v>62</v>
      </c>
      <c r="B246" s="32">
        <v>49</v>
      </c>
      <c r="C246" s="33" t="s">
        <v>591</v>
      </c>
      <c r="D246" s="33" t="s">
        <v>690</v>
      </c>
      <c r="E246" s="33" t="s">
        <v>610</v>
      </c>
      <c r="F246" s="32" t="s">
        <v>691</v>
      </c>
      <c r="G246" s="46"/>
      <c r="H246" s="34">
        <v>1</v>
      </c>
      <c r="I246" s="34">
        <v>1</v>
      </c>
      <c r="J246" s="34">
        <v>1</v>
      </c>
      <c r="K246" s="34">
        <v>1</v>
      </c>
      <c r="L246" s="34">
        <v>1</v>
      </c>
      <c r="M246" s="34">
        <v>1</v>
      </c>
      <c r="N246" s="34">
        <v>1</v>
      </c>
      <c r="O246" s="34">
        <v>1</v>
      </c>
      <c r="P246" s="34">
        <v>1</v>
      </c>
      <c r="Q246" s="34">
        <v>1</v>
      </c>
      <c r="R246" s="34">
        <v>1</v>
      </c>
      <c r="S246" s="34">
        <v>1</v>
      </c>
      <c r="T246" s="34">
        <v>1</v>
      </c>
      <c r="U246" s="34">
        <v>1</v>
      </c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10">
        <f t="shared" si="15"/>
        <v>14</v>
      </c>
      <c r="AM246" s="11">
        <v>32000</v>
      </c>
      <c r="AN246" s="12">
        <f t="shared" si="16"/>
        <v>448000</v>
      </c>
    </row>
    <row r="247" spans="1:40" ht="13.5" customHeight="1">
      <c r="A247" s="45" t="s">
        <v>62</v>
      </c>
      <c r="B247" s="32">
        <v>51</v>
      </c>
      <c r="C247" s="33" t="s">
        <v>692</v>
      </c>
      <c r="D247" s="33" t="s">
        <v>268</v>
      </c>
      <c r="E247" s="33" t="s">
        <v>138</v>
      </c>
      <c r="F247" s="32" t="s">
        <v>693</v>
      </c>
      <c r="G247" s="46"/>
      <c r="H247" s="34">
        <v>1</v>
      </c>
      <c r="I247" s="34">
        <v>1</v>
      </c>
      <c r="J247" s="34">
        <v>1</v>
      </c>
      <c r="K247" s="34">
        <v>1</v>
      </c>
      <c r="L247" s="34">
        <v>1</v>
      </c>
      <c r="M247" s="34">
        <v>1</v>
      </c>
      <c r="N247" s="34">
        <v>1</v>
      </c>
      <c r="O247" s="34">
        <v>1</v>
      </c>
      <c r="P247" s="34">
        <v>1</v>
      </c>
      <c r="Q247" s="34">
        <v>1</v>
      </c>
      <c r="R247" s="34">
        <v>1</v>
      </c>
      <c r="S247" s="34">
        <v>1</v>
      </c>
      <c r="T247" s="34">
        <v>1</v>
      </c>
      <c r="U247" s="34">
        <v>1</v>
      </c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10">
        <f t="shared" si="15"/>
        <v>14</v>
      </c>
      <c r="AM247" s="11">
        <v>32000</v>
      </c>
      <c r="AN247" s="12">
        <f t="shared" si="16"/>
        <v>448000</v>
      </c>
    </row>
    <row r="248" spans="1:40" ht="13.5" customHeight="1">
      <c r="A248" s="45" t="s">
        <v>62</v>
      </c>
      <c r="B248" s="32">
        <v>51</v>
      </c>
      <c r="C248" s="33" t="s">
        <v>277</v>
      </c>
      <c r="D248" s="33" t="s">
        <v>694</v>
      </c>
      <c r="E248" s="33" t="s">
        <v>280</v>
      </c>
      <c r="F248" s="32" t="s">
        <v>695</v>
      </c>
      <c r="G248" s="46"/>
      <c r="H248" s="34">
        <v>1</v>
      </c>
      <c r="I248" s="34">
        <v>1</v>
      </c>
      <c r="J248" s="34">
        <v>1</v>
      </c>
      <c r="K248" s="34">
        <v>1</v>
      </c>
      <c r="L248" s="34">
        <v>1</v>
      </c>
      <c r="M248" s="34">
        <v>1</v>
      </c>
      <c r="N248" s="34">
        <v>1</v>
      </c>
      <c r="O248" s="34">
        <v>1</v>
      </c>
      <c r="P248" s="34">
        <v>1</v>
      </c>
      <c r="Q248" s="34">
        <v>1</v>
      </c>
      <c r="R248" s="34">
        <v>1</v>
      </c>
      <c r="S248" s="34">
        <v>1</v>
      </c>
      <c r="T248" s="34">
        <v>1</v>
      </c>
      <c r="U248" s="34">
        <v>1</v>
      </c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10">
        <f t="shared" si="15"/>
        <v>14</v>
      </c>
      <c r="AM248" s="11">
        <v>32000</v>
      </c>
      <c r="AN248" s="12">
        <f t="shared" si="16"/>
        <v>448000</v>
      </c>
    </row>
    <row r="249" spans="1:40" ht="13.5" customHeight="1">
      <c r="A249" s="45" t="s">
        <v>62</v>
      </c>
      <c r="B249" s="32">
        <v>52</v>
      </c>
      <c r="C249" s="33" t="s">
        <v>687</v>
      </c>
      <c r="D249" s="33" t="s">
        <v>696</v>
      </c>
      <c r="E249" s="33" t="s">
        <v>42</v>
      </c>
      <c r="F249" s="32" t="s">
        <v>697</v>
      </c>
      <c r="G249" s="46"/>
      <c r="H249" s="34">
        <v>1</v>
      </c>
      <c r="I249" s="34">
        <v>1</v>
      </c>
      <c r="J249" s="34">
        <v>1</v>
      </c>
      <c r="K249" s="34">
        <v>1</v>
      </c>
      <c r="L249" s="34">
        <v>1</v>
      </c>
      <c r="M249" s="34">
        <v>1</v>
      </c>
      <c r="N249" s="34">
        <v>1</v>
      </c>
      <c r="O249" s="34">
        <v>1</v>
      </c>
      <c r="P249" s="34">
        <v>1</v>
      </c>
      <c r="Q249" s="34">
        <v>1</v>
      </c>
      <c r="R249" s="34">
        <v>1</v>
      </c>
      <c r="S249" s="34">
        <v>1</v>
      </c>
      <c r="T249" s="34">
        <v>1</v>
      </c>
      <c r="U249" s="34">
        <v>1</v>
      </c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10">
        <f t="shared" si="15"/>
        <v>14</v>
      </c>
      <c r="AM249" s="11">
        <v>32000</v>
      </c>
      <c r="AN249" s="12">
        <f t="shared" si="16"/>
        <v>448000</v>
      </c>
    </row>
    <row r="250" spans="1:40" ht="13.5" customHeight="1">
      <c r="A250" s="45" t="s">
        <v>62</v>
      </c>
      <c r="B250" s="32">
        <v>52</v>
      </c>
      <c r="C250" s="33" t="s">
        <v>161</v>
      </c>
      <c r="D250" s="33" t="s">
        <v>159</v>
      </c>
      <c r="E250" s="33" t="s">
        <v>21</v>
      </c>
      <c r="F250" s="32" t="s">
        <v>698</v>
      </c>
      <c r="G250" s="46"/>
      <c r="H250" s="34">
        <v>1</v>
      </c>
      <c r="I250" s="34">
        <v>1</v>
      </c>
      <c r="J250" s="34">
        <v>1</v>
      </c>
      <c r="K250" s="34">
        <v>1</v>
      </c>
      <c r="L250" s="34">
        <v>1</v>
      </c>
      <c r="M250" s="34">
        <v>1</v>
      </c>
      <c r="N250" s="34">
        <v>1</v>
      </c>
      <c r="O250" s="34">
        <v>1</v>
      </c>
      <c r="P250" s="34">
        <v>1</v>
      </c>
      <c r="Q250" s="34">
        <v>1</v>
      </c>
      <c r="R250" s="34">
        <v>1</v>
      </c>
      <c r="S250" s="34">
        <v>1</v>
      </c>
      <c r="T250" s="34">
        <v>1</v>
      </c>
      <c r="U250" s="34">
        <v>1</v>
      </c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10">
        <f t="shared" si="15"/>
        <v>14</v>
      </c>
      <c r="AM250" s="11">
        <v>32000</v>
      </c>
      <c r="AN250" s="12">
        <f t="shared" si="16"/>
        <v>448000</v>
      </c>
    </row>
    <row r="251" spans="1:40" ht="13.5" customHeight="1">
      <c r="A251" s="45" t="s">
        <v>62</v>
      </c>
      <c r="B251" s="32">
        <v>56</v>
      </c>
      <c r="C251" s="33" t="s">
        <v>186</v>
      </c>
      <c r="D251" s="33" t="s">
        <v>67</v>
      </c>
      <c r="E251" s="33" t="s">
        <v>437</v>
      </c>
      <c r="F251" s="32" t="s">
        <v>444</v>
      </c>
      <c r="G251" s="46"/>
      <c r="H251" s="34">
        <v>1</v>
      </c>
      <c r="I251" s="34">
        <v>1</v>
      </c>
      <c r="J251" s="34">
        <v>1</v>
      </c>
      <c r="K251" s="34">
        <v>1</v>
      </c>
      <c r="L251" s="34">
        <v>1</v>
      </c>
      <c r="M251" s="34">
        <v>1</v>
      </c>
      <c r="N251" s="34">
        <v>1</v>
      </c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10">
        <f t="shared" si="15"/>
        <v>7</v>
      </c>
      <c r="AM251" s="11">
        <v>32000</v>
      </c>
      <c r="AN251" s="12">
        <f t="shared" si="16"/>
        <v>224000</v>
      </c>
    </row>
    <row r="252" spans="1:40" ht="13.5" customHeight="1">
      <c r="A252" s="45" t="s">
        <v>62</v>
      </c>
      <c r="B252" s="32">
        <v>56</v>
      </c>
      <c r="C252" s="33" t="s">
        <v>422</v>
      </c>
      <c r="D252" s="33" t="s">
        <v>159</v>
      </c>
      <c r="E252" s="33" t="s">
        <v>140</v>
      </c>
      <c r="F252" s="32" t="s">
        <v>435</v>
      </c>
      <c r="G252" s="46"/>
      <c r="H252" s="34">
        <v>1</v>
      </c>
      <c r="I252" s="34">
        <v>1</v>
      </c>
      <c r="J252" s="34">
        <v>1</v>
      </c>
      <c r="K252" s="34">
        <v>1</v>
      </c>
      <c r="L252" s="34">
        <v>1</v>
      </c>
      <c r="M252" s="34">
        <v>1</v>
      </c>
      <c r="N252" s="34">
        <v>1</v>
      </c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10">
        <f t="shared" si="15"/>
        <v>7</v>
      </c>
      <c r="AM252" s="11">
        <v>32000</v>
      </c>
      <c r="AN252" s="12">
        <f t="shared" si="16"/>
        <v>224000</v>
      </c>
    </row>
    <row r="253" spans="1:40" ht="13.5" customHeight="1">
      <c r="A253" s="45" t="s">
        <v>62</v>
      </c>
      <c r="B253" s="32">
        <v>56</v>
      </c>
      <c r="C253" s="33" t="s">
        <v>890</v>
      </c>
      <c r="D253" s="33" t="s">
        <v>769</v>
      </c>
      <c r="E253" s="33" t="s">
        <v>21</v>
      </c>
      <c r="F253" s="32" t="s">
        <v>905</v>
      </c>
      <c r="G253" s="46"/>
      <c r="H253" s="46"/>
      <c r="I253" s="46"/>
      <c r="J253" s="46"/>
      <c r="K253" s="46"/>
      <c r="L253" s="46"/>
      <c r="M253" s="46"/>
      <c r="N253" s="46"/>
      <c r="O253" s="34">
        <v>1</v>
      </c>
      <c r="P253" s="34">
        <v>1</v>
      </c>
      <c r="Q253" s="34">
        <v>1</v>
      </c>
      <c r="R253" s="34">
        <v>1</v>
      </c>
      <c r="S253" s="34">
        <v>1</v>
      </c>
      <c r="T253" s="34">
        <v>1</v>
      </c>
      <c r="U253" s="34">
        <v>1</v>
      </c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10">
        <f t="shared" si="15"/>
        <v>7</v>
      </c>
      <c r="AM253" s="11">
        <v>32000</v>
      </c>
      <c r="AN253" s="12">
        <f t="shared" si="16"/>
        <v>224000</v>
      </c>
    </row>
    <row r="254" spans="1:40" ht="13.5" customHeight="1">
      <c r="A254" s="45" t="s">
        <v>62</v>
      </c>
      <c r="B254" s="32">
        <v>56</v>
      </c>
      <c r="C254" s="33" t="s">
        <v>894</v>
      </c>
      <c r="D254" s="33" t="s">
        <v>668</v>
      </c>
      <c r="E254" s="33" t="s">
        <v>895</v>
      </c>
      <c r="F254" s="32" t="s">
        <v>902</v>
      </c>
      <c r="G254" s="46"/>
      <c r="H254" s="46"/>
      <c r="I254" s="46"/>
      <c r="J254" s="46"/>
      <c r="K254" s="46"/>
      <c r="L254" s="46"/>
      <c r="M254" s="46"/>
      <c r="N254" s="46"/>
      <c r="O254" s="34">
        <v>1</v>
      </c>
      <c r="P254" s="34">
        <v>1</v>
      </c>
      <c r="Q254" s="34">
        <v>1</v>
      </c>
      <c r="R254" s="34">
        <v>1</v>
      </c>
      <c r="S254" s="34">
        <v>1</v>
      </c>
      <c r="T254" s="34">
        <v>1</v>
      </c>
      <c r="U254" s="34">
        <v>1</v>
      </c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10">
        <f t="shared" si="15"/>
        <v>7</v>
      </c>
      <c r="AM254" s="11">
        <v>32000</v>
      </c>
      <c r="AN254" s="12">
        <f t="shared" si="16"/>
        <v>224000</v>
      </c>
    </row>
    <row r="255" spans="1:40" ht="13.5" customHeight="1">
      <c r="A255" s="45" t="s">
        <v>62</v>
      </c>
      <c r="B255" s="32">
        <v>57</v>
      </c>
      <c r="C255" s="33" t="s">
        <v>699</v>
      </c>
      <c r="D255" s="33" t="s">
        <v>700</v>
      </c>
      <c r="E255" s="33" t="s">
        <v>436</v>
      </c>
      <c r="F255" s="32" t="s">
        <v>701</v>
      </c>
      <c r="G255" s="46"/>
      <c r="H255" s="34">
        <v>1</v>
      </c>
      <c r="I255" s="34">
        <v>1</v>
      </c>
      <c r="J255" s="34">
        <v>1</v>
      </c>
      <c r="K255" s="34">
        <v>1</v>
      </c>
      <c r="L255" s="34">
        <v>1</v>
      </c>
      <c r="M255" s="34">
        <v>1</v>
      </c>
      <c r="N255" s="34">
        <v>1</v>
      </c>
      <c r="O255" s="34">
        <v>1</v>
      </c>
      <c r="P255" s="34">
        <v>1</v>
      </c>
      <c r="Q255" s="34">
        <v>1</v>
      </c>
      <c r="R255" s="34">
        <v>1</v>
      </c>
      <c r="S255" s="34">
        <v>1</v>
      </c>
      <c r="T255" s="34">
        <v>1</v>
      </c>
      <c r="U255" s="34">
        <v>1</v>
      </c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10">
        <f t="shared" si="15"/>
        <v>14</v>
      </c>
      <c r="AM255" s="11">
        <v>32000</v>
      </c>
      <c r="AN255" s="12">
        <f t="shared" si="16"/>
        <v>448000</v>
      </c>
    </row>
    <row r="256" spans="1:40" ht="13.5" customHeight="1">
      <c r="A256" s="45" t="s">
        <v>62</v>
      </c>
      <c r="B256" s="32">
        <v>57</v>
      </c>
      <c r="C256" s="33" t="s">
        <v>702</v>
      </c>
      <c r="D256" s="33" t="s">
        <v>167</v>
      </c>
      <c r="E256" s="33" t="s">
        <v>37</v>
      </c>
      <c r="F256" s="32" t="s">
        <v>703</v>
      </c>
      <c r="G256" s="46"/>
      <c r="H256" s="34">
        <v>1</v>
      </c>
      <c r="I256" s="34">
        <v>1</v>
      </c>
      <c r="J256" s="34">
        <v>1</v>
      </c>
      <c r="K256" s="34">
        <v>1</v>
      </c>
      <c r="L256" s="34">
        <v>1</v>
      </c>
      <c r="M256" s="34">
        <v>1</v>
      </c>
      <c r="N256" s="34">
        <v>1</v>
      </c>
      <c r="O256" s="34">
        <v>1</v>
      </c>
      <c r="P256" s="34">
        <v>1</v>
      </c>
      <c r="Q256" s="34">
        <v>1</v>
      </c>
      <c r="R256" s="34">
        <v>1</v>
      </c>
      <c r="S256" s="34">
        <v>1</v>
      </c>
      <c r="T256" s="34">
        <v>1</v>
      </c>
      <c r="U256" s="34">
        <v>1</v>
      </c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10">
        <f t="shared" si="15"/>
        <v>14</v>
      </c>
      <c r="AM256" s="11">
        <v>32000</v>
      </c>
      <c r="AN256" s="12">
        <f t="shared" si="16"/>
        <v>448000</v>
      </c>
    </row>
    <row r="257" spans="1:40" ht="13.5" customHeight="1">
      <c r="A257" s="45" t="s">
        <v>62</v>
      </c>
      <c r="B257" s="32">
        <v>58</v>
      </c>
      <c r="C257" s="33" t="s">
        <v>704</v>
      </c>
      <c r="D257" s="33" t="s">
        <v>162</v>
      </c>
      <c r="E257" s="33" t="s">
        <v>24</v>
      </c>
      <c r="F257" s="32" t="s">
        <v>705</v>
      </c>
      <c r="G257" s="46"/>
      <c r="H257" s="34">
        <v>1</v>
      </c>
      <c r="I257" s="34">
        <v>1</v>
      </c>
      <c r="J257" s="34">
        <v>1</v>
      </c>
      <c r="K257" s="34">
        <v>1</v>
      </c>
      <c r="L257" s="34">
        <v>1</v>
      </c>
      <c r="M257" s="34">
        <v>1</v>
      </c>
      <c r="N257" s="34">
        <v>1</v>
      </c>
      <c r="O257" s="34">
        <v>1</v>
      </c>
      <c r="P257" s="34">
        <v>1</v>
      </c>
      <c r="Q257" s="34">
        <v>1</v>
      </c>
      <c r="R257" s="34">
        <v>1</v>
      </c>
      <c r="S257" s="34">
        <v>1</v>
      </c>
      <c r="T257" s="34">
        <v>1</v>
      </c>
      <c r="U257" s="34">
        <v>1</v>
      </c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10">
        <f t="shared" si="15"/>
        <v>14</v>
      </c>
      <c r="AM257" s="11">
        <v>32000</v>
      </c>
      <c r="AN257" s="12">
        <f t="shared" si="16"/>
        <v>448000</v>
      </c>
    </row>
    <row r="258" spans="1:40" ht="13.5" customHeight="1">
      <c r="A258" s="45" t="s">
        <v>62</v>
      </c>
      <c r="B258" s="32">
        <v>58</v>
      </c>
      <c r="C258" s="33" t="s">
        <v>696</v>
      </c>
      <c r="D258" s="33" t="s">
        <v>91</v>
      </c>
      <c r="E258" s="33" t="s">
        <v>168</v>
      </c>
      <c r="F258" s="32" t="s">
        <v>706</v>
      </c>
      <c r="G258" s="46"/>
      <c r="H258" s="34">
        <v>1</v>
      </c>
      <c r="I258" s="34">
        <v>1</v>
      </c>
      <c r="J258" s="34">
        <v>1</v>
      </c>
      <c r="K258" s="34">
        <v>1</v>
      </c>
      <c r="L258" s="34">
        <v>1</v>
      </c>
      <c r="M258" s="34">
        <v>1</v>
      </c>
      <c r="N258" s="34">
        <v>1</v>
      </c>
      <c r="O258" s="34">
        <v>1</v>
      </c>
      <c r="P258" s="34">
        <v>1</v>
      </c>
      <c r="Q258" s="34">
        <v>1</v>
      </c>
      <c r="R258" s="34">
        <v>1</v>
      </c>
      <c r="S258" s="34">
        <v>1</v>
      </c>
      <c r="T258" s="34">
        <v>1</v>
      </c>
      <c r="U258" s="34">
        <v>1</v>
      </c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10">
        <f t="shared" si="15"/>
        <v>14</v>
      </c>
      <c r="AM258" s="11">
        <v>32000</v>
      </c>
      <c r="AN258" s="12">
        <f t="shared" si="16"/>
        <v>448000</v>
      </c>
    </row>
    <row r="259" spans="1:40" ht="13.5" customHeight="1">
      <c r="A259" s="45" t="s">
        <v>62</v>
      </c>
      <c r="B259" s="32">
        <v>59</v>
      </c>
      <c r="C259" s="33" t="s">
        <v>206</v>
      </c>
      <c r="D259" s="33" t="s">
        <v>634</v>
      </c>
      <c r="E259" s="33" t="s">
        <v>707</v>
      </c>
      <c r="F259" s="32" t="s">
        <v>708</v>
      </c>
      <c r="G259" s="46"/>
      <c r="H259" s="34">
        <v>1</v>
      </c>
      <c r="I259" s="34">
        <v>1</v>
      </c>
      <c r="J259" s="34">
        <v>1</v>
      </c>
      <c r="K259" s="34">
        <v>1</v>
      </c>
      <c r="L259" s="34">
        <v>1</v>
      </c>
      <c r="M259" s="34">
        <v>1</v>
      </c>
      <c r="N259" s="34">
        <v>1</v>
      </c>
      <c r="O259" s="34">
        <v>1</v>
      </c>
      <c r="P259" s="34">
        <v>1</v>
      </c>
      <c r="Q259" s="34">
        <v>1</v>
      </c>
      <c r="R259" s="34">
        <v>1</v>
      </c>
      <c r="S259" s="34">
        <v>1</v>
      </c>
      <c r="T259" s="34">
        <v>1</v>
      </c>
      <c r="U259" s="34">
        <v>1</v>
      </c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10">
        <f t="shared" si="15"/>
        <v>14</v>
      </c>
      <c r="AM259" s="11">
        <v>32000</v>
      </c>
      <c r="AN259" s="12">
        <f t="shared" si="16"/>
        <v>448000</v>
      </c>
    </row>
    <row r="260" spans="1:40" ht="13.5" customHeight="1">
      <c r="A260" s="45" t="s">
        <v>62</v>
      </c>
      <c r="B260" s="32">
        <v>59</v>
      </c>
      <c r="C260" s="33" t="s">
        <v>312</v>
      </c>
      <c r="D260" s="33" t="s">
        <v>120</v>
      </c>
      <c r="E260" s="33" t="s">
        <v>43</v>
      </c>
      <c r="F260" s="32" t="s">
        <v>709</v>
      </c>
      <c r="G260" s="46"/>
      <c r="H260" s="34">
        <v>1</v>
      </c>
      <c r="I260" s="34">
        <v>1</v>
      </c>
      <c r="J260" s="34">
        <v>1</v>
      </c>
      <c r="K260" s="34">
        <v>1</v>
      </c>
      <c r="L260" s="34">
        <v>1</v>
      </c>
      <c r="M260" s="34">
        <v>1</v>
      </c>
      <c r="N260" s="34">
        <v>1</v>
      </c>
      <c r="O260" s="34">
        <v>1</v>
      </c>
      <c r="P260" s="34">
        <v>1</v>
      </c>
      <c r="Q260" s="34">
        <v>1</v>
      </c>
      <c r="R260" s="34">
        <v>1</v>
      </c>
      <c r="S260" s="34">
        <v>1</v>
      </c>
      <c r="T260" s="34">
        <v>1</v>
      </c>
      <c r="U260" s="34">
        <v>1</v>
      </c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10">
        <f t="shared" si="15"/>
        <v>14</v>
      </c>
      <c r="AM260" s="11">
        <v>32000</v>
      </c>
      <c r="AN260" s="12">
        <f t="shared" si="16"/>
        <v>448000</v>
      </c>
    </row>
    <row r="261" spans="1:40" ht="13.5" customHeight="1">
      <c r="A261" s="45" t="s">
        <v>62</v>
      </c>
      <c r="B261" s="32">
        <v>61</v>
      </c>
      <c r="C261" s="33" t="s">
        <v>710</v>
      </c>
      <c r="D261" s="33" t="s">
        <v>711</v>
      </c>
      <c r="E261" s="33" t="s">
        <v>669</v>
      </c>
      <c r="F261" s="32" t="s">
        <v>712</v>
      </c>
      <c r="G261" s="46"/>
      <c r="H261" s="34">
        <v>1</v>
      </c>
      <c r="I261" s="34">
        <v>1</v>
      </c>
      <c r="J261" s="34">
        <v>1</v>
      </c>
      <c r="K261" s="34">
        <v>1</v>
      </c>
      <c r="L261" s="34">
        <v>1</v>
      </c>
      <c r="M261" s="34">
        <v>1</v>
      </c>
      <c r="N261" s="34">
        <v>1</v>
      </c>
      <c r="O261" s="34">
        <v>1</v>
      </c>
      <c r="P261" s="34">
        <v>1</v>
      </c>
      <c r="Q261" s="34">
        <v>1</v>
      </c>
      <c r="R261" s="34">
        <v>1</v>
      </c>
      <c r="S261" s="34">
        <v>1</v>
      </c>
      <c r="T261" s="34">
        <v>1</v>
      </c>
      <c r="U261" s="34">
        <v>1</v>
      </c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10">
        <f t="shared" si="15"/>
        <v>14</v>
      </c>
      <c r="AM261" s="11">
        <v>32000</v>
      </c>
      <c r="AN261" s="12">
        <f t="shared" si="16"/>
        <v>448000</v>
      </c>
    </row>
    <row r="262" spans="1:40" ht="13.5" customHeight="1">
      <c r="A262" s="45" t="s">
        <v>62</v>
      </c>
      <c r="B262" s="32">
        <v>61</v>
      </c>
      <c r="C262" s="33" t="s">
        <v>13</v>
      </c>
      <c r="D262" s="33" t="s">
        <v>38</v>
      </c>
      <c r="E262" s="33" t="s">
        <v>713</v>
      </c>
      <c r="F262" s="32" t="s">
        <v>714</v>
      </c>
      <c r="G262" s="46"/>
      <c r="H262" s="34">
        <v>1</v>
      </c>
      <c r="I262" s="34">
        <v>1</v>
      </c>
      <c r="J262" s="34">
        <v>1</v>
      </c>
      <c r="K262" s="34">
        <v>1</v>
      </c>
      <c r="L262" s="34">
        <v>1</v>
      </c>
      <c r="M262" s="34">
        <v>1</v>
      </c>
      <c r="N262" s="34">
        <v>1</v>
      </c>
      <c r="O262" s="34">
        <v>1</v>
      </c>
      <c r="P262" s="34">
        <v>1</v>
      </c>
      <c r="Q262" s="34">
        <v>1</v>
      </c>
      <c r="R262" s="34">
        <v>1</v>
      </c>
      <c r="S262" s="34">
        <v>1</v>
      </c>
      <c r="T262" s="34">
        <v>1</v>
      </c>
      <c r="U262" s="34">
        <v>1</v>
      </c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10">
        <f t="shared" si="15"/>
        <v>14</v>
      </c>
      <c r="AM262" s="11">
        <v>32000</v>
      </c>
      <c r="AN262" s="12">
        <f t="shared" si="16"/>
        <v>448000</v>
      </c>
    </row>
    <row r="263" spans="1:40" ht="13.5" customHeight="1">
      <c r="A263" s="45" t="s">
        <v>62</v>
      </c>
      <c r="B263" s="32">
        <v>63</v>
      </c>
      <c r="C263" s="33" t="s">
        <v>715</v>
      </c>
      <c r="D263" s="33" t="s">
        <v>67</v>
      </c>
      <c r="E263" s="33" t="s">
        <v>716</v>
      </c>
      <c r="F263" s="32" t="s">
        <v>717</v>
      </c>
      <c r="G263" s="46"/>
      <c r="H263" s="34">
        <v>1</v>
      </c>
      <c r="I263" s="34">
        <v>1</v>
      </c>
      <c r="J263" s="34">
        <v>1</v>
      </c>
      <c r="K263" s="34">
        <v>1</v>
      </c>
      <c r="L263" s="34">
        <v>1</v>
      </c>
      <c r="M263" s="34">
        <v>1</v>
      </c>
      <c r="N263" s="34">
        <v>1</v>
      </c>
      <c r="O263" s="34">
        <v>1</v>
      </c>
      <c r="P263" s="34">
        <v>1</v>
      </c>
      <c r="Q263" s="34">
        <v>1</v>
      </c>
      <c r="R263" s="34">
        <v>1</v>
      </c>
      <c r="S263" s="34">
        <v>1</v>
      </c>
      <c r="T263" s="34">
        <v>1</v>
      </c>
      <c r="U263" s="34">
        <v>1</v>
      </c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10">
        <f t="shared" si="15"/>
        <v>14</v>
      </c>
      <c r="AM263" s="11">
        <v>32000</v>
      </c>
      <c r="AN263" s="12">
        <f t="shared" si="16"/>
        <v>448000</v>
      </c>
    </row>
    <row r="264" spans="1:40" ht="13.5" customHeight="1">
      <c r="A264" s="45" t="s">
        <v>62</v>
      </c>
      <c r="B264" s="32">
        <v>63</v>
      </c>
      <c r="C264" s="33" t="s">
        <v>718</v>
      </c>
      <c r="D264" s="33" t="s">
        <v>142</v>
      </c>
      <c r="E264" s="33" t="s">
        <v>64</v>
      </c>
      <c r="F264" s="32" t="s">
        <v>719</v>
      </c>
      <c r="G264" s="46"/>
      <c r="H264" s="34">
        <v>1</v>
      </c>
      <c r="I264" s="34">
        <v>1</v>
      </c>
      <c r="J264" s="34">
        <v>1</v>
      </c>
      <c r="K264" s="34">
        <v>1</v>
      </c>
      <c r="L264" s="34">
        <v>1</v>
      </c>
      <c r="M264" s="34">
        <v>1</v>
      </c>
      <c r="N264" s="34">
        <v>1</v>
      </c>
      <c r="O264" s="34">
        <v>1</v>
      </c>
      <c r="P264" s="34">
        <v>1</v>
      </c>
      <c r="Q264" s="34">
        <v>1</v>
      </c>
      <c r="R264" s="34">
        <v>1</v>
      </c>
      <c r="S264" s="34">
        <v>1</v>
      </c>
      <c r="T264" s="34">
        <v>1</v>
      </c>
      <c r="U264" s="34">
        <v>1</v>
      </c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10">
        <f t="shared" si="15"/>
        <v>14</v>
      </c>
      <c r="AM264" s="11">
        <v>32000</v>
      </c>
      <c r="AN264" s="12">
        <f t="shared" si="16"/>
        <v>448000</v>
      </c>
    </row>
    <row r="265" spans="1:40" ht="13.5" customHeight="1">
      <c r="A265" s="45" t="s">
        <v>62</v>
      </c>
      <c r="B265" s="32">
        <v>65</v>
      </c>
      <c r="C265" s="33" t="s">
        <v>105</v>
      </c>
      <c r="D265" s="33" t="s">
        <v>454</v>
      </c>
      <c r="E265" s="33" t="s">
        <v>384</v>
      </c>
      <c r="F265" s="32" t="s">
        <v>567</v>
      </c>
      <c r="G265" s="46"/>
      <c r="H265" s="34">
        <v>1</v>
      </c>
      <c r="I265" s="34">
        <v>1</v>
      </c>
      <c r="J265" s="34">
        <v>1</v>
      </c>
      <c r="K265" s="34">
        <v>1</v>
      </c>
      <c r="L265" s="34">
        <v>1</v>
      </c>
      <c r="M265" s="34">
        <v>1</v>
      </c>
      <c r="N265" s="34">
        <v>1</v>
      </c>
      <c r="O265" s="34">
        <v>1</v>
      </c>
      <c r="P265" s="34">
        <v>1</v>
      </c>
      <c r="Q265" s="34">
        <v>1</v>
      </c>
      <c r="R265" s="34">
        <v>1</v>
      </c>
      <c r="S265" s="34">
        <v>1</v>
      </c>
      <c r="T265" s="34">
        <v>1</v>
      </c>
      <c r="U265" s="34">
        <v>1</v>
      </c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10">
        <f t="shared" si="15"/>
        <v>14</v>
      </c>
      <c r="AM265" s="11">
        <v>32000</v>
      </c>
      <c r="AN265" s="12">
        <f t="shared" si="16"/>
        <v>448000</v>
      </c>
    </row>
    <row r="266" spans="1:40" ht="13.5" customHeight="1">
      <c r="A266" s="45" t="s">
        <v>62</v>
      </c>
      <c r="B266" s="32">
        <v>65</v>
      </c>
      <c r="C266" s="33" t="s">
        <v>568</v>
      </c>
      <c r="D266" s="33" t="s">
        <v>335</v>
      </c>
      <c r="E266" s="33" t="s">
        <v>382</v>
      </c>
      <c r="F266" s="32" t="s">
        <v>569</v>
      </c>
      <c r="G266" s="46"/>
      <c r="H266" s="34">
        <v>1</v>
      </c>
      <c r="I266" s="34">
        <v>1</v>
      </c>
      <c r="J266" s="34">
        <v>1</v>
      </c>
      <c r="K266" s="34">
        <v>1</v>
      </c>
      <c r="L266" s="34">
        <v>1</v>
      </c>
      <c r="M266" s="34">
        <v>1</v>
      </c>
      <c r="N266" s="34">
        <v>1</v>
      </c>
      <c r="O266" s="34">
        <v>1</v>
      </c>
      <c r="P266" s="34">
        <v>1</v>
      </c>
      <c r="Q266" s="34">
        <v>1</v>
      </c>
      <c r="R266" s="34">
        <v>1</v>
      </c>
      <c r="S266" s="34">
        <v>1</v>
      </c>
      <c r="T266" s="34">
        <v>1</v>
      </c>
      <c r="U266" s="34">
        <v>1</v>
      </c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10">
        <f t="shared" si="15"/>
        <v>14</v>
      </c>
      <c r="AM266" s="11">
        <v>32000</v>
      </c>
      <c r="AN266" s="12">
        <f t="shared" si="16"/>
        <v>448000</v>
      </c>
    </row>
    <row r="267" spans="1:40" ht="13.5" customHeight="1">
      <c r="A267" s="45" t="s">
        <v>62</v>
      </c>
      <c r="B267" s="32">
        <v>66</v>
      </c>
      <c r="C267" s="33" t="s">
        <v>720</v>
      </c>
      <c r="D267" s="33" t="s">
        <v>152</v>
      </c>
      <c r="E267" s="33" t="s">
        <v>28</v>
      </c>
      <c r="F267" s="32" t="s">
        <v>721</v>
      </c>
      <c r="G267" s="46"/>
      <c r="H267" s="34">
        <v>1</v>
      </c>
      <c r="I267" s="34">
        <v>1</v>
      </c>
      <c r="J267" s="34">
        <v>1</v>
      </c>
      <c r="K267" s="34">
        <v>1</v>
      </c>
      <c r="L267" s="34">
        <v>1</v>
      </c>
      <c r="M267" s="34">
        <v>1</v>
      </c>
      <c r="N267" s="34">
        <v>1</v>
      </c>
      <c r="O267" s="34">
        <v>1</v>
      </c>
      <c r="P267" s="34">
        <v>1</v>
      </c>
      <c r="Q267" s="34">
        <v>1</v>
      </c>
      <c r="R267" s="34">
        <v>1</v>
      </c>
      <c r="S267" s="34">
        <v>1</v>
      </c>
      <c r="T267" s="34">
        <v>1</v>
      </c>
      <c r="U267" s="34">
        <v>1</v>
      </c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10">
        <f t="shared" si="15"/>
        <v>14</v>
      </c>
      <c r="AM267" s="11">
        <v>32000</v>
      </c>
      <c r="AN267" s="12">
        <f t="shared" si="16"/>
        <v>448000</v>
      </c>
    </row>
    <row r="268" spans="1:40" ht="13.5" customHeight="1">
      <c r="A268" s="45" t="s">
        <v>62</v>
      </c>
      <c r="B268" s="32">
        <v>66</v>
      </c>
      <c r="C268" s="33" t="s">
        <v>26</v>
      </c>
      <c r="D268" s="33" t="s">
        <v>722</v>
      </c>
      <c r="E268" s="33" t="s">
        <v>21</v>
      </c>
      <c r="F268" s="32" t="s">
        <v>723</v>
      </c>
      <c r="G268" s="46"/>
      <c r="H268" s="34">
        <v>1</v>
      </c>
      <c r="I268" s="34">
        <v>1</v>
      </c>
      <c r="J268" s="34">
        <v>1</v>
      </c>
      <c r="K268" s="34">
        <v>1</v>
      </c>
      <c r="L268" s="34">
        <v>1</v>
      </c>
      <c r="M268" s="34">
        <v>1</v>
      </c>
      <c r="N268" s="34">
        <v>1</v>
      </c>
      <c r="O268" s="34">
        <v>1</v>
      </c>
      <c r="P268" s="34">
        <v>1</v>
      </c>
      <c r="Q268" s="34">
        <v>1</v>
      </c>
      <c r="R268" s="34">
        <v>1</v>
      </c>
      <c r="S268" s="34">
        <v>1</v>
      </c>
      <c r="T268" s="34">
        <v>1</v>
      </c>
      <c r="U268" s="34">
        <v>1</v>
      </c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10">
        <f t="shared" si="15"/>
        <v>14</v>
      </c>
      <c r="AM268" s="11">
        <v>32000</v>
      </c>
      <c r="AN268" s="12">
        <f t="shared" si="16"/>
        <v>448000</v>
      </c>
    </row>
    <row r="269" spans="1:40" ht="13.5" customHeight="1">
      <c r="A269" s="45" t="s">
        <v>62</v>
      </c>
      <c r="B269" s="32">
        <v>67</v>
      </c>
      <c r="C269" s="33" t="s">
        <v>221</v>
      </c>
      <c r="D269" s="33" t="s">
        <v>724</v>
      </c>
      <c r="E269" s="33" t="s">
        <v>725</v>
      </c>
      <c r="F269" s="32" t="s">
        <v>726</v>
      </c>
      <c r="G269" s="46"/>
      <c r="H269" s="34">
        <v>1</v>
      </c>
      <c r="I269" s="34">
        <v>1</v>
      </c>
      <c r="J269" s="34">
        <v>1</v>
      </c>
      <c r="K269" s="34">
        <v>1</v>
      </c>
      <c r="L269" s="34">
        <v>1</v>
      </c>
      <c r="M269" s="34">
        <v>1</v>
      </c>
      <c r="N269" s="34">
        <v>1</v>
      </c>
      <c r="O269" s="34">
        <v>1</v>
      </c>
      <c r="P269" s="34">
        <v>1</v>
      </c>
      <c r="Q269" s="34">
        <v>1</v>
      </c>
      <c r="R269" s="34">
        <v>1</v>
      </c>
      <c r="S269" s="34">
        <v>1</v>
      </c>
      <c r="T269" s="34">
        <v>1</v>
      </c>
      <c r="U269" s="34">
        <v>1</v>
      </c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10">
        <f t="shared" si="15"/>
        <v>14</v>
      </c>
      <c r="AM269" s="11">
        <v>32000</v>
      </c>
      <c r="AN269" s="12">
        <f t="shared" si="16"/>
        <v>448000</v>
      </c>
    </row>
    <row r="270" spans="1:40" ht="13.5" customHeight="1">
      <c r="A270" s="45" t="s">
        <v>62</v>
      </c>
      <c r="B270" s="32">
        <v>67</v>
      </c>
      <c r="C270" s="33" t="s">
        <v>727</v>
      </c>
      <c r="D270" s="33" t="s">
        <v>728</v>
      </c>
      <c r="E270" s="33" t="s">
        <v>43</v>
      </c>
      <c r="F270" s="32" t="s">
        <v>729</v>
      </c>
      <c r="G270" s="46"/>
      <c r="H270" s="34">
        <v>1</v>
      </c>
      <c r="I270" s="34">
        <v>1</v>
      </c>
      <c r="J270" s="34">
        <v>1</v>
      </c>
      <c r="K270" s="34">
        <v>1</v>
      </c>
      <c r="L270" s="34">
        <v>1</v>
      </c>
      <c r="M270" s="34">
        <v>1</v>
      </c>
      <c r="N270" s="34">
        <v>1</v>
      </c>
      <c r="O270" s="34">
        <v>1</v>
      </c>
      <c r="P270" s="34">
        <v>1</v>
      </c>
      <c r="Q270" s="34">
        <v>1</v>
      </c>
      <c r="R270" s="34">
        <v>1</v>
      </c>
      <c r="S270" s="34">
        <v>1</v>
      </c>
      <c r="T270" s="34">
        <v>1</v>
      </c>
      <c r="U270" s="34">
        <v>1</v>
      </c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10">
        <f t="shared" ref="AL270:AL301" si="17">SUM(G270:AK270)</f>
        <v>14</v>
      </c>
      <c r="AM270" s="11">
        <v>32000</v>
      </c>
      <c r="AN270" s="12">
        <f t="shared" ref="AN270:AN301" si="18">AM270*AL270</f>
        <v>448000</v>
      </c>
    </row>
    <row r="271" spans="1:40" ht="13.5" customHeight="1">
      <c r="A271" s="45" t="s">
        <v>62</v>
      </c>
      <c r="B271" s="32">
        <v>68</v>
      </c>
      <c r="C271" s="33" t="s">
        <v>730</v>
      </c>
      <c r="D271" s="33" t="s">
        <v>145</v>
      </c>
      <c r="E271" s="33" t="s">
        <v>713</v>
      </c>
      <c r="F271" s="32" t="s">
        <v>731</v>
      </c>
      <c r="G271" s="46"/>
      <c r="H271" s="34">
        <v>1</v>
      </c>
      <c r="I271" s="34">
        <v>1</v>
      </c>
      <c r="J271" s="34">
        <v>1</v>
      </c>
      <c r="K271" s="34">
        <v>1</v>
      </c>
      <c r="L271" s="34">
        <v>1</v>
      </c>
      <c r="M271" s="34">
        <v>1</v>
      </c>
      <c r="N271" s="34">
        <v>1</v>
      </c>
      <c r="O271" s="34">
        <v>1</v>
      </c>
      <c r="P271" s="34">
        <v>1</v>
      </c>
      <c r="Q271" s="34">
        <v>1</v>
      </c>
      <c r="R271" s="34">
        <v>1</v>
      </c>
      <c r="S271" s="34">
        <v>1</v>
      </c>
      <c r="T271" s="34">
        <v>1</v>
      </c>
      <c r="U271" s="34">
        <v>1</v>
      </c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10">
        <f t="shared" si="17"/>
        <v>14</v>
      </c>
      <c r="AM271" s="11">
        <v>32000</v>
      </c>
      <c r="AN271" s="12">
        <f t="shared" si="18"/>
        <v>448000</v>
      </c>
    </row>
    <row r="272" spans="1:40" ht="13.5" customHeight="1">
      <c r="A272" s="45" t="s">
        <v>62</v>
      </c>
      <c r="B272" s="32">
        <v>68</v>
      </c>
      <c r="C272" s="33" t="s">
        <v>17</v>
      </c>
      <c r="D272" s="33" t="s">
        <v>187</v>
      </c>
      <c r="E272" s="33" t="s">
        <v>466</v>
      </c>
      <c r="F272" s="32" t="s">
        <v>732</v>
      </c>
      <c r="G272" s="46"/>
      <c r="H272" s="34">
        <v>1</v>
      </c>
      <c r="I272" s="34">
        <v>1</v>
      </c>
      <c r="J272" s="34">
        <v>1</v>
      </c>
      <c r="K272" s="34">
        <v>1</v>
      </c>
      <c r="L272" s="34">
        <v>1</v>
      </c>
      <c r="M272" s="34">
        <v>1</v>
      </c>
      <c r="N272" s="34">
        <v>1</v>
      </c>
      <c r="O272" s="34">
        <v>1</v>
      </c>
      <c r="P272" s="34">
        <v>1</v>
      </c>
      <c r="Q272" s="34">
        <v>1</v>
      </c>
      <c r="R272" s="34">
        <v>1</v>
      </c>
      <c r="S272" s="34">
        <v>1</v>
      </c>
      <c r="T272" s="34">
        <v>1</v>
      </c>
      <c r="U272" s="34">
        <v>1</v>
      </c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10">
        <f t="shared" si="17"/>
        <v>14</v>
      </c>
      <c r="AM272" s="11">
        <v>32000</v>
      </c>
      <c r="AN272" s="12">
        <f t="shared" si="18"/>
        <v>448000</v>
      </c>
    </row>
    <row r="273" spans="1:40" ht="13.5" customHeight="1">
      <c r="A273" s="45" t="s">
        <v>62</v>
      </c>
      <c r="B273" s="32">
        <v>69</v>
      </c>
      <c r="C273" s="33" t="s">
        <v>149</v>
      </c>
      <c r="D273" s="33" t="s">
        <v>733</v>
      </c>
      <c r="E273" s="33" t="s">
        <v>21</v>
      </c>
      <c r="F273" s="32" t="s">
        <v>734</v>
      </c>
      <c r="G273" s="46"/>
      <c r="H273" s="34">
        <v>1</v>
      </c>
      <c r="I273" s="34">
        <v>1</v>
      </c>
      <c r="J273" s="34">
        <v>1</v>
      </c>
      <c r="K273" s="34">
        <v>1</v>
      </c>
      <c r="L273" s="34">
        <v>1</v>
      </c>
      <c r="M273" s="34">
        <v>1</v>
      </c>
      <c r="N273" s="34">
        <v>1</v>
      </c>
      <c r="O273" s="34">
        <v>1</v>
      </c>
      <c r="P273" s="34">
        <v>1</v>
      </c>
      <c r="Q273" s="34">
        <v>1</v>
      </c>
      <c r="R273" s="34">
        <v>1</v>
      </c>
      <c r="S273" s="34">
        <v>1</v>
      </c>
      <c r="T273" s="34">
        <v>1</v>
      </c>
      <c r="U273" s="34">
        <v>1</v>
      </c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10">
        <f t="shared" si="17"/>
        <v>14</v>
      </c>
      <c r="AM273" s="11">
        <v>32000</v>
      </c>
      <c r="AN273" s="12">
        <f t="shared" si="18"/>
        <v>448000</v>
      </c>
    </row>
    <row r="274" spans="1:40" ht="13.5" customHeight="1">
      <c r="A274" s="45" t="s">
        <v>62</v>
      </c>
      <c r="B274" s="32">
        <v>69</v>
      </c>
      <c r="C274" s="33" t="s">
        <v>187</v>
      </c>
      <c r="D274" s="33" t="s">
        <v>38</v>
      </c>
      <c r="E274" s="33" t="s">
        <v>155</v>
      </c>
      <c r="F274" s="32" t="s">
        <v>735</v>
      </c>
      <c r="G274" s="46"/>
      <c r="H274" s="34">
        <v>1</v>
      </c>
      <c r="I274" s="34">
        <v>1</v>
      </c>
      <c r="J274" s="34">
        <v>1</v>
      </c>
      <c r="K274" s="34">
        <v>1</v>
      </c>
      <c r="L274" s="34">
        <v>1</v>
      </c>
      <c r="M274" s="34">
        <v>1</v>
      </c>
      <c r="N274" s="34">
        <v>1</v>
      </c>
      <c r="O274" s="34">
        <v>1</v>
      </c>
      <c r="P274" s="34">
        <v>1</v>
      </c>
      <c r="Q274" s="34">
        <v>1</v>
      </c>
      <c r="R274" s="34">
        <v>1</v>
      </c>
      <c r="S274" s="34">
        <v>1</v>
      </c>
      <c r="T274" s="34">
        <v>1</v>
      </c>
      <c r="U274" s="34">
        <v>1</v>
      </c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10">
        <f t="shared" si="17"/>
        <v>14</v>
      </c>
      <c r="AM274" s="11">
        <v>32000</v>
      </c>
      <c r="AN274" s="12">
        <f t="shared" si="18"/>
        <v>448000</v>
      </c>
    </row>
    <row r="275" spans="1:40" ht="13.5" customHeight="1">
      <c r="A275" s="45" t="s">
        <v>62</v>
      </c>
      <c r="B275" s="32">
        <v>70</v>
      </c>
      <c r="C275" s="33" t="s">
        <v>736</v>
      </c>
      <c r="D275" s="33" t="s">
        <v>737</v>
      </c>
      <c r="E275" s="33" t="s">
        <v>280</v>
      </c>
      <c r="F275" s="32" t="s">
        <v>738</v>
      </c>
      <c r="G275" s="46"/>
      <c r="H275" s="34">
        <v>1</v>
      </c>
      <c r="I275" s="34">
        <v>1</v>
      </c>
      <c r="J275" s="34">
        <v>1</v>
      </c>
      <c r="K275" s="34">
        <v>1</v>
      </c>
      <c r="L275" s="34">
        <v>1</v>
      </c>
      <c r="M275" s="34">
        <v>1</v>
      </c>
      <c r="N275" s="34">
        <v>1</v>
      </c>
      <c r="O275" s="34">
        <v>1</v>
      </c>
      <c r="P275" s="34">
        <v>1</v>
      </c>
      <c r="Q275" s="34">
        <v>1</v>
      </c>
      <c r="R275" s="34">
        <v>1</v>
      </c>
      <c r="S275" s="34">
        <v>1</v>
      </c>
      <c r="T275" s="34">
        <v>1</v>
      </c>
      <c r="U275" s="34">
        <v>1</v>
      </c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10">
        <f t="shared" si="17"/>
        <v>14</v>
      </c>
      <c r="AM275" s="11">
        <v>32000</v>
      </c>
      <c r="AN275" s="12">
        <f t="shared" si="18"/>
        <v>448000</v>
      </c>
    </row>
    <row r="276" spans="1:40" ht="13.5" customHeight="1">
      <c r="A276" s="45" t="s">
        <v>62</v>
      </c>
      <c r="B276" s="32">
        <v>70</v>
      </c>
      <c r="C276" s="33" t="s">
        <v>91</v>
      </c>
      <c r="D276" s="33" t="s">
        <v>739</v>
      </c>
      <c r="E276" s="33" t="s">
        <v>15</v>
      </c>
      <c r="F276" s="32" t="s">
        <v>740</v>
      </c>
      <c r="G276" s="46"/>
      <c r="H276" s="34">
        <v>1</v>
      </c>
      <c r="I276" s="34">
        <v>1</v>
      </c>
      <c r="J276" s="34">
        <v>1</v>
      </c>
      <c r="K276" s="34">
        <v>1</v>
      </c>
      <c r="L276" s="34">
        <v>1</v>
      </c>
      <c r="M276" s="34">
        <v>1</v>
      </c>
      <c r="N276" s="34">
        <v>1</v>
      </c>
      <c r="O276" s="34">
        <v>1</v>
      </c>
      <c r="P276" s="34">
        <v>1</v>
      </c>
      <c r="Q276" s="34">
        <v>1</v>
      </c>
      <c r="R276" s="34">
        <v>1</v>
      </c>
      <c r="S276" s="34">
        <v>1</v>
      </c>
      <c r="T276" s="34">
        <v>1</v>
      </c>
      <c r="U276" s="34">
        <v>1</v>
      </c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10">
        <f t="shared" si="17"/>
        <v>14</v>
      </c>
      <c r="AM276" s="11">
        <v>32000</v>
      </c>
      <c r="AN276" s="12">
        <f t="shared" si="18"/>
        <v>448000</v>
      </c>
    </row>
    <row r="277" spans="1:40" ht="13.5" customHeight="1">
      <c r="A277" s="45" t="s">
        <v>62</v>
      </c>
      <c r="B277" s="32">
        <v>71</v>
      </c>
      <c r="C277" s="33" t="s">
        <v>478</v>
      </c>
      <c r="D277" s="33" t="s">
        <v>741</v>
      </c>
      <c r="E277" s="33" t="s">
        <v>9</v>
      </c>
      <c r="F277" s="32" t="s">
        <v>742</v>
      </c>
      <c r="G277" s="46"/>
      <c r="H277" s="34">
        <v>1</v>
      </c>
      <c r="I277" s="34">
        <v>1</v>
      </c>
      <c r="J277" s="34">
        <v>1</v>
      </c>
      <c r="K277" s="34">
        <v>1</v>
      </c>
      <c r="L277" s="34">
        <v>1</v>
      </c>
      <c r="M277" s="34">
        <v>1</v>
      </c>
      <c r="N277" s="34">
        <v>1</v>
      </c>
      <c r="O277" s="34">
        <v>1</v>
      </c>
      <c r="P277" s="34">
        <v>1</v>
      </c>
      <c r="Q277" s="34">
        <v>1</v>
      </c>
      <c r="R277" s="34">
        <v>1</v>
      </c>
      <c r="S277" s="34">
        <v>1</v>
      </c>
      <c r="T277" s="34">
        <v>1</v>
      </c>
      <c r="U277" s="34">
        <v>1</v>
      </c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10">
        <f t="shared" si="17"/>
        <v>14</v>
      </c>
      <c r="AM277" s="11">
        <v>32000</v>
      </c>
      <c r="AN277" s="12">
        <f t="shared" si="18"/>
        <v>448000</v>
      </c>
    </row>
    <row r="278" spans="1:40" ht="13.5" customHeight="1">
      <c r="A278" s="45" t="s">
        <v>62</v>
      </c>
      <c r="B278" s="32">
        <v>71</v>
      </c>
      <c r="C278" s="33" t="s">
        <v>743</v>
      </c>
      <c r="D278" s="33" t="s">
        <v>744</v>
      </c>
      <c r="E278" s="33" t="s">
        <v>11</v>
      </c>
      <c r="F278" s="32" t="s">
        <v>745</v>
      </c>
      <c r="G278" s="46"/>
      <c r="H278" s="34">
        <v>1</v>
      </c>
      <c r="I278" s="34">
        <v>1</v>
      </c>
      <c r="J278" s="34">
        <v>1</v>
      </c>
      <c r="K278" s="34">
        <v>1</v>
      </c>
      <c r="L278" s="34">
        <v>1</v>
      </c>
      <c r="M278" s="34">
        <v>1</v>
      </c>
      <c r="N278" s="34">
        <v>1</v>
      </c>
      <c r="O278" s="34">
        <v>1</v>
      </c>
      <c r="P278" s="34">
        <v>1</v>
      </c>
      <c r="Q278" s="34">
        <v>1</v>
      </c>
      <c r="R278" s="34">
        <v>1</v>
      </c>
      <c r="S278" s="34">
        <v>1</v>
      </c>
      <c r="T278" s="34">
        <v>1</v>
      </c>
      <c r="U278" s="34">
        <v>1</v>
      </c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10">
        <f t="shared" si="17"/>
        <v>14</v>
      </c>
      <c r="AM278" s="11">
        <v>32000</v>
      </c>
      <c r="AN278" s="12">
        <f t="shared" si="18"/>
        <v>448000</v>
      </c>
    </row>
    <row r="279" spans="1:40" ht="13.5" customHeight="1">
      <c r="A279" s="45" t="s">
        <v>62</v>
      </c>
      <c r="B279" s="32">
        <v>72</v>
      </c>
      <c r="C279" s="33" t="s">
        <v>746</v>
      </c>
      <c r="D279" s="33" t="s">
        <v>747</v>
      </c>
      <c r="E279" s="33" t="s">
        <v>207</v>
      </c>
      <c r="F279" s="32" t="s">
        <v>748</v>
      </c>
      <c r="G279" s="46"/>
      <c r="H279" s="34">
        <v>1</v>
      </c>
      <c r="I279" s="34">
        <v>1</v>
      </c>
      <c r="J279" s="34">
        <v>1</v>
      </c>
      <c r="K279" s="34">
        <v>1</v>
      </c>
      <c r="L279" s="34">
        <v>1</v>
      </c>
      <c r="M279" s="34">
        <v>1</v>
      </c>
      <c r="N279" s="34">
        <v>1</v>
      </c>
      <c r="O279" s="34">
        <v>1</v>
      </c>
      <c r="P279" s="34">
        <v>1</v>
      </c>
      <c r="Q279" s="34">
        <v>1</v>
      </c>
      <c r="R279" s="34">
        <v>1</v>
      </c>
      <c r="S279" s="34">
        <v>1</v>
      </c>
      <c r="T279" s="34">
        <v>1</v>
      </c>
      <c r="U279" s="34">
        <v>1</v>
      </c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10">
        <f t="shared" si="17"/>
        <v>14</v>
      </c>
      <c r="AM279" s="11">
        <v>32000</v>
      </c>
      <c r="AN279" s="12">
        <f t="shared" si="18"/>
        <v>448000</v>
      </c>
    </row>
    <row r="280" spans="1:40" ht="13.5" customHeight="1">
      <c r="A280" s="45" t="s">
        <v>62</v>
      </c>
      <c r="B280" s="32">
        <v>72</v>
      </c>
      <c r="C280" s="33" t="s">
        <v>183</v>
      </c>
      <c r="D280" s="33" t="s">
        <v>91</v>
      </c>
      <c r="E280" s="33" t="s">
        <v>359</v>
      </c>
      <c r="F280" s="32" t="s">
        <v>749</v>
      </c>
      <c r="G280" s="46"/>
      <c r="H280" s="34">
        <v>1</v>
      </c>
      <c r="I280" s="34">
        <v>1</v>
      </c>
      <c r="J280" s="34">
        <v>1</v>
      </c>
      <c r="K280" s="34">
        <v>1</v>
      </c>
      <c r="L280" s="34">
        <v>1</v>
      </c>
      <c r="M280" s="34">
        <v>1</v>
      </c>
      <c r="N280" s="34">
        <v>1</v>
      </c>
      <c r="O280" s="34">
        <v>1</v>
      </c>
      <c r="P280" s="34">
        <v>1</v>
      </c>
      <c r="Q280" s="34">
        <v>1</v>
      </c>
      <c r="R280" s="34">
        <v>1</v>
      </c>
      <c r="S280" s="34">
        <v>1</v>
      </c>
      <c r="T280" s="34">
        <v>1</v>
      </c>
      <c r="U280" s="34">
        <v>1</v>
      </c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10">
        <f t="shared" si="17"/>
        <v>14</v>
      </c>
      <c r="AM280" s="11">
        <v>32000</v>
      </c>
      <c r="AN280" s="12">
        <f t="shared" si="18"/>
        <v>448000</v>
      </c>
    </row>
    <row r="281" spans="1:40" ht="13.5" customHeight="1">
      <c r="A281" s="45" t="s">
        <v>62</v>
      </c>
      <c r="B281" s="32">
        <v>73</v>
      </c>
      <c r="C281" s="33" t="s">
        <v>255</v>
      </c>
      <c r="D281" s="33" t="s">
        <v>23</v>
      </c>
      <c r="E281" s="33" t="s">
        <v>875</v>
      </c>
      <c r="F281" s="32" t="s">
        <v>878</v>
      </c>
      <c r="G281" s="46"/>
      <c r="H281" s="34">
        <v>1</v>
      </c>
      <c r="I281" s="34">
        <v>1</v>
      </c>
      <c r="J281" s="34">
        <v>1</v>
      </c>
      <c r="K281" s="34">
        <v>1</v>
      </c>
      <c r="L281" s="34">
        <v>1</v>
      </c>
      <c r="M281" s="34">
        <v>1</v>
      </c>
      <c r="N281" s="34">
        <v>1</v>
      </c>
      <c r="O281" s="34">
        <v>1</v>
      </c>
      <c r="P281" s="34">
        <v>1</v>
      </c>
      <c r="Q281" s="34">
        <v>1</v>
      </c>
      <c r="R281" s="34">
        <v>1</v>
      </c>
      <c r="S281" s="34">
        <v>1</v>
      </c>
      <c r="T281" s="34">
        <v>1</v>
      </c>
      <c r="U281" s="34">
        <v>1</v>
      </c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10">
        <f t="shared" si="17"/>
        <v>14</v>
      </c>
      <c r="AM281" s="11">
        <v>32000</v>
      </c>
      <c r="AN281" s="12">
        <f t="shared" si="18"/>
        <v>448000</v>
      </c>
    </row>
    <row r="282" spans="1:40" ht="13.5" customHeight="1">
      <c r="A282" s="45" t="s">
        <v>62</v>
      </c>
      <c r="B282" s="32">
        <v>73</v>
      </c>
      <c r="C282" s="33" t="s">
        <v>19</v>
      </c>
      <c r="D282" s="33" t="s">
        <v>13</v>
      </c>
      <c r="E282" s="33" t="s">
        <v>876</v>
      </c>
      <c r="F282" s="32" t="s">
        <v>877</v>
      </c>
      <c r="G282" s="46"/>
      <c r="H282" s="34">
        <v>1</v>
      </c>
      <c r="I282" s="34">
        <v>1</v>
      </c>
      <c r="J282" s="34">
        <v>1</v>
      </c>
      <c r="K282" s="34">
        <v>1</v>
      </c>
      <c r="L282" s="34">
        <v>1</v>
      </c>
      <c r="M282" s="34">
        <v>1</v>
      </c>
      <c r="N282" s="34">
        <v>1</v>
      </c>
      <c r="O282" s="34">
        <v>1</v>
      </c>
      <c r="P282" s="34">
        <v>1</v>
      </c>
      <c r="Q282" s="34">
        <v>1</v>
      </c>
      <c r="R282" s="34">
        <v>1</v>
      </c>
      <c r="S282" s="34">
        <v>1</v>
      </c>
      <c r="T282" s="34">
        <v>1</v>
      </c>
      <c r="U282" s="34">
        <v>1</v>
      </c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10">
        <f t="shared" si="17"/>
        <v>14</v>
      </c>
      <c r="AM282" s="11">
        <v>32000</v>
      </c>
      <c r="AN282" s="12">
        <f t="shared" si="18"/>
        <v>448000</v>
      </c>
    </row>
    <row r="283" spans="1:40" ht="13.5" customHeight="1">
      <c r="A283" s="45" t="s">
        <v>62</v>
      </c>
      <c r="B283" s="32">
        <v>74</v>
      </c>
      <c r="C283" s="33" t="s">
        <v>23</v>
      </c>
      <c r="D283" s="33" t="s">
        <v>750</v>
      </c>
      <c r="E283" s="33" t="s">
        <v>138</v>
      </c>
      <c r="F283" s="32" t="s">
        <v>751</v>
      </c>
      <c r="G283" s="46"/>
      <c r="H283" s="34">
        <v>1</v>
      </c>
      <c r="I283" s="34">
        <v>1</v>
      </c>
      <c r="J283" s="34">
        <v>1</v>
      </c>
      <c r="K283" s="34">
        <v>1</v>
      </c>
      <c r="L283" s="34">
        <v>1</v>
      </c>
      <c r="M283" s="34">
        <v>1</v>
      </c>
      <c r="N283" s="34">
        <v>1</v>
      </c>
      <c r="O283" s="34">
        <v>1</v>
      </c>
      <c r="P283" s="34">
        <v>1</v>
      </c>
      <c r="Q283" s="34">
        <v>1</v>
      </c>
      <c r="R283" s="34">
        <v>1</v>
      </c>
      <c r="S283" s="34">
        <v>1</v>
      </c>
      <c r="T283" s="34">
        <v>1</v>
      </c>
      <c r="U283" s="34">
        <v>1</v>
      </c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10">
        <f t="shared" si="17"/>
        <v>14</v>
      </c>
      <c r="AM283" s="11">
        <v>32000</v>
      </c>
      <c r="AN283" s="12">
        <f t="shared" si="18"/>
        <v>448000</v>
      </c>
    </row>
    <row r="284" spans="1:40" ht="13.5" customHeight="1">
      <c r="A284" s="45" t="s">
        <v>62</v>
      </c>
      <c r="B284" s="32">
        <v>74</v>
      </c>
      <c r="C284" s="33" t="s">
        <v>752</v>
      </c>
      <c r="D284" s="33" t="s">
        <v>753</v>
      </c>
      <c r="E284" s="33" t="s">
        <v>160</v>
      </c>
      <c r="F284" s="32" t="s">
        <v>754</v>
      </c>
      <c r="G284" s="46"/>
      <c r="H284" s="34">
        <v>1</v>
      </c>
      <c r="I284" s="34">
        <v>1</v>
      </c>
      <c r="J284" s="34">
        <v>1</v>
      </c>
      <c r="K284" s="34">
        <v>1</v>
      </c>
      <c r="L284" s="34">
        <v>1</v>
      </c>
      <c r="M284" s="34">
        <v>1</v>
      </c>
      <c r="N284" s="34">
        <v>1</v>
      </c>
      <c r="O284" s="34">
        <v>1</v>
      </c>
      <c r="P284" s="34">
        <v>1</v>
      </c>
      <c r="Q284" s="34">
        <v>1</v>
      </c>
      <c r="R284" s="34">
        <v>1</v>
      </c>
      <c r="S284" s="34">
        <v>1</v>
      </c>
      <c r="T284" s="34">
        <v>1</v>
      </c>
      <c r="U284" s="34">
        <v>1</v>
      </c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10">
        <f t="shared" si="17"/>
        <v>14</v>
      </c>
      <c r="AM284" s="11">
        <v>32000</v>
      </c>
      <c r="AN284" s="12">
        <f t="shared" si="18"/>
        <v>448000</v>
      </c>
    </row>
    <row r="285" spans="1:40" ht="13.5" customHeight="1">
      <c r="A285" s="45" t="s">
        <v>62</v>
      </c>
      <c r="B285" s="32">
        <v>75</v>
      </c>
      <c r="C285" s="33" t="s">
        <v>457</v>
      </c>
      <c r="D285" s="33" t="s">
        <v>361</v>
      </c>
      <c r="E285" s="33" t="s">
        <v>549</v>
      </c>
      <c r="F285" s="32" t="s">
        <v>550</v>
      </c>
      <c r="G285" s="46"/>
      <c r="H285" s="34">
        <v>1</v>
      </c>
      <c r="I285" s="34">
        <v>1</v>
      </c>
      <c r="J285" s="34">
        <v>1</v>
      </c>
      <c r="K285" s="34">
        <v>1</v>
      </c>
      <c r="L285" s="34">
        <v>1</v>
      </c>
      <c r="M285" s="34">
        <v>1</v>
      </c>
      <c r="N285" s="34">
        <v>1</v>
      </c>
      <c r="O285" s="34">
        <v>1</v>
      </c>
      <c r="P285" s="34">
        <v>1</v>
      </c>
      <c r="Q285" s="34">
        <v>1</v>
      </c>
      <c r="R285" s="34">
        <v>1</v>
      </c>
      <c r="S285" s="34">
        <v>1</v>
      </c>
      <c r="T285" s="34">
        <v>1</v>
      </c>
      <c r="U285" s="34">
        <v>1</v>
      </c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10">
        <f t="shared" si="17"/>
        <v>14</v>
      </c>
      <c r="AM285" s="11">
        <v>32000</v>
      </c>
      <c r="AN285" s="12">
        <f t="shared" si="18"/>
        <v>448000</v>
      </c>
    </row>
    <row r="286" spans="1:40" ht="13.5" customHeight="1">
      <c r="A286" s="45" t="s">
        <v>62</v>
      </c>
      <c r="B286" s="32">
        <v>75</v>
      </c>
      <c r="C286" s="33" t="s">
        <v>245</v>
      </c>
      <c r="D286" s="33" t="s">
        <v>383</v>
      </c>
      <c r="E286" s="33" t="s">
        <v>22</v>
      </c>
      <c r="F286" s="32" t="s">
        <v>551</v>
      </c>
      <c r="G286" s="46"/>
      <c r="H286" s="34">
        <v>1</v>
      </c>
      <c r="I286" s="34">
        <v>1</v>
      </c>
      <c r="J286" s="34">
        <v>1</v>
      </c>
      <c r="K286" s="34">
        <v>1</v>
      </c>
      <c r="L286" s="34">
        <v>1</v>
      </c>
      <c r="M286" s="34">
        <v>1</v>
      </c>
      <c r="N286" s="34">
        <v>1</v>
      </c>
      <c r="O286" s="34">
        <v>1</v>
      </c>
      <c r="P286" s="34">
        <v>1</v>
      </c>
      <c r="Q286" s="34">
        <v>1</v>
      </c>
      <c r="R286" s="34">
        <v>1</v>
      </c>
      <c r="S286" s="34">
        <v>1</v>
      </c>
      <c r="T286" s="34">
        <v>1</v>
      </c>
      <c r="U286" s="34">
        <v>1</v>
      </c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10">
        <f t="shared" si="17"/>
        <v>14</v>
      </c>
      <c r="AM286" s="11">
        <v>32000</v>
      </c>
      <c r="AN286" s="12">
        <f t="shared" si="18"/>
        <v>448000</v>
      </c>
    </row>
    <row r="287" spans="1:40" ht="13.5" customHeight="1">
      <c r="A287" s="45" t="s">
        <v>62</v>
      </c>
      <c r="B287" s="32">
        <v>76</v>
      </c>
      <c r="C287" s="33" t="s">
        <v>755</v>
      </c>
      <c r="D287" s="33" t="s">
        <v>158</v>
      </c>
      <c r="E287" s="33" t="s">
        <v>20</v>
      </c>
      <c r="F287" s="32" t="s">
        <v>756</v>
      </c>
      <c r="G287" s="46"/>
      <c r="H287" s="34">
        <v>1</v>
      </c>
      <c r="I287" s="34">
        <v>1</v>
      </c>
      <c r="J287" s="34">
        <v>1</v>
      </c>
      <c r="K287" s="34">
        <v>1</v>
      </c>
      <c r="L287" s="34">
        <v>1</v>
      </c>
      <c r="M287" s="34">
        <v>1</v>
      </c>
      <c r="N287" s="34">
        <v>1</v>
      </c>
      <c r="O287" s="34">
        <v>1</v>
      </c>
      <c r="P287" s="34">
        <v>1</v>
      </c>
      <c r="Q287" s="34">
        <v>1</v>
      </c>
      <c r="R287" s="34">
        <v>1</v>
      </c>
      <c r="S287" s="34">
        <v>1</v>
      </c>
      <c r="T287" s="34">
        <v>1</v>
      </c>
      <c r="U287" s="34">
        <v>1</v>
      </c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10">
        <f t="shared" si="17"/>
        <v>14</v>
      </c>
      <c r="AM287" s="11">
        <v>32000</v>
      </c>
      <c r="AN287" s="12">
        <f t="shared" si="18"/>
        <v>448000</v>
      </c>
    </row>
    <row r="288" spans="1:40" ht="13.5" customHeight="1">
      <c r="A288" s="45" t="s">
        <v>62</v>
      </c>
      <c r="B288" s="32">
        <v>76</v>
      </c>
      <c r="C288" s="33" t="s">
        <v>757</v>
      </c>
      <c r="D288" s="33" t="s">
        <v>758</v>
      </c>
      <c r="E288" s="33" t="s">
        <v>9</v>
      </c>
      <c r="F288" s="32" t="s">
        <v>759</v>
      </c>
      <c r="G288" s="46"/>
      <c r="H288" s="34">
        <v>1</v>
      </c>
      <c r="I288" s="34">
        <v>1</v>
      </c>
      <c r="J288" s="34">
        <v>1</v>
      </c>
      <c r="K288" s="34">
        <v>1</v>
      </c>
      <c r="L288" s="34">
        <v>1</v>
      </c>
      <c r="M288" s="34">
        <v>1</v>
      </c>
      <c r="N288" s="34">
        <v>1</v>
      </c>
      <c r="O288" s="34">
        <v>1</v>
      </c>
      <c r="P288" s="34">
        <v>1</v>
      </c>
      <c r="Q288" s="34">
        <v>1</v>
      </c>
      <c r="R288" s="34">
        <v>1</v>
      </c>
      <c r="S288" s="34">
        <v>1</v>
      </c>
      <c r="T288" s="34">
        <v>1</v>
      </c>
      <c r="U288" s="34">
        <v>1</v>
      </c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10">
        <f t="shared" si="17"/>
        <v>14</v>
      </c>
      <c r="AM288" s="11">
        <v>32000</v>
      </c>
      <c r="AN288" s="12">
        <f t="shared" si="18"/>
        <v>448000</v>
      </c>
    </row>
    <row r="289" spans="1:40" ht="13.5" customHeight="1">
      <c r="A289" s="45" t="s">
        <v>62</v>
      </c>
      <c r="B289" s="32">
        <v>77</v>
      </c>
      <c r="C289" s="33" t="s">
        <v>319</v>
      </c>
      <c r="D289" s="33" t="s">
        <v>319</v>
      </c>
      <c r="E289" s="33" t="s">
        <v>160</v>
      </c>
      <c r="F289" s="32" t="s">
        <v>441</v>
      </c>
      <c r="G289" s="46"/>
      <c r="H289" s="34">
        <v>1</v>
      </c>
      <c r="I289" s="34">
        <v>1</v>
      </c>
      <c r="J289" s="34">
        <v>1</v>
      </c>
      <c r="K289" s="34">
        <v>1</v>
      </c>
      <c r="L289" s="34">
        <v>1</v>
      </c>
      <c r="M289" s="34">
        <v>1</v>
      </c>
      <c r="N289" s="34">
        <v>1</v>
      </c>
      <c r="O289" s="34">
        <v>1</v>
      </c>
      <c r="P289" s="34">
        <v>1</v>
      </c>
      <c r="Q289" s="34">
        <v>1</v>
      </c>
      <c r="R289" s="34">
        <v>1</v>
      </c>
      <c r="S289" s="34">
        <v>1</v>
      </c>
      <c r="T289" s="34">
        <v>1</v>
      </c>
      <c r="U289" s="34">
        <v>1</v>
      </c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10">
        <f t="shared" si="17"/>
        <v>14</v>
      </c>
      <c r="AM289" s="11">
        <v>32000</v>
      </c>
      <c r="AN289" s="12">
        <f t="shared" si="18"/>
        <v>448000</v>
      </c>
    </row>
    <row r="290" spans="1:40" ht="13.5" customHeight="1">
      <c r="A290" s="45" t="s">
        <v>62</v>
      </c>
      <c r="B290" s="32">
        <v>77</v>
      </c>
      <c r="C290" s="33" t="s">
        <v>414</v>
      </c>
      <c r="D290" s="33" t="s">
        <v>67</v>
      </c>
      <c r="E290" s="33" t="s">
        <v>75</v>
      </c>
      <c r="F290" s="32" t="s">
        <v>420</v>
      </c>
      <c r="G290" s="46"/>
      <c r="H290" s="34">
        <v>1</v>
      </c>
      <c r="I290" s="34">
        <v>1</v>
      </c>
      <c r="J290" s="34">
        <v>1</v>
      </c>
      <c r="K290" s="34">
        <v>1</v>
      </c>
      <c r="L290" s="34">
        <v>1</v>
      </c>
      <c r="M290" s="34">
        <v>1</v>
      </c>
      <c r="N290" s="34">
        <v>1</v>
      </c>
      <c r="O290" s="34">
        <v>1</v>
      </c>
      <c r="P290" s="34">
        <v>1</v>
      </c>
      <c r="Q290" s="34">
        <v>1</v>
      </c>
      <c r="R290" s="34">
        <v>1</v>
      </c>
      <c r="S290" s="34">
        <v>1</v>
      </c>
      <c r="T290" s="34">
        <v>1</v>
      </c>
      <c r="U290" s="34">
        <v>1</v>
      </c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10">
        <f t="shared" si="17"/>
        <v>14</v>
      </c>
      <c r="AM290" s="11">
        <v>32000</v>
      </c>
      <c r="AN290" s="12">
        <f t="shared" si="18"/>
        <v>448000</v>
      </c>
    </row>
    <row r="291" spans="1:40" ht="13.5" customHeight="1">
      <c r="A291" s="45" t="s">
        <v>62</v>
      </c>
      <c r="B291" s="32">
        <v>77</v>
      </c>
      <c r="C291" s="33" t="s">
        <v>896</v>
      </c>
      <c r="D291" s="33" t="s">
        <v>897</v>
      </c>
      <c r="E291" s="33" t="s">
        <v>898</v>
      </c>
      <c r="F291" s="32" t="s">
        <v>901</v>
      </c>
      <c r="G291" s="46"/>
      <c r="H291" s="34">
        <v>1</v>
      </c>
      <c r="I291" s="34">
        <v>1</v>
      </c>
      <c r="J291" s="34">
        <v>1</v>
      </c>
      <c r="K291" s="34">
        <v>1</v>
      </c>
      <c r="L291" s="34">
        <v>1</v>
      </c>
      <c r="M291" s="34">
        <v>1</v>
      </c>
      <c r="N291" s="34">
        <v>1</v>
      </c>
      <c r="O291" s="34">
        <v>1</v>
      </c>
      <c r="P291" s="34">
        <v>1</v>
      </c>
      <c r="Q291" s="34">
        <v>1</v>
      </c>
      <c r="R291" s="34">
        <v>1</v>
      </c>
      <c r="S291" s="34">
        <v>1</v>
      </c>
      <c r="T291" s="34">
        <v>1</v>
      </c>
      <c r="U291" s="34">
        <v>1</v>
      </c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10">
        <f t="shared" si="17"/>
        <v>14</v>
      </c>
      <c r="AM291" s="11">
        <v>32000</v>
      </c>
      <c r="AN291" s="12">
        <f t="shared" si="18"/>
        <v>448000</v>
      </c>
    </row>
    <row r="292" spans="1:40" ht="13.5" customHeight="1">
      <c r="A292" s="45" t="s">
        <v>62</v>
      </c>
      <c r="B292" s="32">
        <v>78</v>
      </c>
      <c r="C292" s="33" t="s">
        <v>302</v>
      </c>
      <c r="D292" s="33" t="s">
        <v>760</v>
      </c>
      <c r="E292" s="33" t="s">
        <v>194</v>
      </c>
      <c r="F292" s="32" t="s">
        <v>761</v>
      </c>
      <c r="G292" s="46"/>
      <c r="H292" s="34">
        <v>1</v>
      </c>
      <c r="I292" s="34">
        <v>1</v>
      </c>
      <c r="J292" s="34">
        <v>1</v>
      </c>
      <c r="K292" s="34">
        <v>1</v>
      </c>
      <c r="L292" s="34">
        <v>1</v>
      </c>
      <c r="M292" s="34">
        <v>1</v>
      </c>
      <c r="N292" s="34">
        <v>1</v>
      </c>
      <c r="O292" s="34">
        <v>1</v>
      </c>
      <c r="P292" s="34">
        <v>1</v>
      </c>
      <c r="Q292" s="34">
        <v>1</v>
      </c>
      <c r="R292" s="34">
        <v>1</v>
      </c>
      <c r="S292" s="34">
        <v>1</v>
      </c>
      <c r="T292" s="34">
        <v>1</v>
      </c>
      <c r="U292" s="34">
        <v>1</v>
      </c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10">
        <f t="shared" si="17"/>
        <v>14</v>
      </c>
      <c r="AM292" s="11">
        <v>32000</v>
      </c>
      <c r="AN292" s="12">
        <f t="shared" si="18"/>
        <v>448000</v>
      </c>
    </row>
    <row r="293" spans="1:40" ht="13.5" customHeight="1">
      <c r="A293" s="45" t="s">
        <v>62</v>
      </c>
      <c r="B293" s="32">
        <v>78</v>
      </c>
      <c r="C293" s="33" t="s">
        <v>762</v>
      </c>
      <c r="D293" s="33" t="s">
        <v>233</v>
      </c>
      <c r="E293" s="33" t="s">
        <v>391</v>
      </c>
      <c r="F293" s="32" t="s">
        <v>763</v>
      </c>
      <c r="G293" s="46"/>
      <c r="H293" s="34">
        <v>1</v>
      </c>
      <c r="I293" s="34">
        <v>1</v>
      </c>
      <c r="J293" s="34">
        <v>1</v>
      </c>
      <c r="K293" s="34">
        <v>1</v>
      </c>
      <c r="L293" s="34">
        <v>1</v>
      </c>
      <c r="M293" s="34">
        <v>1</v>
      </c>
      <c r="N293" s="34">
        <v>1</v>
      </c>
      <c r="O293" s="34">
        <v>1</v>
      </c>
      <c r="P293" s="34">
        <v>1</v>
      </c>
      <c r="Q293" s="34">
        <v>1</v>
      </c>
      <c r="R293" s="34">
        <v>1</v>
      </c>
      <c r="S293" s="34">
        <v>1</v>
      </c>
      <c r="T293" s="34">
        <v>1</v>
      </c>
      <c r="U293" s="34">
        <v>1</v>
      </c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10">
        <f t="shared" si="17"/>
        <v>14</v>
      </c>
      <c r="AM293" s="11">
        <v>32000</v>
      </c>
      <c r="AN293" s="12">
        <f t="shared" si="18"/>
        <v>448000</v>
      </c>
    </row>
    <row r="294" spans="1:40" ht="13.5" customHeight="1">
      <c r="A294" s="45" t="s">
        <v>62</v>
      </c>
      <c r="B294" s="32">
        <v>79</v>
      </c>
      <c r="C294" s="33" t="s">
        <v>711</v>
      </c>
      <c r="D294" s="33" t="s">
        <v>98</v>
      </c>
      <c r="E294" s="33" t="s">
        <v>229</v>
      </c>
      <c r="F294" s="32" t="s">
        <v>764</v>
      </c>
      <c r="G294" s="46"/>
      <c r="H294" s="34">
        <v>1</v>
      </c>
      <c r="I294" s="34">
        <v>1</v>
      </c>
      <c r="J294" s="34">
        <v>1</v>
      </c>
      <c r="K294" s="34">
        <v>1</v>
      </c>
      <c r="L294" s="34">
        <v>1</v>
      </c>
      <c r="M294" s="34">
        <v>1</v>
      </c>
      <c r="N294" s="34">
        <v>1</v>
      </c>
      <c r="O294" s="34">
        <v>1</v>
      </c>
      <c r="P294" s="34">
        <v>1</v>
      </c>
      <c r="Q294" s="34">
        <v>1</v>
      </c>
      <c r="R294" s="34">
        <v>1</v>
      </c>
      <c r="S294" s="34">
        <v>1</v>
      </c>
      <c r="T294" s="34">
        <v>1</v>
      </c>
      <c r="U294" s="34">
        <v>1</v>
      </c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10">
        <f t="shared" si="17"/>
        <v>14</v>
      </c>
      <c r="AM294" s="11">
        <v>32000</v>
      </c>
      <c r="AN294" s="12">
        <f t="shared" si="18"/>
        <v>448000</v>
      </c>
    </row>
    <row r="295" spans="1:40" ht="13.5" customHeight="1">
      <c r="A295" s="45" t="s">
        <v>62</v>
      </c>
      <c r="B295" s="32">
        <v>79</v>
      </c>
      <c r="C295" s="33" t="s">
        <v>765</v>
      </c>
      <c r="D295" s="33" t="s">
        <v>766</v>
      </c>
      <c r="E295" s="33" t="s">
        <v>371</v>
      </c>
      <c r="F295" s="32" t="s">
        <v>767</v>
      </c>
      <c r="G295" s="46"/>
      <c r="H295" s="34">
        <v>1</v>
      </c>
      <c r="I295" s="34">
        <v>1</v>
      </c>
      <c r="J295" s="34">
        <v>1</v>
      </c>
      <c r="K295" s="34">
        <v>1</v>
      </c>
      <c r="L295" s="34">
        <v>1</v>
      </c>
      <c r="M295" s="34">
        <v>1</v>
      </c>
      <c r="N295" s="34">
        <v>1</v>
      </c>
      <c r="O295" s="34">
        <v>1</v>
      </c>
      <c r="P295" s="34">
        <v>1</v>
      </c>
      <c r="Q295" s="34">
        <v>1</v>
      </c>
      <c r="R295" s="34">
        <v>1</v>
      </c>
      <c r="S295" s="34">
        <v>1</v>
      </c>
      <c r="T295" s="34">
        <v>1</v>
      </c>
      <c r="U295" s="34">
        <v>1</v>
      </c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10">
        <f t="shared" si="17"/>
        <v>14</v>
      </c>
      <c r="AM295" s="11">
        <v>32000</v>
      </c>
      <c r="AN295" s="12">
        <f t="shared" si="18"/>
        <v>448000</v>
      </c>
    </row>
    <row r="296" spans="1:40" ht="13.5" customHeight="1">
      <c r="A296" s="45" t="s">
        <v>62</v>
      </c>
      <c r="B296" s="32">
        <v>80</v>
      </c>
      <c r="C296" s="33" t="s">
        <v>768</v>
      </c>
      <c r="D296" s="33" t="s">
        <v>769</v>
      </c>
      <c r="E296" s="33" t="s">
        <v>371</v>
      </c>
      <c r="F296" s="32" t="s">
        <v>770</v>
      </c>
      <c r="G296" s="46"/>
      <c r="H296" s="34">
        <v>1</v>
      </c>
      <c r="I296" s="34">
        <v>1</v>
      </c>
      <c r="J296" s="34">
        <v>1</v>
      </c>
      <c r="K296" s="34">
        <v>1</v>
      </c>
      <c r="L296" s="34">
        <v>1</v>
      </c>
      <c r="M296" s="34">
        <v>1</v>
      </c>
      <c r="N296" s="34">
        <v>1</v>
      </c>
      <c r="O296" s="34">
        <v>1</v>
      </c>
      <c r="P296" s="34">
        <v>1</v>
      </c>
      <c r="Q296" s="34">
        <v>1</v>
      </c>
      <c r="R296" s="34">
        <v>1</v>
      </c>
      <c r="S296" s="34">
        <v>1</v>
      </c>
      <c r="T296" s="34">
        <v>1</v>
      </c>
      <c r="U296" s="34">
        <v>1</v>
      </c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10">
        <f t="shared" si="17"/>
        <v>14</v>
      </c>
      <c r="AM296" s="11">
        <v>32000</v>
      </c>
      <c r="AN296" s="12">
        <f t="shared" si="18"/>
        <v>448000</v>
      </c>
    </row>
    <row r="297" spans="1:40" ht="13.5" customHeight="1">
      <c r="A297" s="45" t="s">
        <v>62</v>
      </c>
      <c r="B297" s="32">
        <v>80</v>
      </c>
      <c r="C297" s="33" t="s">
        <v>84</v>
      </c>
      <c r="D297" s="33" t="s">
        <v>771</v>
      </c>
      <c r="E297" s="33" t="s">
        <v>772</v>
      </c>
      <c r="F297" s="32" t="s">
        <v>773</v>
      </c>
      <c r="G297" s="46"/>
      <c r="H297" s="34">
        <v>1</v>
      </c>
      <c r="I297" s="34">
        <v>1</v>
      </c>
      <c r="J297" s="34">
        <v>1</v>
      </c>
      <c r="K297" s="34">
        <v>1</v>
      </c>
      <c r="L297" s="34">
        <v>1</v>
      </c>
      <c r="M297" s="34">
        <v>1</v>
      </c>
      <c r="N297" s="34">
        <v>1</v>
      </c>
      <c r="O297" s="34">
        <v>1</v>
      </c>
      <c r="P297" s="34">
        <v>1</v>
      </c>
      <c r="Q297" s="34">
        <v>1</v>
      </c>
      <c r="R297" s="34">
        <v>1</v>
      </c>
      <c r="S297" s="34">
        <v>1</v>
      </c>
      <c r="T297" s="34">
        <v>1</v>
      </c>
      <c r="U297" s="34">
        <v>1</v>
      </c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10">
        <f t="shared" si="17"/>
        <v>14</v>
      </c>
      <c r="AM297" s="11">
        <v>32000</v>
      </c>
      <c r="AN297" s="12">
        <f t="shared" si="18"/>
        <v>448000</v>
      </c>
    </row>
    <row r="298" spans="1:40" ht="13.5" customHeight="1">
      <c r="A298" s="45" t="s">
        <v>62</v>
      </c>
      <c r="B298" s="32">
        <v>81</v>
      </c>
      <c r="C298" s="33" t="s">
        <v>364</v>
      </c>
      <c r="D298" s="33" t="s">
        <v>310</v>
      </c>
      <c r="E298" s="33" t="s">
        <v>774</v>
      </c>
      <c r="F298" s="32" t="s">
        <v>775</v>
      </c>
      <c r="G298" s="46"/>
      <c r="H298" s="34">
        <v>1</v>
      </c>
      <c r="I298" s="34">
        <v>1</v>
      </c>
      <c r="J298" s="34">
        <v>1</v>
      </c>
      <c r="K298" s="34">
        <v>1</v>
      </c>
      <c r="L298" s="34">
        <v>1</v>
      </c>
      <c r="M298" s="34">
        <v>1</v>
      </c>
      <c r="N298" s="34">
        <v>1</v>
      </c>
      <c r="O298" s="34">
        <v>1</v>
      </c>
      <c r="P298" s="34">
        <v>1</v>
      </c>
      <c r="Q298" s="34">
        <v>1</v>
      </c>
      <c r="R298" s="34">
        <v>1</v>
      </c>
      <c r="S298" s="34">
        <v>1</v>
      </c>
      <c r="T298" s="34">
        <v>1</v>
      </c>
      <c r="U298" s="34">
        <v>1</v>
      </c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10">
        <f t="shared" si="17"/>
        <v>14</v>
      </c>
      <c r="AM298" s="11">
        <v>32000</v>
      </c>
      <c r="AN298" s="12">
        <f t="shared" si="18"/>
        <v>448000</v>
      </c>
    </row>
    <row r="299" spans="1:40" ht="13.5" customHeight="1">
      <c r="A299" s="45" t="s">
        <v>62</v>
      </c>
      <c r="B299" s="32">
        <v>81</v>
      </c>
      <c r="C299" s="33" t="s">
        <v>591</v>
      </c>
      <c r="D299" s="33" t="s">
        <v>72</v>
      </c>
      <c r="E299" s="33" t="s">
        <v>776</v>
      </c>
      <c r="F299" s="32" t="s">
        <v>777</v>
      </c>
      <c r="G299" s="46"/>
      <c r="H299" s="34">
        <v>1</v>
      </c>
      <c r="I299" s="34">
        <v>1</v>
      </c>
      <c r="J299" s="34">
        <v>1</v>
      </c>
      <c r="K299" s="34">
        <v>1</v>
      </c>
      <c r="L299" s="34">
        <v>1</v>
      </c>
      <c r="M299" s="34">
        <v>1</v>
      </c>
      <c r="N299" s="34">
        <v>1</v>
      </c>
      <c r="O299" s="34">
        <v>1</v>
      </c>
      <c r="P299" s="34">
        <v>1</v>
      </c>
      <c r="Q299" s="34">
        <v>1</v>
      </c>
      <c r="R299" s="34">
        <v>1</v>
      </c>
      <c r="S299" s="34">
        <v>1</v>
      </c>
      <c r="T299" s="34">
        <v>1</v>
      </c>
      <c r="U299" s="34">
        <v>1</v>
      </c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10">
        <f t="shared" si="17"/>
        <v>14</v>
      </c>
      <c r="AM299" s="11">
        <v>32000</v>
      </c>
      <c r="AN299" s="12">
        <f t="shared" si="18"/>
        <v>448000</v>
      </c>
    </row>
    <row r="300" spans="1:40" ht="13.5" customHeight="1">
      <c r="A300" s="45" t="s">
        <v>62</v>
      </c>
      <c r="B300" s="32">
        <v>83</v>
      </c>
      <c r="C300" s="33" t="s">
        <v>778</v>
      </c>
      <c r="D300" s="33" t="s">
        <v>779</v>
      </c>
      <c r="E300" s="33" t="s">
        <v>28</v>
      </c>
      <c r="F300" s="32" t="s">
        <v>780</v>
      </c>
      <c r="G300" s="46"/>
      <c r="H300" s="34">
        <v>1</v>
      </c>
      <c r="I300" s="34">
        <v>1</v>
      </c>
      <c r="J300" s="34">
        <v>1</v>
      </c>
      <c r="K300" s="34">
        <v>1</v>
      </c>
      <c r="L300" s="34">
        <v>1</v>
      </c>
      <c r="M300" s="34">
        <v>1</v>
      </c>
      <c r="N300" s="34">
        <v>1</v>
      </c>
      <c r="O300" s="34">
        <v>1</v>
      </c>
      <c r="P300" s="34">
        <v>1</v>
      </c>
      <c r="Q300" s="34">
        <v>1</v>
      </c>
      <c r="R300" s="34">
        <v>1</v>
      </c>
      <c r="S300" s="34">
        <v>1</v>
      </c>
      <c r="T300" s="34">
        <v>1</v>
      </c>
      <c r="U300" s="34">
        <v>1</v>
      </c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10">
        <f t="shared" si="17"/>
        <v>14</v>
      </c>
      <c r="AM300" s="11">
        <v>32000</v>
      </c>
      <c r="AN300" s="12">
        <f t="shared" si="18"/>
        <v>448000</v>
      </c>
    </row>
    <row r="301" spans="1:40" ht="13.5" customHeight="1">
      <c r="A301" s="45" t="s">
        <v>62</v>
      </c>
      <c r="B301" s="32">
        <v>83</v>
      </c>
      <c r="C301" s="33" t="s">
        <v>145</v>
      </c>
      <c r="D301" s="33" t="s">
        <v>457</v>
      </c>
      <c r="E301" s="33" t="s">
        <v>140</v>
      </c>
      <c r="F301" s="32" t="s">
        <v>781</v>
      </c>
      <c r="G301" s="46"/>
      <c r="H301" s="34">
        <v>1</v>
      </c>
      <c r="I301" s="34">
        <v>1</v>
      </c>
      <c r="J301" s="34">
        <v>1</v>
      </c>
      <c r="K301" s="34">
        <v>1</v>
      </c>
      <c r="L301" s="34">
        <v>1</v>
      </c>
      <c r="M301" s="34">
        <v>1</v>
      </c>
      <c r="N301" s="34">
        <v>1</v>
      </c>
      <c r="O301" s="34">
        <v>1</v>
      </c>
      <c r="P301" s="34">
        <v>1</v>
      </c>
      <c r="Q301" s="34">
        <v>1</v>
      </c>
      <c r="R301" s="34">
        <v>1</v>
      </c>
      <c r="S301" s="34">
        <v>1</v>
      </c>
      <c r="T301" s="34">
        <v>1</v>
      </c>
      <c r="U301" s="34">
        <v>1</v>
      </c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10">
        <f t="shared" si="17"/>
        <v>14</v>
      </c>
      <c r="AM301" s="11">
        <v>32000</v>
      </c>
      <c r="AN301" s="12">
        <f t="shared" si="18"/>
        <v>448000</v>
      </c>
    </row>
    <row r="302" spans="1:40" ht="13.5" customHeight="1">
      <c r="A302" s="45" t="s">
        <v>62</v>
      </c>
      <c r="B302" s="32">
        <v>84</v>
      </c>
      <c r="C302" s="33" t="s">
        <v>782</v>
      </c>
      <c r="D302" s="33" t="s">
        <v>19</v>
      </c>
      <c r="E302" s="33" t="s">
        <v>266</v>
      </c>
      <c r="F302" s="32" t="s">
        <v>783</v>
      </c>
      <c r="G302" s="46"/>
      <c r="H302" s="34">
        <v>1</v>
      </c>
      <c r="I302" s="34">
        <v>1</v>
      </c>
      <c r="J302" s="34">
        <v>1</v>
      </c>
      <c r="K302" s="34">
        <v>1</v>
      </c>
      <c r="L302" s="34">
        <v>1</v>
      </c>
      <c r="M302" s="34">
        <v>1</v>
      </c>
      <c r="N302" s="34">
        <v>1</v>
      </c>
      <c r="O302" s="34">
        <v>1</v>
      </c>
      <c r="P302" s="34">
        <v>1</v>
      </c>
      <c r="Q302" s="34">
        <v>1</v>
      </c>
      <c r="R302" s="34">
        <v>1</v>
      </c>
      <c r="S302" s="34">
        <v>1</v>
      </c>
      <c r="T302" s="34">
        <v>1</v>
      </c>
      <c r="U302" s="34">
        <v>1</v>
      </c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10">
        <f t="shared" ref="AL302:AL333" si="19">SUM(G302:AK302)</f>
        <v>14</v>
      </c>
      <c r="AM302" s="11">
        <v>32000</v>
      </c>
      <c r="AN302" s="12">
        <f t="shared" ref="AN302:AN333" si="20">AM302*AL302</f>
        <v>448000</v>
      </c>
    </row>
    <row r="303" spans="1:40" ht="13.5" customHeight="1">
      <c r="A303" s="45" t="s">
        <v>62</v>
      </c>
      <c r="B303" s="32">
        <v>84</v>
      </c>
      <c r="C303" s="33" t="s">
        <v>91</v>
      </c>
      <c r="D303" s="33" t="s">
        <v>297</v>
      </c>
      <c r="E303" s="33" t="s">
        <v>11</v>
      </c>
      <c r="F303" s="32" t="s">
        <v>784</v>
      </c>
      <c r="G303" s="46"/>
      <c r="H303" s="34">
        <v>1</v>
      </c>
      <c r="I303" s="34">
        <v>1</v>
      </c>
      <c r="J303" s="34">
        <v>1</v>
      </c>
      <c r="K303" s="34">
        <v>1</v>
      </c>
      <c r="L303" s="34">
        <v>1</v>
      </c>
      <c r="M303" s="34">
        <v>1</v>
      </c>
      <c r="N303" s="34">
        <v>1</v>
      </c>
      <c r="O303" s="34">
        <v>1</v>
      </c>
      <c r="P303" s="34">
        <v>1</v>
      </c>
      <c r="Q303" s="34">
        <v>1</v>
      </c>
      <c r="R303" s="34">
        <v>1</v>
      </c>
      <c r="S303" s="34">
        <v>1</v>
      </c>
      <c r="T303" s="34">
        <v>1</v>
      </c>
      <c r="U303" s="34">
        <v>1</v>
      </c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10">
        <f t="shared" si="19"/>
        <v>14</v>
      </c>
      <c r="AM303" s="11">
        <v>32000</v>
      </c>
      <c r="AN303" s="12">
        <f t="shared" si="20"/>
        <v>448000</v>
      </c>
    </row>
    <row r="304" spans="1:40" ht="13.5" customHeight="1">
      <c r="A304" s="45" t="s">
        <v>62</v>
      </c>
      <c r="B304" s="32">
        <v>85</v>
      </c>
      <c r="C304" s="33" t="s">
        <v>785</v>
      </c>
      <c r="D304" s="33" t="s">
        <v>176</v>
      </c>
      <c r="E304" s="33" t="s">
        <v>625</v>
      </c>
      <c r="F304" s="32" t="s">
        <v>786</v>
      </c>
      <c r="G304" s="46"/>
      <c r="H304" s="34">
        <v>1</v>
      </c>
      <c r="I304" s="34">
        <v>1</v>
      </c>
      <c r="J304" s="34">
        <v>1</v>
      </c>
      <c r="K304" s="34">
        <v>1</v>
      </c>
      <c r="L304" s="34">
        <v>1</v>
      </c>
      <c r="M304" s="34">
        <v>1</v>
      </c>
      <c r="N304" s="34">
        <v>1</v>
      </c>
      <c r="O304" s="34">
        <v>1</v>
      </c>
      <c r="P304" s="34">
        <v>1</v>
      </c>
      <c r="Q304" s="34">
        <v>1</v>
      </c>
      <c r="R304" s="34">
        <v>1</v>
      </c>
      <c r="S304" s="34">
        <v>1</v>
      </c>
      <c r="T304" s="34">
        <v>1</v>
      </c>
      <c r="U304" s="34">
        <v>1</v>
      </c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10">
        <f t="shared" si="19"/>
        <v>14</v>
      </c>
      <c r="AM304" s="11">
        <v>32000</v>
      </c>
      <c r="AN304" s="12">
        <f t="shared" si="20"/>
        <v>448000</v>
      </c>
    </row>
    <row r="305" spans="1:40" ht="13.5" customHeight="1">
      <c r="A305" s="45" t="s">
        <v>62</v>
      </c>
      <c r="B305" s="32">
        <v>85</v>
      </c>
      <c r="C305" s="33" t="s">
        <v>88</v>
      </c>
      <c r="D305" s="33" t="s">
        <v>787</v>
      </c>
      <c r="E305" s="33" t="s">
        <v>46</v>
      </c>
      <c r="F305" s="32" t="s">
        <v>788</v>
      </c>
      <c r="G305" s="46"/>
      <c r="H305" s="34">
        <v>1</v>
      </c>
      <c r="I305" s="34">
        <v>1</v>
      </c>
      <c r="J305" s="34">
        <v>1</v>
      </c>
      <c r="K305" s="34">
        <v>1</v>
      </c>
      <c r="L305" s="34">
        <v>1</v>
      </c>
      <c r="M305" s="34">
        <v>1</v>
      </c>
      <c r="N305" s="34">
        <v>1</v>
      </c>
      <c r="O305" s="34">
        <v>1</v>
      </c>
      <c r="P305" s="34">
        <v>1</v>
      </c>
      <c r="Q305" s="34">
        <v>1</v>
      </c>
      <c r="R305" s="34">
        <v>1</v>
      </c>
      <c r="S305" s="34">
        <v>1</v>
      </c>
      <c r="T305" s="34">
        <v>1</v>
      </c>
      <c r="U305" s="34">
        <v>1</v>
      </c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10">
        <f t="shared" si="19"/>
        <v>14</v>
      </c>
      <c r="AM305" s="11">
        <v>32000</v>
      </c>
      <c r="AN305" s="12">
        <f t="shared" si="20"/>
        <v>448000</v>
      </c>
    </row>
    <row r="306" spans="1:40" ht="13.5" customHeight="1">
      <c r="A306" s="45" t="s">
        <v>62</v>
      </c>
      <c r="B306" s="32">
        <v>86</v>
      </c>
      <c r="C306" s="33" t="s">
        <v>13</v>
      </c>
      <c r="D306" s="33" t="s">
        <v>26</v>
      </c>
      <c r="E306" s="33" t="s">
        <v>11</v>
      </c>
      <c r="F306" s="32" t="s">
        <v>789</v>
      </c>
      <c r="G306" s="46"/>
      <c r="H306" s="34">
        <v>1</v>
      </c>
      <c r="I306" s="34">
        <v>1</v>
      </c>
      <c r="J306" s="34">
        <v>1</v>
      </c>
      <c r="K306" s="34">
        <v>1</v>
      </c>
      <c r="L306" s="34">
        <v>1</v>
      </c>
      <c r="M306" s="34">
        <v>1</v>
      </c>
      <c r="N306" s="34">
        <v>1</v>
      </c>
      <c r="O306" s="34">
        <v>1</v>
      </c>
      <c r="P306" s="34">
        <v>1</v>
      </c>
      <c r="Q306" s="34">
        <v>1</v>
      </c>
      <c r="R306" s="34">
        <v>1</v>
      </c>
      <c r="S306" s="34">
        <v>1</v>
      </c>
      <c r="T306" s="34">
        <v>1</v>
      </c>
      <c r="U306" s="34">
        <v>1</v>
      </c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10">
        <f t="shared" si="19"/>
        <v>14</v>
      </c>
      <c r="AM306" s="11">
        <v>32000</v>
      </c>
      <c r="AN306" s="12">
        <f t="shared" si="20"/>
        <v>448000</v>
      </c>
    </row>
    <row r="307" spans="1:40" ht="13.5" customHeight="1">
      <c r="A307" s="45" t="s">
        <v>62</v>
      </c>
      <c r="B307" s="32">
        <v>86</v>
      </c>
      <c r="C307" s="33" t="s">
        <v>122</v>
      </c>
      <c r="D307" s="33"/>
      <c r="E307" s="33" t="s">
        <v>182</v>
      </c>
      <c r="F307" s="32" t="s">
        <v>790</v>
      </c>
      <c r="G307" s="46"/>
      <c r="H307" s="34">
        <v>1</v>
      </c>
      <c r="I307" s="34">
        <v>1</v>
      </c>
      <c r="J307" s="34">
        <v>1</v>
      </c>
      <c r="K307" s="34">
        <v>1</v>
      </c>
      <c r="L307" s="34">
        <v>1</v>
      </c>
      <c r="M307" s="34">
        <v>1</v>
      </c>
      <c r="N307" s="34">
        <v>1</v>
      </c>
      <c r="O307" s="34">
        <v>1</v>
      </c>
      <c r="P307" s="34">
        <v>1</v>
      </c>
      <c r="Q307" s="34">
        <v>1</v>
      </c>
      <c r="R307" s="34">
        <v>1</v>
      </c>
      <c r="S307" s="34">
        <v>1</v>
      </c>
      <c r="T307" s="34">
        <v>1</v>
      </c>
      <c r="U307" s="34">
        <v>1</v>
      </c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10">
        <f t="shared" si="19"/>
        <v>14</v>
      </c>
      <c r="AM307" s="11">
        <v>32000</v>
      </c>
      <c r="AN307" s="12">
        <f t="shared" si="20"/>
        <v>448000</v>
      </c>
    </row>
    <row r="308" spans="1:40" ht="13.5" customHeight="1">
      <c r="A308" s="45" t="s">
        <v>62</v>
      </c>
      <c r="B308" s="32">
        <v>88</v>
      </c>
      <c r="C308" s="33" t="s">
        <v>791</v>
      </c>
      <c r="D308" s="33" t="s">
        <v>792</v>
      </c>
      <c r="E308" s="33" t="s">
        <v>793</v>
      </c>
      <c r="F308" s="32" t="s">
        <v>794</v>
      </c>
      <c r="G308" s="46"/>
      <c r="H308" s="34">
        <v>1</v>
      </c>
      <c r="I308" s="34">
        <v>1</v>
      </c>
      <c r="J308" s="34">
        <v>1</v>
      </c>
      <c r="K308" s="34">
        <v>1</v>
      </c>
      <c r="L308" s="34">
        <v>1</v>
      </c>
      <c r="M308" s="34">
        <v>1</v>
      </c>
      <c r="N308" s="34">
        <v>1</v>
      </c>
      <c r="O308" s="34">
        <v>1</v>
      </c>
      <c r="P308" s="34">
        <v>1</v>
      </c>
      <c r="Q308" s="34">
        <v>1</v>
      </c>
      <c r="R308" s="34">
        <v>1</v>
      </c>
      <c r="S308" s="34">
        <v>1</v>
      </c>
      <c r="T308" s="34">
        <v>1</v>
      </c>
      <c r="U308" s="34">
        <v>1</v>
      </c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10">
        <f t="shared" si="19"/>
        <v>14</v>
      </c>
      <c r="AM308" s="11">
        <v>32000</v>
      </c>
      <c r="AN308" s="12">
        <f t="shared" si="20"/>
        <v>448000</v>
      </c>
    </row>
    <row r="309" spans="1:40" ht="13.5" customHeight="1">
      <c r="A309" s="45" t="s">
        <v>62</v>
      </c>
      <c r="B309" s="32">
        <v>88</v>
      </c>
      <c r="C309" s="33" t="s">
        <v>327</v>
      </c>
      <c r="D309" s="33" t="s">
        <v>456</v>
      </c>
      <c r="E309" s="33" t="s">
        <v>795</v>
      </c>
      <c r="F309" s="32" t="s">
        <v>796</v>
      </c>
      <c r="G309" s="46"/>
      <c r="H309" s="34">
        <v>1</v>
      </c>
      <c r="I309" s="34">
        <v>1</v>
      </c>
      <c r="J309" s="34">
        <v>1</v>
      </c>
      <c r="K309" s="34">
        <v>1</v>
      </c>
      <c r="L309" s="34">
        <v>1</v>
      </c>
      <c r="M309" s="34">
        <v>1</v>
      </c>
      <c r="N309" s="34">
        <v>1</v>
      </c>
      <c r="O309" s="34">
        <v>1</v>
      </c>
      <c r="P309" s="34">
        <v>1</v>
      </c>
      <c r="Q309" s="34">
        <v>1</v>
      </c>
      <c r="R309" s="34">
        <v>1</v>
      </c>
      <c r="S309" s="34">
        <v>1</v>
      </c>
      <c r="T309" s="34">
        <v>1</v>
      </c>
      <c r="U309" s="34">
        <v>1</v>
      </c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10">
        <f t="shared" si="19"/>
        <v>14</v>
      </c>
      <c r="AM309" s="11">
        <v>32000</v>
      </c>
      <c r="AN309" s="12">
        <f t="shared" si="20"/>
        <v>448000</v>
      </c>
    </row>
    <row r="310" spans="1:40" ht="13.5" customHeight="1">
      <c r="A310" s="45" t="s">
        <v>62</v>
      </c>
      <c r="B310" s="32">
        <v>90</v>
      </c>
      <c r="C310" s="33" t="s">
        <v>750</v>
      </c>
      <c r="D310" s="33" t="s">
        <v>119</v>
      </c>
      <c r="E310" s="33" t="s">
        <v>28</v>
      </c>
      <c r="F310" s="32" t="s">
        <v>797</v>
      </c>
      <c r="G310" s="46"/>
      <c r="H310" s="34">
        <v>1</v>
      </c>
      <c r="I310" s="34">
        <v>1</v>
      </c>
      <c r="J310" s="34">
        <v>1</v>
      </c>
      <c r="K310" s="34">
        <v>1</v>
      </c>
      <c r="L310" s="34">
        <v>1</v>
      </c>
      <c r="M310" s="34">
        <v>1</v>
      </c>
      <c r="N310" s="34">
        <v>1</v>
      </c>
      <c r="O310" s="34">
        <v>1</v>
      </c>
      <c r="P310" s="34">
        <v>1</v>
      </c>
      <c r="Q310" s="34">
        <v>1</v>
      </c>
      <c r="R310" s="34">
        <v>1</v>
      </c>
      <c r="S310" s="34">
        <v>1</v>
      </c>
      <c r="T310" s="34">
        <v>1</v>
      </c>
      <c r="U310" s="34">
        <v>1</v>
      </c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10">
        <f t="shared" si="19"/>
        <v>14</v>
      </c>
      <c r="AM310" s="11">
        <v>32000</v>
      </c>
      <c r="AN310" s="12">
        <f t="shared" si="20"/>
        <v>448000</v>
      </c>
    </row>
    <row r="311" spans="1:40" ht="13.5" customHeight="1">
      <c r="A311" s="45" t="s">
        <v>62</v>
      </c>
      <c r="B311" s="32">
        <v>90</v>
      </c>
      <c r="C311" s="33" t="s">
        <v>798</v>
      </c>
      <c r="D311" s="33" t="s">
        <v>19</v>
      </c>
      <c r="E311" s="33" t="s">
        <v>799</v>
      </c>
      <c r="F311" s="32" t="s">
        <v>800</v>
      </c>
      <c r="G311" s="46"/>
      <c r="H311" s="34">
        <v>1</v>
      </c>
      <c r="I311" s="34">
        <v>1</v>
      </c>
      <c r="J311" s="34">
        <v>1</v>
      </c>
      <c r="K311" s="34">
        <v>1</v>
      </c>
      <c r="L311" s="34">
        <v>1</v>
      </c>
      <c r="M311" s="34">
        <v>1</v>
      </c>
      <c r="N311" s="34">
        <v>1</v>
      </c>
      <c r="O311" s="34">
        <v>1</v>
      </c>
      <c r="P311" s="34">
        <v>1</v>
      </c>
      <c r="Q311" s="34">
        <v>1</v>
      </c>
      <c r="R311" s="34">
        <v>1</v>
      </c>
      <c r="S311" s="34">
        <v>1</v>
      </c>
      <c r="T311" s="34">
        <v>1</v>
      </c>
      <c r="U311" s="34">
        <v>1</v>
      </c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10">
        <f t="shared" si="19"/>
        <v>14</v>
      </c>
      <c r="AM311" s="11">
        <v>32000</v>
      </c>
      <c r="AN311" s="12">
        <f t="shared" si="20"/>
        <v>448000</v>
      </c>
    </row>
    <row r="312" spans="1:40" ht="13.5" customHeight="1">
      <c r="A312" s="45" t="s">
        <v>62</v>
      </c>
      <c r="B312" s="32">
        <v>91</v>
      </c>
      <c r="C312" s="33" t="s">
        <v>125</v>
      </c>
      <c r="D312" s="33" t="s">
        <v>125</v>
      </c>
      <c r="E312" s="33" t="s">
        <v>96</v>
      </c>
      <c r="F312" s="32" t="s">
        <v>801</v>
      </c>
      <c r="G312" s="46"/>
      <c r="H312" s="34">
        <v>1</v>
      </c>
      <c r="I312" s="34">
        <v>1</v>
      </c>
      <c r="J312" s="34">
        <v>1</v>
      </c>
      <c r="K312" s="34">
        <v>1</v>
      </c>
      <c r="L312" s="34">
        <v>1</v>
      </c>
      <c r="M312" s="34">
        <v>1</v>
      </c>
      <c r="N312" s="34">
        <v>1</v>
      </c>
      <c r="O312" s="34">
        <v>1</v>
      </c>
      <c r="P312" s="34">
        <v>1</v>
      </c>
      <c r="Q312" s="34">
        <v>1</v>
      </c>
      <c r="R312" s="34">
        <v>1</v>
      </c>
      <c r="S312" s="34">
        <v>1</v>
      </c>
      <c r="T312" s="34">
        <v>1</v>
      </c>
      <c r="U312" s="34">
        <v>1</v>
      </c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10">
        <f t="shared" si="19"/>
        <v>14</v>
      </c>
      <c r="AM312" s="11">
        <v>32000</v>
      </c>
      <c r="AN312" s="12">
        <f t="shared" si="20"/>
        <v>448000</v>
      </c>
    </row>
    <row r="313" spans="1:40" ht="13.5" customHeight="1">
      <c r="A313" s="45" t="s">
        <v>62</v>
      </c>
      <c r="B313" s="32">
        <v>91</v>
      </c>
      <c r="C313" s="33" t="s">
        <v>802</v>
      </c>
      <c r="D313" s="33" t="s">
        <v>400</v>
      </c>
      <c r="E313" s="33" t="s">
        <v>803</v>
      </c>
      <c r="F313" s="32" t="s">
        <v>804</v>
      </c>
      <c r="G313" s="46"/>
      <c r="H313" s="34">
        <v>1</v>
      </c>
      <c r="I313" s="34">
        <v>1</v>
      </c>
      <c r="J313" s="34">
        <v>1</v>
      </c>
      <c r="K313" s="34">
        <v>1</v>
      </c>
      <c r="L313" s="34">
        <v>1</v>
      </c>
      <c r="M313" s="34">
        <v>1</v>
      </c>
      <c r="N313" s="34">
        <v>1</v>
      </c>
      <c r="O313" s="34">
        <v>1</v>
      </c>
      <c r="P313" s="34">
        <v>1</v>
      </c>
      <c r="Q313" s="34">
        <v>1</v>
      </c>
      <c r="R313" s="34">
        <v>1</v>
      </c>
      <c r="S313" s="34">
        <v>1</v>
      </c>
      <c r="T313" s="34">
        <v>1</v>
      </c>
      <c r="U313" s="34">
        <v>1</v>
      </c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10">
        <f t="shared" si="19"/>
        <v>14</v>
      </c>
      <c r="AM313" s="11">
        <v>32000</v>
      </c>
      <c r="AN313" s="12">
        <f t="shared" si="20"/>
        <v>448000</v>
      </c>
    </row>
    <row r="314" spans="1:40" ht="13.5" customHeight="1">
      <c r="A314" s="45" t="s">
        <v>62</v>
      </c>
      <c r="B314" s="32">
        <v>92</v>
      </c>
      <c r="C314" s="33" t="s">
        <v>805</v>
      </c>
      <c r="D314" s="33" t="s">
        <v>183</v>
      </c>
      <c r="E314" s="33" t="s">
        <v>184</v>
      </c>
      <c r="F314" s="32" t="s">
        <v>806</v>
      </c>
      <c r="G314" s="46"/>
      <c r="H314" s="34">
        <v>1</v>
      </c>
      <c r="I314" s="34">
        <v>1</v>
      </c>
      <c r="J314" s="34">
        <v>1</v>
      </c>
      <c r="K314" s="34">
        <v>1</v>
      </c>
      <c r="L314" s="34">
        <v>1</v>
      </c>
      <c r="M314" s="34">
        <v>1</v>
      </c>
      <c r="N314" s="34">
        <v>1</v>
      </c>
      <c r="O314" s="34">
        <v>1</v>
      </c>
      <c r="P314" s="34">
        <v>1</v>
      </c>
      <c r="Q314" s="34">
        <v>1</v>
      </c>
      <c r="R314" s="34">
        <v>1</v>
      </c>
      <c r="S314" s="34">
        <v>1</v>
      </c>
      <c r="T314" s="34">
        <v>1</v>
      </c>
      <c r="U314" s="34">
        <v>1</v>
      </c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10">
        <f t="shared" si="19"/>
        <v>14</v>
      </c>
      <c r="AM314" s="11">
        <v>32000</v>
      </c>
      <c r="AN314" s="12">
        <f t="shared" si="20"/>
        <v>448000</v>
      </c>
    </row>
    <row r="315" spans="1:40" ht="13.5" customHeight="1">
      <c r="A315" s="45" t="s">
        <v>62</v>
      </c>
      <c r="B315" s="32">
        <v>92</v>
      </c>
      <c r="C315" s="33" t="s">
        <v>807</v>
      </c>
      <c r="D315" s="33" t="s">
        <v>166</v>
      </c>
      <c r="E315" s="33" t="s">
        <v>808</v>
      </c>
      <c r="F315" s="32" t="s">
        <v>809</v>
      </c>
      <c r="G315" s="46"/>
      <c r="H315" s="34">
        <v>1</v>
      </c>
      <c r="I315" s="34">
        <v>1</v>
      </c>
      <c r="J315" s="34">
        <v>1</v>
      </c>
      <c r="K315" s="34">
        <v>1</v>
      </c>
      <c r="L315" s="34">
        <v>1</v>
      </c>
      <c r="M315" s="34">
        <v>1</v>
      </c>
      <c r="N315" s="34">
        <v>1</v>
      </c>
      <c r="O315" s="34">
        <v>1</v>
      </c>
      <c r="P315" s="34">
        <v>1</v>
      </c>
      <c r="Q315" s="34">
        <v>1</v>
      </c>
      <c r="R315" s="34">
        <v>1</v>
      </c>
      <c r="S315" s="34">
        <v>1</v>
      </c>
      <c r="T315" s="34">
        <v>1</v>
      </c>
      <c r="U315" s="34">
        <v>1</v>
      </c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10">
        <f t="shared" si="19"/>
        <v>14</v>
      </c>
      <c r="AM315" s="11">
        <v>32000</v>
      </c>
      <c r="AN315" s="12">
        <f t="shared" si="20"/>
        <v>448000</v>
      </c>
    </row>
    <row r="316" spans="1:40" ht="13.5" customHeight="1">
      <c r="A316" s="45" t="s">
        <v>62</v>
      </c>
      <c r="B316" s="32">
        <v>93</v>
      </c>
      <c r="C316" s="33" t="s">
        <v>810</v>
      </c>
      <c r="D316" s="33" t="s">
        <v>798</v>
      </c>
      <c r="E316" s="33" t="s">
        <v>135</v>
      </c>
      <c r="F316" s="32" t="s">
        <v>811</v>
      </c>
      <c r="G316" s="46"/>
      <c r="H316" s="34">
        <v>1</v>
      </c>
      <c r="I316" s="34">
        <v>1</v>
      </c>
      <c r="J316" s="34">
        <v>1</v>
      </c>
      <c r="K316" s="34">
        <v>1</v>
      </c>
      <c r="L316" s="34">
        <v>1</v>
      </c>
      <c r="M316" s="34">
        <v>1</v>
      </c>
      <c r="N316" s="34">
        <v>1</v>
      </c>
      <c r="O316" s="34">
        <v>1</v>
      </c>
      <c r="P316" s="34">
        <v>1</v>
      </c>
      <c r="Q316" s="34">
        <v>1</v>
      </c>
      <c r="R316" s="34">
        <v>1</v>
      </c>
      <c r="S316" s="34">
        <v>1</v>
      </c>
      <c r="T316" s="34">
        <v>1</v>
      </c>
      <c r="U316" s="34">
        <v>1</v>
      </c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10">
        <f t="shared" si="19"/>
        <v>14</v>
      </c>
      <c r="AM316" s="11">
        <v>32000</v>
      </c>
      <c r="AN316" s="12">
        <f t="shared" si="20"/>
        <v>448000</v>
      </c>
    </row>
    <row r="317" spans="1:40" ht="13.5" customHeight="1">
      <c r="A317" s="45" t="s">
        <v>62</v>
      </c>
      <c r="B317" s="32">
        <v>93</v>
      </c>
      <c r="C317" s="33" t="s">
        <v>139</v>
      </c>
      <c r="D317" s="33" t="s">
        <v>812</v>
      </c>
      <c r="E317" s="33" t="s">
        <v>140</v>
      </c>
      <c r="F317" s="32" t="s">
        <v>813</v>
      </c>
      <c r="G317" s="46"/>
      <c r="H317" s="34">
        <v>1</v>
      </c>
      <c r="I317" s="34">
        <v>1</v>
      </c>
      <c r="J317" s="34">
        <v>1</v>
      </c>
      <c r="K317" s="34">
        <v>1</v>
      </c>
      <c r="L317" s="34">
        <v>1</v>
      </c>
      <c r="M317" s="34">
        <v>1</v>
      </c>
      <c r="N317" s="34">
        <v>1</v>
      </c>
      <c r="O317" s="34">
        <v>1</v>
      </c>
      <c r="P317" s="34">
        <v>1</v>
      </c>
      <c r="Q317" s="34">
        <v>1</v>
      </c>
      <c r="R317" s="34">
        <v>1</v>
      </c>
      <c r="S317" s="34">
        <v>1</v>
      </c>
      <c r="T317" s="34">
        <v>1</v>
      </c>
      <c r="U317" s="34">
        <v>1</v>
      </c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10">
        <f t="shared" si="19"/>
        <v>14</v>
      </c>
      <c r="AM317" s="11">
        <v>32000</v>
      </c>
      <c r="AN317" s="12">
        <f t="shared" si="20"/>
        <v>448000</v>
      </c>
    </row>
    <row r="318" spans="1:40" ht="13.5" customHeight="1">
      <c r="A318" s="45" t="s">
        <v>62</v>
      </c>
      <c r="B318" s="32">
        <v>96</v>
      </c>
      <c r="C318" s="33" t="s">
        <v>814</v>
      </c>
      <c r="D318" s="33" t="s">
        <v>38</v>
      </c>
      <c r="E318" s="33" t="s">
        <v>9</v>
      </c>
      <c r="F318" s="32" t="s">
        <v>815</v>
      </c>
      <c r="G318" s="46"/>
      <c r="H318" s="34">
        <v>1</v>
      </c>
      <c r="I318" s="34">
        <v>1</v>
      </c>
      <c r="J318" s="34">
        <v>1</v>
      </c>
      <c r="K318" s="34">
        <v>1</v>
      </c>
      <c r="L318" s="34">
        <v>1</v>
      </c>
      <c r="M318" s="34">
        <v>1</v>
      </c>
      <c r="N318" s="34">
        <v>1</v>
      </c>
      <c r="O318" s="34">
        <v>1</v>
      </c>
      <c r="P318" s="34">
        <v>1</v>
      </c>
      <c r="Q318" s="34">
        <v>1</v>
      </c>
      <c r="R318" s="34">
        <v>1</v>
      </c>
      <c r="S318" s="34">
        <v>1</v>
      </c>
      <c r="T318" s="34">
        <v>1</v>
      </c>
      <c r="U318" s="34">
        <v>1</v>
      </c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10">
        <f t="shared" si="19"/>
        <v>14</v>
      </c>
      <c r="AM318" s="11">
        <v>32000</v>
      </c>
      <c r="AN318" s="12">
        <f t="shared" si="20"/>
        <v>448000</v>
      </c>
    </row>
    <row r="319" spans="1:40" ht="13.5" customHeight="1">
      <c r="A319" s="45" t="s">
        <v>62</v>
      </c>
      <c r="B319" s="32">
        <v>96</v>
      </c>
      <c r="C319" s="33" t="s">
        <v>8</v>
      </c>
      <c r="D319" s="33" t="s">
        <v>816</v>
      </c>
      <c r="E319" s="33" t="s">
        <v>234</v>
      </c>
      <c r="F319" s="32" t="s">
        <v>817</v>
      </c>
      <c r="G319" s="46"/>
      <c r="H319" s="34">
        <v>1</v>
      </c>
      <c r="I319" s="34">
        <v>1</v>
      </c>
      <c r="J319" s="34">
        <v>1</v>
      </c>
      <c r="K319" s="34">
        <v>1</v>
      </c>
      <c r="L319" s="34">
        <v>1</v>
      </c>
      <c r="M319" s="34">
        <v>1</v>
      </c>
      <c r="N319" s="34">
        <v>1</v>
      </c>
      <c r="O319" s="34">
        <v>1</v>
      </c>
      <c r="P319" s="34">
        <v>1</v>
      </c>
      <c r="Q319" s="34">
        <v>1</v>
      </c>
      <c r="R319" s="34">
        <v>1</v>
      </c>
      <c r="S319" s="34">
        <v>1</v>
      </c>
      <c r="T319" s="34">
        <v>1</v>
      </c>
      <c r="U319" s="34">
        <v>1</v>
      </c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10">
        <f t="shared" si="19"/>
        <v>14</v>
      </c>
      <c r="AM319" s="11">
        <v>32000</v>
      </c>
      <c r="AN319" s="12">
        <f t="shared" si="20"/>
        <v>448000</v>
      </c>
    </row>
    <row r="320" spans="1:40" ht="13.5" customHeight="1">
      <c r="A320" s="45" t="s">
        <v>62</v>
      </c>
      <c r="B320" s="32">
        <v>97</v>
      </c>
      <c r="C320" s="33" t="s">
        <v>720</v>
      </c>
      <c r="D320" s="33" t="s">
        <v>720</v>
      </c>
      <c r="E320" s="33" t="s">
        <v>140</v>
      </c>
      <c r="F320" s="32" t="s">
        <v>818</v>
      </c>
      <c r="G320" s="46"/>
      <c r="H320" s="34">
        <v>1</v>
      </c>
      <c r="I320" s="34">
        <v>1</v>
      </c>
      <c r="J320" s="34">
        <v>1</v>
      </c>
      <c r="K320" s="34">
        <v>1</v>
      </c>
      <c r="L320" s="34">
        <v>1</v>
      </c>
      <c r="M320" s="34">
        <v>1</v>
      </c>
      <c r="N320" s="34">
        <v>1</v>
      </c>
      <c r="O320" s="34">
        <v>1</v>
      </c>
      <c r="P320" s="34">
        <v>1</v>
      </c>
      <c r="Q320" s="34">
        <v>1</v>
      </c>
      <c r="R320" s="34">
        <v>1</v>
      </c>
      <c r="S320" s="34">
        <v>1</v>
      </c>
      <c r="T320" s="34">
        <v>1</v>
      </c>
      <c r="U320" s="34">
        <v>1</v>
      </c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10">
        <f t="shared" si="19"/>
        <v>14</v>
      </c>
      <c r="AM320" s="11">
        <v>32000</v>
      </c>
      <c r="AN320" s="12">
        <f t="shared" si="20"/>
        <v>448000</v>
      </c>
    </row>
    <row r="321" spans="1:40" ht="13.5" customHeight="1">
      <c r="A321" s="45" t="s">
        <v>62</v>
      </c>
      <c r="B321" s="32">
        <v>97</v>
      </c>
      <c r="C321" s="33" t="s">
        <v>819</v>
      </c>
      <c r="D321" s="33" t="s">
        <v>176</v>
      </c>
      <c r="E321" s="33" t="s">
        <v>727</v>
      </c>
      <c r="F321" s="32" t="s">
        <v>820</v>
      </c>
      <c r="G321" s="46"/>
      <c r="H321" s="34">
        <v>1</v>
      </c>
      <c r="I321" s="34">
        <v>1</v>
      </c>
      <c r="J321" s="34">
        <v>1</v>
      </c>
      <c r="K321" s="34">
        <v>1</v>
      </c>
      <c r="L321" s="34">
        <v>1</v>
      </c>
      <c r="M321" s="34">
        <v>1</v>
      </c>
      <c r="N321" s="34">
        <v>1</v>
      </c>
      <c r="O321" s="34">
        <v>1</v>
      </c>
      <c r="P321" s="34">
        <v>1</v>
      </c>
      <c r="Q321" s="34">
        <v>1</v>
      </c>
      <c r="R321" s="34">
        <v>1</v>
      </c>
      <c r="S321" s="34">
        <v>1</v>
      </c>
      <c r="T321" s="34">
        <v>1</v>
      </c>
      <c r="U321" s="34">
        <v>1</v>
      </c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10">
        <f t="shared" si="19"/>
        <v>14</v>
      </c>
      <c r="AM321" s="11">
        <v>32000</v>
      </c>
      <c r="AN321" s="12">
        <f t="shared" si="20"/>
        <v>448000</v>
      </c>
    </row>
    <row r="322" spans="1:40" ht="13.5" customHeight="1">
      <c r="A322" s="45" t="s">
        <v>62</v>
      </c>
      <c r="B322" s="32">
        <v>98</v>
      </c>
      <c r="C322" s="33" t="s">
        <v>325</v>
      </c>
      <c r="D322" s="33" t="s">
        <v>271</v>
      </c>
      <c r="E322" s="33" t="s">
        <v>821</v>
      </c>
      <c r="F322" s="32" t="s">
        <v>822</v>
      </c>
      <c r="G322" s="46"/>
      <c r="H322" s="34">
        <v>1</v>
      </c>
      <c r="I322" s="34">
        <v>1</v>
      </c>
      <c r="J322" s="34">
        <v>1</v>
      </c>
      <c r="K322" s="34">
        <v>1</v>
      </c>
      <c r="L322" s="34">
        <v>1</v>
      </c>
      <c r="M322" s="34">
        <v>1</v>
      </c>
      <c r="N322" s="34">
        <v>1</v>
      </c>
      <c r="O322" s="34">
        <v>1</v>
      </c>
      <c r="P322" s="34">
        <v>1</v>
      </c>
      <c r="Q322" s="34">
        <v>1</v>
      </c>
      <c r="R322" s="34">
        <v>1</v>
      </c>
      <c r="S322" s="34">
        <v>1</v>
      </c>
      <c r="T322" s="34">
        <v>1</v>
      </c>
      <c r="U322" s="34">
        <v>1</v>
      </c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10">
        <f t="shared" si="19"/>
        <v>14</v>
      </c>
      <c r="AM322" s="11">
        <v>32000</v>
      </c>
      <c r="AN322" s="12">
        <f t="shared" si="20"/>
        <v>448000</v>
      </c>
    </row>
    <row r="323" spans="1:40" ht="13.5" customHeight="1">
      <c r="A323" s="45" t="s">
        <v>62</v>
      </c>
      <c r="B323" s="32">
        <v>98</v>
      </c>
      <c r="C323" s="33" t="s">
        <v>864</v>
      </c>
      <c r="D323" s="33" t="s">
        <v>96</v>
      </c>
      <c r="E323" s="33" t="s">
        <v>865</v>
      </c>
      <c r="F323" s="32">
        <v>457413179</v>
      </c>
      <c r="G323" s="46"/>
      <c r="H323" s="34">
        <v>1</v>
      </c>
      <c r="I323" s="34">
        <v>1</v>
      </c>
      <c r="J323" s="34">
        <v>1</v>
      </c>
      <c r="K323" s="34">
        <v>1</v>
      </c>
      <c r="L323" s="34">
        <v>1</v>
      </c>
      <c r="M323" s="34">
        <v>1</v>
      </c>
      <c r="N323" s="34">
        <v>1</v>
      </c>
      <c r="O323" s="34">
        <v>1</v>
      </c>
      <c r="P323" s="34">
        <v>1</v>
      </c>
      <c r="Q323" s="34">
        <v>1</v>
      </c>
      <c r="R323" s="34">
        <v>1</v>
      </c>
      <c r="S323" s="34">
        <v>1</v>
      </c>
      <c r="T323" s="34">
        <v>1</v>
      </c>
      <c r="U323" s="34">
        <v>1</v>
      </c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10">
        <f t="shared" si="19"/>
        <v>14</v>
      </c>
      <c r="AM323" s="11">
        <v>32000</v>
      </c>
      <c r="AN323" s="12">
        <f t="shared" si="20"/>
        <v>448000</v>
      </c>
    </row>
    <row r="324" spans="1:40" ht="13.5" customHeight="1">
      <c r="A324" s="45" t="s">
        <v>62</v>
      </c>
      <c r="B324" s="32">
        <v>99</v>
      </c>
      <c r="C324" s="33" t="s">
        <v>361</v>
      </c>
      <c r="D324" s="33" t="s">
        <v>120</v>
      </c>
      <c r="E324" s="33" t="s">
        <v>46</v>
      </c>
      <c r="F324" s="32" t="s">
        <v>823</v>
      </c>
      <c r="G324" s="46"/>
      <c r="H324" s="34">
        <v>1</v>
      </c>
      <c r="I324" s="34">
        <v>1</v>
      </c>
      <c r="J324" s="34">
        <v>1</v>
      </c>
      <c r="K324" s="34">
        <v>1</v>
      </c>
      <c r="L324" s="34">
        <v>1</v>
      </c>
      <c r="M324" s="34">
        <v>1</v>
      </c>
      <c r="N324" s="34">
        <v>1</v>
      </c>
      <c r="O324" s="34">
        <v>1</v>
      </c>
      <c r="P324" s="34">
        <v>1</v>
      </c>
      <c r="Q324" s="34">
        <v>1</v>
      </c>
      <c r="R324" s="34">
        <v>1</v>
      </c>
      <c r="S324" s="34">
        <v>1</v>
      </c>
      <c r="T324" s="34">
        <v>1</v>
      </c>
      <c r="U324" s="34">
        <v>1</v>
      </c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10">
        <f t="shared" si="19"/>
        <v>14</v>
      </c>
      <c r="AM324" s="11">
        <v>32000</v>
      </c>
      <c r="AN324" s="12">
        <f t="shared" si="20"/>
        <v>448000</v>
      </c>
    </row>
    <row r="325" spans="1:40" ht="13.5" customHeight="1">
      <c r="A325" s="45" t="s">
        <v>62</v>
      </c>
      <c r="B325" s="32">
        <v>99</v>
      </c>
      <c r="C325" s="33" t="s">
        <v>114</v>
      </c>
      <c r="D325" s="33" t="s">
        <v>824</v>
      </c>
      <c r="E325" s="33" t="s">
        <v>825</v>
      </c>
      <c r="F325" s="32" t="s">
        <v>826</v>
      </c>
      <c r="G325" s="46"/>
      <c r="H325" s="34">
        <v>1</v>
      </c>
      <c r="I325" s="34">
        <v>1</v>
      </c>
      <c r="J325" s="34">
        <v>1</v>
      </c>
      <c r="K325" s="34">
        <v>1</v>
      </c>
      <c r="L325" s="34">
        <v>1</v>
      </c>
      <c r="M325" s="34">
        <v>1</v>
      </c>
      <c r="N325" s="34">
        <v>1</v>
      </c>
      <c r="O325" s="34">
        <v>1</v>
      </c>
      <c r="P325" s="34">
        <v>1</v>
      </c>
      <c r="Q325" s="34">
        <v>1</v>
      </c>
      <c r="R325" s="34">
        <v>1</v>
      </c>
      <c r="S325" s="34">
        <v>1</v>
      </c>
      <c r="T325" s="34">
        <v>1</v>
      </c>
      <c r="U325" s="34">
        <v>1</v>
      </c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10">
        <f t="shared" si="19"/>
        <v>14</v>
      </c>
      <c r="AM325" s="11">
        <v>32000</v>
      </c>
      <c r="AN325" s="12">
        <f t="shared" si="20"/>
        <v>448000</v>
      </c>
    </row>
    <row r="326" spans="1:40" ht="13.5" customHeight="1">
      <c r="A326" s="45" t="s">
        <v>62</v>
      </c>
      <c r="B326" s="32">
        <v>100</v>
      </c>
      <c r="C326" s="33" t="s">
        <v>14</v>
      </c>
      <c r="D326" s="33" t="s">
        <v>13</v>
      </c>
      <c r="E326" s="33" t="s">
        <v>207</v>
      </c>
      <c r="F326" s="32" t="s">
        <v>827</v>
      </c>
      <c r="G326" s="46"/>
      <c r="H326" s="34">
        <v>1</v>
      </c>
      <c r="I326" s="34">
        <v>1</v>
      </c>
      <c r="J326" s="34">
        <v>1</v>
      </c>
      <c r="K326" s="34">
        <v>1</v>
      </c>
      <c r="L326" s="34">
        <v>1</v>
      </c>
      <c r="M326" s="34">
        <v>1</v>
      </c>
      <c r="N326" s="34">
        <v>1</v>
      </c>
      <c r="O326" s="34">
        <v>1</v>
      </c>
      <c r="P326" s="34">
        <v>1</v>
      </c>
      <c r="Q326" s="34">
        <v>1</v>
      </c>
      <c r="R326" s="34">
        <v>1</v>
      </c>
      <c r="S326" s="34">
        <v>1</v>
      </c>
      <c r="T326" s="34">
        <v>1</v>
      </c>
      <c r="U326" s="34">
        <v>1</v>
      </c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10">
        <f t="shared" si="19"/>
        <v>14</v>
      </c>
      <c r="AM326" s="11">
        <v>32000</v>
      </c>
      <c r="AN326" s="12">
        <f t="shared" si="20"/>
        <v>448000</v>
      </c>
    </row>
    <row r="327" spans="1:40" ht="13.5" customHeight="1">
      <c r="A327" s="45" t="s">
        <v>62</v>
      </c>
      <c r="B327" s="32">
        <v>100</v>
      </c>
      <c r="C327" s="33" t="s">
        <v>38</v>
      </c>
      <c r="D327" s="33" t="s">
        <v>13</v>
      </c>
      <c r="E327" s="33" t="s">
        <v>46</v>
      </c>
      <c r="F327" s="32" t="s">
        <v>828</v>
      </c>
      <c r="G327" s="46"/>
      <c r="H327" s="34">
        <v>1</v>
      </c>
      <c r="I327" s="34">
        <v>1</v>
      </c>
      <c r="J327" s="34">
        <v>1</v>
      </c>
      <c r="K327" s="34">
        <v>1</v>
      </c>
      <c r="L327" s="34">
        <v>1</v>
      </c>
      <c r="M327" s="34">
        <v>1</v>
      </c>
      <c r="N327" s="34">
        <v>1</v>
      </c>
      <c r="O327" s="34">
        <v>1</v>
      </c>
      <c r="P327" s="34">
        <v>1</v>
      </c>
      <c r="Q327" s="34">
        <v>1</v>
      </c>
      <c r="R327" s="34">
        <v>1</v>
      </c>
      <c r="S327" s="34">
        <v>1</v>
      </c>
      <c r="T327" s="34">
        <v>1</v>
      </c>
      <c r="U327" s="34">
        <v>1</v>
      </c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10">
        <f t="shared" si="19"/>
        <v>14</v>
      </c>
      <c r="AM327" s="11">
        <v>32000</v>
      </c>
      <c r="AN327" s="12">
        <f t="shared" si="20"/>
        <v>448000</v>
      </c>
    </row>
    <row r="328" spans="1:40" ht="13.5" customHeight="1">
      <c r="A328" s="45" t="s">
        <v>62</v>
      </c>
      <c r="B328" s="32">
        <v>101</v>
      </c>
      <c r="C328" s="33" t="s">
        <v>829</v>
      </c>
      <c r="D328" s="33" t="s">
        <v>830</v>
      </c>
      <c r="E328" s="33" t="s">
        <v>831</v>
      </c>
      <c r="F328" s="32" t="s">
        <v>832</v>
      </c>
      <c r="G328" s="46"/>
      <c r="H328" s="34">
        <v>1</v>
      </c>
      <c r="I328" s="34">
        <v>1</v>
      </c>
      <c r="J328" s="34">
        <v>1</v>
      </c>
      <c r="K328" s="34">
        <v>1</v>
      </c>
      <c r="L328" s="34">
        <v>1</v>
      </c>
      <c r="M328" s="34">
        <v>1</v>
      </c>
      <c r="N328" s="34">
        <v>1</v>
      </c>
      <c r="O328" s="34">
        <v>1</v>
      </c>
      <c r="P328" s="34">
        <v>1</v>
      </c>
      <c r="Q328" s="34">
        <v>1</v>
      </c>
      <c r="R328" s="34">
        <v>1</v>
      </c>
      <c r="S328" s="34">
        <v>1</v>
      </c>
      <c r="T328" s="34">
        <v>1</v>
      </c>
      <c r="U328" s="34">
        <v>1</v>
      </c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10">
        <f t="shared" si="19"/>
        <v>14</v>
      </c>
      <c r="AM328" s="11">
        <v>32000</v>
      </c>
      <c r="AN328" s="12">
        <f t="shared" si="20"/>
        <v>448000</v>
      </c>
    </row>
    <row r="329" spans="1:40" ht="13.5" customHeight="1">
      <c r="A329" s="45" t="s">
        <v>62</v>
      </c>
      <c r="B329" s="32">
        <v>101</v>
      </c>
      <c r="C329" s="33" t="s">
        <v>833</v>
      </c>
      <c r="D329" s="33" t="s">
        <v>682</v>
      </c>
      <c r="E329" s="33" t="s">
        <v>135</v>
      </c>
      <c r="F329" s="32" t="s">
        <v>834</v>
      </c>
      <c r="G329" s="46"/>
      <c r="H329" s="34">
        <v>1</v>
      </c>
      <c r="I329" s="34">
        <v>1</v>
      </c>
      <c r="J329" s="34">
        <v>1</v>
      </c>
      <c r="K329" s="34">
        <v>1</v>
      </c>
      <c r="L329" s="34">
        <v>1</v>
      </c>
      <c r="M329" s="34">
        <v>1</v>
      </c>
      <c r="N329" s="34">
        <v>1</v>
      </c>
      <c r="O329" s="34">
        <v>1</v>
      </c>
      <c r="P329" s="34">
        <v>1</v>
      </c>
      <c r="Q329" s="34">
        <v>1</v>
      </c>
      <c r="R329" s="34">
        <v>1</v>
      </c>
      <c r="S329" s="34">
        <v>1</v>
      </c>
      <c r="T329" s="34">
        <v>1</v>
      </c>
      <c r="U329" s="34">
        <v>1</v>
      </c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10">
        <f t="shared" si="19"/>
        <v>14</v>
      </c>
      <c r="AM329" s="11">
        <v>32000</v>
      </c>
      <c r="AN329" s="12">
        <f t="shared" si="20"/>
        <v>448000</v>
      </c>
    </row>
    <row r="330" spans="1:40" ht="13.5" customHeight="1">
      <c r="A330" s="45" t="s">
        <v>62</v>
      </c>
      <c r="B330" s="32">
        <v>102</v>
      </c>
      <c r="C330" s="33" t="s">
        <v>148</v>
      </c>
      <c r="D330" s="33" t="s">
        <v>835</v>
      </c>
      <c r="E330" s="33" t="s">
        <v>135</v>
      </c>
      <c r="F330" s="32" t="s">
        <v>836</v>
      </c>
      <c r="G330" s="46"/>
      <c r="H330" s="34">
        <v>1</v>
      </c>
      <c r="I330" s="34">
        <v>1</v>
      </c>
      <c r="J330" s="34">
        <v>1</v>
      </c>
      <c r="K330" s="34">
        <v>1</v>
      </c>
      <c r="L330" s="34">
        <v>1</v>
      </c>
      <c r="M330" s="34">
        <v>1</v>
      </c>
      <c r="N330" s="34">
        <v>1</v>
      </c>
      <c r="O330" s="34">
        <v>1</v>
      </c>
      <c r="P330" s="34">
        <v>1</v>
      </c>
      <c r="Q330" s="34">
        <v>1</v>
      </c>
      <c r="R330" s="34">
        <v>1</v>
      </c>
      <c r="S330" s="34">
        <v>1</v>
      </c>
      <c r="T330" s="34">
        <v>1</v>
      </c>
      <c r="U330" s="34">
        <v>1</v>
      </c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10">
        <f t="shared" si="19"/>
        <v>14</v>
      </c>
      <c r="AM330" s="11">
        <v>32000</v>
      </c>
      <c r="AN330" s="12">
        <f t="shared" si="20"/>
        <v>448000</v>
      </c>
    </row>
    <row r="331" spans="1:40" ht="13.5" customHeight="1">
      <c r="A331" s="45" t="s">
        <v>62</v>
      </c>
      <c r="B331" s="32">
        <v>102</v>
      </c>
      <c r="C331" s="33" t="s">
        <v>98</v>
      </c>
      <c r="D331" s="33" t="s">
        <v>866</v>
      </c>
      <c r="E331" s="33" t="s">
        <v>99</v>
      </c>
      <c r="F331" s="32">
        <v>12493213</v>
      </c>
      <c r="G331" s="46"/>
      <c r="H331" s="34">
        <v>1</v>
      </c>
      <c r="I331" s="34">
        <v>1</v>
      </c>
      <c r="J331" s="34">
        <v>1</v>
      </c>
      <c r="K331" s="34">
        <v>1</v>
      </c>
      <c r="L331" s="34">
        <v>1</v>
      </c>
      <c r="M331" s="34">
        <v>1</v>
      </c>
      <c r="N331" s="34">
        <v>1</v>
      </c>
      <c r="O331" s="34">
        <v>1</v>
      </c>
      <c r="P331" s="34">
        <v>1</v>
      </c>
      <c r="Q331" s="34">
        <v>1</v>
      </c>
      <c r="R331" s="34">
        <v>1</v>
      </c>
      <c r="S331" s="34">
        <v>1</v>
      </c>
      <c r="T331" s="34">
        <v>1</v>
      </c>
      <c r="U331" s="34">
        <v>1</v>
      </c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10">
        <f t="shared" si="19"/>
        <v>14</v>
      </c>
      <c r="AM331" s="11">
        <v>32000</v>
      </c>
      <c r="AN331" s="12">
        <f t="shared" si="20"/>
        <v>448000</v>
      </c>
    </row>
    <row r="332" spans="1:40" ht="13.5" customHeight="1">
      <c r="A332" s="45" t="s">
        <v>62</v>
      </c>
      <c r="B332" s="32">
        <v>103</v>
      </c>
      <c r="C332" s="33" t="s">
        <v>682</v>
      </c>
      <c r="D332" s="33" t="s">
        <v>837</v>
      </c>
      <c r="E332" s="33" t="s">
        <v>11</v>
      </c>
      <c r="F332" s="32" t="s">
        <v>838</v>
      </c>
      <c r="G332" s="46"/>
      <c r="H332" s="34">
        <v>1</v>
      </c>
      <c r="I332" s="34">
        <v>1</v>
      </c>
      <c r="J332" s="34">
        <v>1</v>
      </c>
      <c r="K332" s="34">
        <v>1</v>
      </c>
      <c r="L332" s="34">
        <v>1</v>
      </c>
      <c r="M332" s="34">
        <v>1</v>
      </c>
      <c r="N332" s="34">
        <v>1</v>
      </c>
      <c r="O332" s="34">
        <v>1</v>
      </c>
      <c r="P332" s="34">
        <v>1</v>
      </c>
      <c r="Q332" s="34">
        <v>1</v>
      </c>
      <c r="R332" s="34">
        <v>1</v>
      </c>
      <c r="S332" s="34">
        <v>1</v>
      </c>
      <c r="T332" s="34">
        <v>1</v>
      </c>
      <c r="U332" s="34">
        <v>1</v>
      </c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10">
        <f t="shared" si="19"/>
        <v>14</v>
      </c>
      <c r="AM332" s="11">
        <v>32000</v>
      </c>
      <c r="AN332" s="12">
        <f t="shared" si="20"/>
        <v>448000</v>
      </c>
    </row>
    <row r="333" spans="1:40" ht="13.5" customHeight="1">
      <c r="A333" s="45" t="s">
        <v>62</v>
      </c>
      <c r="B333" s="32">
        <v>103</v>
      </c>
      <c r="C333" s="33" t="s">
        <v>227</v>
      </c>
      <c r="D333" s="33" t="s">
        <v>798</v>
      </c>
      <c r="E333" s="33" t="s">
        <v>24</v>
      </c>
      <c r="F333" s="32" t="s">
        <v>839</v>
      </c>
      <c r="G333" s="46"/>
      <c r="H333" s="34">
        <v>1</v>
      </c>
      <c r="I333" s="34">
        <v>1</v>
      </c>
      <c r="J333" s="34">
        <v>1</v>
      </c>
      <c r="K333" s="34">
        <v>1</v>
      </c>
      <c r="L333" s="34">
        <v>1</v>
      </c>
      <c r="M333" s="34">
        <v>1</v>
      </c>
      <c r="N333" s="34">
        <v>1</v>
      </c>
      <c r="O333" s="34">
        <v>1</v>
      </c>
      <c r="P333" s="34">
        <v>1</v>
      </c>
      <c r="Q333" s="34">
        <v>1</v>
      </c>
      <c r="R333" s="34">
        <v>1</v>
      </c>
      <c r="S333" s="34">
        <v>1</v>
      </c>
      <c r="T333" s="34">
        <v>1</v>
      </c>
      <c r="U333" s="34">
        <v>1</v>
      </c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10">
        <f t="shared" si="19"/>
        <v>14</v>
      </c>
      <c r="AM333" s="11">
        <v>32000</v>
      </c>
      <c r="AN333" s="12">
        <f t="shared" si="20"/>
        <v>448000</v>
      </c>
    </row>
    <row r="334" spans="1:40" ht="13.5" customHeight="1">
      <c r="A334" s="45" t="s">
        <v>62</v>
      </c>
      <c r="B334" s="32">
        <v>108</v>
      </c>
      <c r="C334" s="33" t="s">
        <v>134</v>
      </c>
      <c r="D334" s="33" t="s">
        <v>364</v>
      </c>
      <c r="E334" s="33" t="s">
        <v>436</v>
      </c>
      <c r="F334" s="32" t="s">
        <v>445</v>
      </c>
      <c r="G334" s="46"/>
      <c r="H334" s="34">
        <v>1</v>
      </c>
      <c r="I334" s="34">
        <v>1</v>
      </c>
      <c r="J334" s="34">
        <v>1</v>
      </c>
      <c r="K334" s="34">
        <v>1</v>
      </c>
      <c r="L334" s="34">
        <v>1</v>
      </c>
      <c r="M334" s="34">
        <v>1</v>
      </c>
      <c r="N334" s="34">
        <v>1</v>
      </c>
      <c r="O334" s="34">
        <v>1</v>
      </c>
      <c r="P334" s="34">
        <v>1</v>
      </c>
      <c r="Q334" s="34">
        <v>1</v>
      </c>
      <c r="R334" s="34">
        <v>1</v>
      </c>
      <c r="S334" s="34">
        <v>1</v>
      </c>
      <c r="T334" s="34">
        <v>1</v>
      </c>
      <c r="U334" s="34">
        <v>1</v>
      </c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10">
        <f t="shared" ref="AL334:AL365" si="21">SUM(G334:AK334)</f>
        <v>14</v>
      </c>
      <c r="AM334" s="11">
        <v>32000</v>
      </c>
      <c r="AN334" s="12">
        <f t="shared" ref="AN334:AN365" si="22">AM334*AL334</f>
        <v>448000</v>
      </c>
    </row>
    <row r="335" spans="1:40" ht="13.5" customHeight="1">
      <c r="A335" s="45" t="s">
        <v>62</v>
      </c>
      <c r="B335" s="32">
        <v>108</v>
      </c>
      <c r="C335" s="33" t="s">
        <v>428</v>
      </c>
      <c r="D335" s="33" t="s">
        <v>159</v>
      </c>
      <c r="E335" s="33" t="s">
        <v>169</v>
      </c>
      <c r="F335" s="32" t="s">
        <v>429</v>
      </c>
      <c r="G335" s="46"/>
      <c r="H335" s="34">
        <v>1</v>
      </c>
      <c r="I335" s="34">
        <v>1</v>
      </c>
      <c r="J335" s="34">
        <v>1</v>
      </c>
      <c r="K335" s="34">
        <v>1</v>
      </c>
      <c r="L335" s="34">
        <v>1</v>
      </c>
      <c r="M335" s="34">
        <v>1</v>
      </c>
      <c r="N335" s="34">
        <v>1</v>
      </c>
      <c r="O335" s="34">
        <v>1</v>
      </c>
      <c r="P335" s="34">
        <v>1</v>
      </c>
      <c r="Q335" s="34">
        <v>1</v>
      </c>
      <c r="R335" s="34">
        <v>1</v>
      </c>
      <c r="S335" s="34">
        <v>1</v>
      </c>
      <c r="T335" s="34">
        <v>1</v>
      </c>
      <c r="U335" s="34">
        <v>1</v>
      </c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10">
        <f t="shared" si="21"/>
        <v>14</v>
      </c>
      <c r="AM335" s="11">
        <v>32000</v>
      </c>
      <c r="AN335" s="12">
        <f t="shared" si="22"/>
        <v>448000</v>
      </c>
    </row>
    <row r="336" spans="1:40" ht="13.5" customHeight="1">
      <c r="A336" s="45" t="s">
        <v>62</v>
      </c>
      <c r="B336" s="32">
        <v>109</v>
      </c>
      <c r="C336" s="33" t="s">
        <v>105</v>
      </c>
      <c r="D336" s="33" t="s">
        <v>176</v>
      </c>
      <c r="E336" s="33" t="s">
        <v>15</v>
      </c>
      <c r="F336" s="32" t="s">
        <v>840</v>
      </c>
      <c r="G336" s="46"/>
      <c r="H336" s="34">
        <v>1</v>
      </c>
      <c r="I336" s="34">
        <v>1</v>
      </c>
      <c r="J336" s="34">
        <v>1</v>
      </c>
      <c r="K336" s="34">
        <v>1</v>
      </c>
      <c r="L336" s="34">
        <v>1</v>
      </c>
      <c r="M336" s="34">
        <v>1</v>
      </c>
      <c r="N336" s="34">
        <v>1</v>
      </c>
      <c r="O336" s="34">
        <v>1</v>
      </c>
      <c r="P336" s="34">
        <v>1</v>
      </c>
      <c r="Q336" s="34">
        <v>1</v>
      </c>
      <c r="R336" s="34">
        <v>1</v>
      </c>
      <c r="S336" s="34">
        <v>1</v>
      </c>
      <c r="T336" s="34">
        <v>1</v>
      </c>
      <c r="U336" s="34">
        <v>1</v>
      </c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10">
        <f t="shared" si="21"/>
        <v>14</v>
      </c>
      <c r="AM336" s="11">
        <v>32000</v>
      </c>
      <c r="AN336" s="12">
        <f t="shared" si="22"/>
        <v>448000</v>
      </c>
    </row>
    <row r="337" spans="1:40" ht="13.5" customHeight="1">
      <c r="A337" s="45" t="s">
        <v>62</v>
      </c>
      <c r="B337" s="32">
        <v>109</v>
      </c>
      <c r="C337" s="33" t="s">
        <v>12</v>
      </c>
      <c r="D337" s="33" t="s">
        <v>377</v>
      </c>
      <c r="E337" s="33" t="s">
        <v>24</v>
      </c>
      <c r="F337" s="32" t="s">
        <v>841</v>
      </c>
      <c r="G337" s="46"/>
      <c r="H337" s="34">
        <v>1</v>
      </c>
      <c r="I337" s="34">
        <v>1</v>
      </c>
      <c r="J337" s="34">
        <v>1</v>
      </c>
      <c r="K337" s="34">
        <v>1</v>
      </c>
      <c r="L337" s="34">
        <v>1</v>
      </c>
      <c r="M337" s="34">
        <v>1</v>
      </c>
      <c r="N337" s="34">
        <v>1</v>
      </c>
      <c r="O337" s="34">
        <v>1</v>
      </c>
      <c r="P337" s="34">
        <v>1</v>
      </c>
      <c r="Q337" s="34">
        <v>1</v>
      </c>
      <c r="R337" s="34">
        <v>1</v>
      </c>
      <c r="S337" s="34">
        <v>1</v>
      </c>
      <c r="T337" s="34">
        <v>1</v>
      </c>
      <c r="U337" s="34">
        <v>1</v>
      </c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10">
        <f t="shared" si="21"/>
        <v>14</v>
      </c>
      <c r="AM337" s="11">
        <v>32000</v>
      </c>
      <c r="AN337" s="12">
        <f t="shared" si="22"/>
        <v>448000</v>
      </c>
    </row>
    <row r="338" spans="1:40" ht="13.5" customHeight="1">
      <c r="A338" s="45" t="s">
        <v>62</v>
      </c>
      <c r="B338" s="32">
        <v>111</v>
      </c>
      <c r="C338" s="33" t="s">
        <v>166</v>
      </c>
      <c r="D338" s="33" t="s">
        <v>842</v>
      </c>
      <c r="E338" s="33" t="s">
        <v>11</v>
      </c>
      <c r="F338" s="32" t="s">
        <v>843</v>
      </c>
      <c r="G338" s="46"/>
      <c r="H338" s="34">
        <v>1</v>
      </c>
      <c r="I338" s="34">
        <v>1</v>
      </c>
      <c r="J338" s="34">
        <v>1</v>
      </c>
      <c r="K338" s="34">
        <v>1</v>
      </c>
      <c r="L338" s="34">
        <v>1</v>
      </c>
      <c r="M338" s="34">
        <v>1</v>
      </c>
      <c r="N338" s="34">
        <v>1</v>
      </c>
      <c r="O338" s="34">
        <v>1</v>
      </c>
      <c r="P338" s="34">
        <v>1</v>
      </c>
      <c r="Q338" s="34">
        <v>1</v>
      </c>
      <c r="R338" s="34">
        <v>1</v>
      </c>
      <c r="S338" s="34">
        <v>1</v>
      </c>
      <c r="T338" s="34">
        <v>1</v>
      </c>
      <c r="U338" s="34">
        <v>1</v>
      </c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10">
        <f t="shared" si="21"/>
        <v>14</v>
      </c>
      <c r="AM338" s="11">
        <v>32000</v>
      </c>
      <c r="AN338" s="12">
        <f t="shared" si="22"/>
        <v>448000</v>
      </c>
    </row>
    <row r="339" spans="1:40" ht="13.5" customHeight="1">
      <c r="A339" s="45" t="s">
        <v>62</v>
      </c>
      <c r="B339" s="35">
        <v>111</v>
      </c>
      <c r="C339" s="36" t="s">
        <v>38</v>
      </c>
      <c r="D339" s="36" t="s">
        <v>844</v>
      </c>
      <c r="E339" s="36" t="s">
        <v>467</v>
      </c>
      <c r="F339" s="35" t="s">
        <v>845</v>
      </c>
      <c r="G339" s="46"/>
      <c r="H339" s="34">
        <v>1</v>
      </c>
      <c r="I339" s="34">
        <v>1</v>
      </c>
      <c r="J339" s="34">
        <v>1</v>
      </c>
      <c r="K339" s="34">
        <v>1</v>
      </c>
      <c r="L339" s="34">
        <v>1</v>
      </c>
      <c r="M339" s="34">
        <v>1</v>
      </c>
      <c r="N339" s="34">
        <v>1</v>
      </c>
      <c r="O339" s="34">
        <v>1</v>
      </c>
      <c r="P339" s="34">
        <v>1</v>
      </c>
      <c r="Q339" s="34">
        <v>1</v>
      </c>
      <c r="R339" s="34">
        <v>1</v>
      </c>
      <c r="S339" s="34">
        <v>1</v>
      </c>
      <c r="T339" s="34">
        <v>1</v>
      </c>
      <c r="U339" s="34">
        <v>1</v>
      </c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10">
        <f t="shared" si="21"/>
        <v>14</v>
      </c>
      <c r="AM339" s="11">
        <v>32000</v>
      </c>
      <c r="AN339" s="12">
        <f t="shared" si="22"/>
        <v>448000</v>
      </c>
    </row>
    <row r="340" spans="1:40" ht="13.5" customHeight="1">
      <c r="A340" s="45" t="s">
        <v>62</v>
      </c>
      <c r="B340" s="35">
        <v>119</v>
      </c>
      <c r="C340" s="36" t="s">
        <v>846</v>
      </c>
      <c r="D340" s="36" t="s">
        <v>67</v>
      </c>
      <c r="E340" s="36" t="s">
        <v>207</v>
      </c>
      <c r="F340" s="35" t="s">
        <v>847</v>
      </c>
      <c r="G340" s="46"/>
      <c r="H340" s="34">
        <v>1</v>
      </c>
      <c r="I340" s="34">
        <v>1</v>
      </c>
      <c r="J340" s="34">
        <v>1</v>
      </c>
      <c r="K340" s="34">
        <v>1</v>
      </c>
      <c r="L340" s="34">
        <v>1</v>
      </c>
      <c r="M340" s="34">
        <v>1</v>
      </c>
      <c r="N340" s="34">
        <v>1</v>
      </c>
      <c r="O340" s="34">
        <v>1</v>
      </c>
      <c r="P340" s="34">
        <v>1</v>
      </c>
      <c r="Q340" s="34">
        <v>1</v>
      </c>
      <c r="R340" s="34">
        <v>1</v>
      </c>
      <c r="S340" s="34">
        <v>1</v>
      </c>
      <c r="T340" s="34">
        <v>1</v>
      </c>
      <c r="U340" s="34">
        <v>1</v>
      </c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10">
        <f t="shared" si="21"/>
        <v>14</v>
      </c>
      <c r="AM340" s="11">
        <v>32000</v>
      </c>
      <c r="AN340" s="12">
        <f t="shared" si="22"/>
        <v>448000</v>
      </c>
    </row>
    <row r="341" spans="1:40" ht="13.5" customHeight="1">
      <c r="A341" s="45" t="s">
        <v>62</v>
      </c>
      <c r="B341" s="35">
        <v>119</v>
      </c>
      <c r="C341" s="36" t="s">
        <v>757</v>
      </c>
      <c r="D341" s="36" t="s">
        <v>757</v>
      </c>
      <c r="E341" s="36" t="s">
        <v>140</v>
      </c>
      <c r="F341" s="35" t="s">
        <v>848</v>
      </c>
      <c r="G341" s="46"/>
      <c r="H341" s="34">
        <v>1</v>
      </c>
      <c r="I341" s="34">
        <v>1</v>
      </c>
      <c r="J341" s="34">
        <v>1</v>
      </c>
      <c r="K341" s="34">
        <v>1</v>
      </c>
      <c r="L341" s="34">
        <v>1</v>
      </c>
      <c r="M341" s="34">
        <v>1</v>
      </c>
      <c r="N341" s="34">
        <v>1</v>
      </c>
      <c r="O341" s="34">
        <v>1</v>
      </c>
      <c r="P341" s="34">
        <v>1</v>
      </c>
      <c r="Q341" s="34">
        <v>1</v>
      </c>
      <c r="R341" s="34">
        <v>1</v>
      </c>
      <c r="S341" s="34">
        <v>1</v>
      </c>
      <c r="T341" s="34">
        <v>1</v>
      </c>
      <c r="U341" s="34">
        <v>1</v>
      </c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10">
        <f t="shared" si="21"/>
        <v>14</v>
      </c>
      <c r="AM341" s="11">
        <v>32000</v>
      </c>
      <c r="AN341" s="12">
        <f t="shared" si="22"/>
        <v>448000</v>
      </c>
    </row>
    <row r="342" spans="1:40" ht="13.5" customHeight="1">
      <c r="A342" s="45" t="s">
        <v>62</v>
      </c>
      <c r="B342" s="35">
        <v>120</v>
      </c>
      <c r="C342" s="36" t="s">
        <v>13</v>
      </c>
      <c r="D342" s="36" t="s">
        <v>849</v>
      </c>
      <c r="E342" s="36" t="s">
        <v>143</v>
      </c>
      <c r="F342" s="35" t="s">
        <v>850</v>
      </c>
      <c r="G342" s="46"/>
      <c r="H342" s="34">
        <v>1</v>
      </c>
      <c r="I342" s="34">
        <v>1</v>
      </c>
      <c r="J342" s="34">
        <v>1</v>
      </c>
      <c r="K342" s="34">
        <v>1</v>
      </c>
      <c r="L342" s="34">
        <v>1</v>
      </c>
      <c r="M342" s="34">
        <v>1</v>
      </c>
      <c r="N342" s="34">
        <v>1</v>
      </c>
      <c r="O342" s="34">
        <v>1</v>
      </c>
      <c r="P342" s="34">
        <v>1</v>
      </c>
      <c r="Q342" s="34">
        <v>1</v>
      </c>
      <c r="R342" s="34">
        <v>1</v>
      </c>
      <c r="S342" s="34">
        <v>1</v>
      </c>
      <c r="T342" s="34">
        <v>1</v>
      </c>
      <c r="U342" s="34">
        <v>1</v>
      </c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10">
        <f t="shared" si="21"/>
        <v>14</v>
      </c>
      <c r="AM342" s="11">
        <v>32000</v>
      </c>
      <c r="AN342" s="12">
        <f t="shared" si="22"/>
        <v>448000</v>
      </c>
    </row>
    <row r="343" spans="1:40" ht="13.5" customHeight="1">
      <c r="A343" s="45" t="s">
        <v>62</v>
      </c>
      <c r="B343" s="35">
        <v>120</v>
      </c>
      <c r="C343" s="36" t="s">
        <v>178</v>
      </c>
      <c r="D343" s="36" t="s">
        <v>720</v>
      </c>
      <c r="E343" s="36" t="s">
        <v>160</v>
      </c>
      <c r="F343" s="35" t="s">
        <v>851</v>
      </c>
      <c r="G343" s="46"/>
      <c r="H343" s="34">
        <v>1</v>
      </c>
      <c r="I343" s="34">
        <v>1</v>
      </c>
      <c r="J343" s="34">
        <v>1</v>
      </c>
      <c r="K343" s="34">
        <v>1</v>
      </c>
      <c r="L343" s="34">
        <v>1</v>
      </c>
      <c r="M343" s="34">
        <v>1</v>
      </c>
      <c r="N343" s="34">
        <v>1</v>
      </c>
      <c r="O343" s="34">
        <v>1</v>
      </c>
      <c r="P343" s="34">
        <v>1</v>
      </c>
      <c r="Q343" s="34">
        <v>1</v>
      </c>
      <c r="R343" s="34">
        <v>1</v>
      </c>
      <c r="S343" s="34">
        <v>1</v>
      </c>
      <c r="T343" s="34">
        <v>1</v>
      </c>
      <c r="U343" s="34">
        <v>1</v>
      </c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10">
        <f t="shared" si="21"/>
        <v>14</v>
      </c>
      <c r="AM343" s="11">
        <v>32000</v>
      </c>
      <c r="AN343" s="12">
        <f t="shared" si="22"/>
        <v>448000</v>
      </c>
    </row>
    <row r="344" spans="1:40" ht="13.5" customHeight="1">
      <c r="A344" s="45" t="s">
        <v>62</v>
      </c>
      <c r="B344" s="35" t="s">
        <v>552</v>
      </c>
      <c r="C344" s="36" t="s">
        <v>553</v>
      </c>
      <c r="D344" s="36" t="s">
        <v>554</v>
      </c>
      <c r="E344" s="36" t="s">
        <v>95</v>
      </c>
      <c r="F344" s="35" t="s">
        <v>555</v>
      </c>
      <c r="G344" s="46"/>
      <c r="H344" s="34">
        <v>1</v>
      </c>
      <c r="I344" s="34">
        <v>1</v>
      </c>
      <c r="J344" s="34">
        <v>1</v>
      </c>
      <c r="K344" s="34">
        <v>1</v>
      </c>
      <c r="L344" s="34">
        <v>1</v>
      </c>
      <c r="M344" s="34">
        <v>1</v>
      </c>
      <c r="N344" s="34">
        <v>1</v>
      </c>
      <c r="O344" s="34">
        <v>1</v>
      </c>
      <c r="P344" s="34">
        <v>1</v>
      </c>
      <c r="Q344" s="34">
        <v>1</v>
      </c>
      <c r="R344" s="34">
        <v>1</v>
      </c>
      <c r="S344" s="34">
        <v>1</v>
      </c>
      <c r="T344" s="34">
        <v>1</v>
      </c>
      <c r="U344" s="34">
        <v>1</v>
      </c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10">
        <f t="shared" si="21"/>
        <v>14</v>
      </c>
      <c r="AM344" s="11">
        <v>32000</v>
      </c>
      <c r="AN344" s="12">
        <f t="shared" si="22"/>
        <v>448000</v>
      </c>
    </row>
    <row r="345" spans="1:40" ht="13.5" customHeight="1">
      <c r="A345" s="45" t="s">
        <v>62</v>
      </c>
      <c r="B345" s="35" t="s">
        <v>552</v>
      </c>
      <c r="C345" s="36" t="s">
        <v>556</v>
      </c>
      <c r="D345" s="36" t="s">
        <v>557</v>
      </c>
      <c r="E345" s="36" t="s">
        <v>24</v>
      </c>
      <c r="F345" s="35" t="s">
        <v>558</v>
      </c>
      <c r="G345" s="46"/>
      <c r="H345" s="34">
        <v>1</v>
      </c>
      <c r="I345" s="34">
        <v>1</v>
      </c>
      <c r="J345" s="34">
        <v>1</v>
      </c>
      <c r="K345" s="34">
        <v>1</v>
      </c>
      <c r="L345" s="34">
        <v>1</v>
      </c>
      <c r="M345" s="34">
        <v>1</v>
      </c>
      <c r="N345" s="34">
        <v>1</v>
      </c>
      <c r="O345" s="34">
        <v>1</v>
      </c>
      <c r="P345" s="34">
        <v>1</v>
      </c>
      <c r="Q345" s="34">
        <v>1</v>
      </c>
      <c r="R345" s="34">
        <v>1</v>
      </c>
      <c r="S345" s="34">
        <v>1</v>
      </c>
      <c r="T345" s="34">
        <v>1</v>
      </c>
      <c r="U345" s="34">
        <v>1</v>
      </c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10">
        <f t="shared" si="21"/>
        <v>14</v>
      </c>
      <c r="AM345" s="11">
        <v>32000</v>
      </c>
      <c r="AN345" s="12">
        <f t="shared" si="22"/>
        <v>448000</v>
      </c>
    </row>
    <row r="346" spans="1:40" ht="13.5" customHeight="1">
      <c r="A346" s="45" t="s">
        <v>62</v>
      </c>
      <c r="B346" s="35" t="s">
        <v>1500</v>
      </c>
      <c r="C346" s="36" t="s">
        <v>879</v>
      </c>
      <c r="D346" s="36" t="s">
        <v>166</v>
      </c>
      <c r="E346" s="36" t="s">
        <v>880</v>
      </c>
      <c r="F346" s="35" t="s">
        <v>881</v>
      </c>
      <c r="G346" s="46"/>
      <c r="H346" s="34">
        <v>1</v>
      </c>
      <c r="I346" s="34">
        <v>1</v>
      </c>
      <c r="J346" s="34">
        <v>1</v>
      </c>
      <c r="K346" s="34">
        <v>1</v>
      </c>
      <c r="L346" s="34">
        <v>1</v>
      </c>
      <c r="M346" s="34">
        <v>1</v>
      </c>
      <c r="N346" s="34">
        <v>1</v>
      </c>
      <c r="O346" s="34">
        <v>1</v>
      </c>
      <c r="P346" s="34">
        <v>1</v>
      </c>
      <c r="Q346" s="34">
        <v>1</v>
      </c>
      <c r="R346" s="34">
        <v>1</v>
      </c>
      <c r="S346" s="34">
        <v>1</v>
      </c>
      <c r="T346" s="34">
        <v>1</v>
      </c>
      <c r="U346" s="34">
        <v>1</v>
      </c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10">
        <f t="shared" si="21"/>
        <v>14</v>
      </c>
      <c r="AM346" s="11">
        <v>32000</v>
      </c>
      <c r="AN346" s="12">
        <f t="shared" si="22"/>
        <v>448000</v>
      </c>
    </row>
    <row r="347" spans="1:40" ht="13.5" customHeight="1">
      <c r="A347" s="45" t="s">
        <v>62</v>
      </c>
      <c r="B347" s="35" t="s">
        <v>852</v>
      </c>
      <c r="C347" s="36" t="s">
        <v>779</v>
      </c>
      <c r="D347" s="36" t="s">
        <v>136</v>
      </c>
      <c r="E347" s="36" t="s">
        <v>9</v>
      </c>
      <c r="F347" s="35" t="s">
        <v>853</v>
      </c>
      <c r="G347" s="46"/>
      <c r="H347" s="34">
        <v>1</v>
      </c>
      <c r="I347" s="34">
        <v>1</v>
      </c>
      <c r="J347" s="34">
        <v>1</v>
      </c>
      <c r="K347" s="34">
        <v>1</v>
      </c>
      <c r="L347" s="34">
        <v>1</v>
      </c>
      <c r="M347" s="34">
        <v>1</v>
      </c>
      <c r="N347" s="34">
        <v>1</v>
      </c>
      <c r="O347" s="34">
        <v>1</v>
      </c>
      <c r="P347" s="34">
        <v>1</v>
      </c>
      <c r="Q347" s="34">
        <v>1</v>
      </c>
      <c r="R347" s="34">
        <v>1</v>
      </c>
      <c r="S347" s="34">
        <v>1</v>
      </c>
      <c r="T347" s="34">
        <v>1</v>
      </c>
      <c r="U347" s="34">
        <v>1</v>
      </c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10">
        <f t="shared" si="21"/>
        <v>14</v>
      </c>
      <c r="AM347" s="11">
        <v>32000</v>
      </c>
      <c r="AN347" s="12">
        <f t="shared" si="22"/>
        <v>448000</v>
      </c>
    </row>
    <row r="348" spans="1:40" ht="13.5" customHeight="1">
      <c r="A348" s="45" t="s">
        <v>62</v>
      </c>
      <c r="B348" s="35" t="s">
        <v>852</v>
      </c>
      <c r="C348" s="36" t="s">
        <v>854</v>
      </c>
      <c r="D348" s="36" t="s">
        <v>855</v>
      </c>
      <c r="E348" s="36" t="s">
        <v>25</v>
      </c>
      <c r="F348" s="35" t="s">
        <v>856</v>
      </c>
      <c r="G348" s="46"/>
      <c r="H348" s="34">
        <v>1</v>
      </c>
      <c r="I348" s="34">
        <v>1</v>
      </c>
      <c r="J348" s="34">
        <v>1</v>
      </c>
      <c r="K348" s="34">
        <v>1</v>
      </c>
      <c r="L348" s="34">
        <v>1</v>
      </c>
      <c r="M348" s="34">
        <v>1</v>
      </c>
      <c r="N348" s="34">
        <v>1</v>
      </c>
      <c r="O348" s="34">
        <v>1</v>
      </c>
      <c r="P348" s="34">
        <v>1</v>
      </c>
      <c r="Q348" s="34">
        <v>1</v>
      </c>
      <c r="R348" s="34">
        <v>1</v>
      </c>
      <c r="S348" s="34">
        <v>1</v>
      </c>
      <c r="T348" s="34">
        <v>1</v>
      </c>
      <c r="U348" s="34">
        <v>1</v>
      </c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10">
        <f t="shared" si="21"/>
        <v>14</v>
      </c>
      <c r="AM348" s="11">
        <v>32000</v>
      </c>
      <c r="AN348" s="12">
        <f t="shared" si="22"/>
        <v>448000</v>
      </c>
    </row>
    <row r="349" spans="1:40" ht="13.5" customHeight="1">
      <c r="A349" s="45" t="s">
        <v>62</v>
      </c>
      <c r="B349" s="35" t="s">
        <v>536</v>
      </c>
      <c r="C349" s="36" t="s">
        <v>559</v>
      </c>
      <c r="D349" s="36" t="s">
        <v>157</v>
      </c>
      <c r="E349" s="36" t="s">
        <v>560</v>
      </c>
      <c r="F349" s="35" t="s">
        <v>561</v>
      </c>
      <c r="G349" s="46"/>
      <c r="H349" s="34">
        <v>1</v>
      </c>
      <c r="I349" s="34">
        <v>1</v>
      </c>
      <c r="J349" s="34">
        <v>1</v>
      </c>
      <c r="K349" s="34">
        <v>1</v>
      </c>
      <c r="L349" s="34">
        <v>1</v>
      </c>
      <c r="M349" s="34">
        <v>1</v>
      </c>
      <c r="N349" s="34">
        <v>1</v>
      </c>
      <c r="O349" s="34">
        <v>1</v>
      </c>
      <c r="P349" s="34">
        <v>1</v>
      </c>
      <c r="Q349" s="34">
        <v>1</v>
      </c>
      <c r="R349" s="34">
        <v>1</v>
      </c>
      <c r="S349" s="34">
        <v>1</v>
      </c>
      <c r="T349" s="34">
        <v>1</v>
      </c>
      <c r="U349" s="34">
        <v>1</v>
      </c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10">
        <f t="shared" si="21"/>
        <v>14</v>
      </c>
      <c r="AM349" s="11">
        <v>32000</v>
      </c>
      <c r="AN349" s="12">
        <f t="shared" si="22"/>
        <v>448000</v>
      </c>
    </row>
    <row r="350" spans="1:40" ht="13.5" customHeight="1">
      <c r="A350" s="45" t="s">
        <v>62</v>
      </c>
      <c r="B350" s="35" t="s">
        <v>536</v>
      </c>
      <c r="C350" s="36" t="s">
        <v>162</v>
      </c>
      <c r="D350" s="36" t="s">
        <v>526</v>
      </c>
      <c r="E350" s="36" t="s">
        <v>160</v>
      </c>
      <c r="F350" s="35" t="s">
        <v>562</v>
      </c>
      <c r="G350" s="46"/>
      <c r="H350" s="34">
        <v>1</v>
      </c>
      <c r="I350" s="34">
        <v>1</v>
      </c>
      <c r="J350" s="34">
        <v>1</v>
      </c>
      <c r="K350" s="34">
        <v>1</v>
      </c>
      <c r="L350" s="34">
        <v>1</v>
      </c>
      <c r="M350" s="34">
        <v>1</v>
      </c>
      <c r="N350" s="34">
        <v>1</v>
      </c>
      <c r="O350" s="34">
        <v>1</v>
      </c>
      <c r="P350" s="34">
        <v>1</v>
      </c>
      <c r="Q350" s="34">
        <v>1</v>
      </c>
      <c r="R350" s="34">
        <v>1</v>
      </c>
      <c r="S350" s="34">
        <v>1</v>
      </c>
      <c r="T350" s="34">
        <v>1</v>
      </c>
      <c r="U350" s="34">
        <v>1</v>
      </c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10">
        <f t="shared" si="21"/>
        <v>14</v>
      </c>
      <c r="AM350" s="11">
        <v>32000</v>
      </c>
      <c r="AN350" s="12">
        <f t="shared" si="22"/>
        <v>448000</v>
      </c>
    </row>
    <row r="351" spans="1:40" ht="13.5" customHeight="1">
      <c r="A351" s="45" t="s">
        <v>62</v>
      </c>
      <c r="B351" s="35" t="s">
        <v>534</v>
      </c>
      <c r="C351" s="36" t="s">
        <v>221</v>
      </c>
      <c r="D351" s="36" t="s">
        <v>578</v>
      </c>
      <c r="E351" s="36" t="s">
        <v>538</v>
      </c>
      <c r="F351" s="35" t="s">
        <v>579</v>
      </c>
      <c r="G351" s="46"/>
      <c r="H351" s="34">
        <v>1</v>
      </c>
      <c r="I351" s="34">
        <v>1</v>
      </c>
      <c r="J351" s="34">
        <v>1</v>
      </c>
      <c r="K351" s="34">
        <v>1</v>
      </c>
      <c r="L351" s="34">
        <v>1</v>
      </c>
      <c r="M351" s="34">
        <v>1</v>
      </c>
      <c r="N351" s="34">
        <v>1</v>
      </c>
      <c r="O351" s="34">
        <v>1</v>
      </c>
      <c r="P351" s="34">
        <v>1</v>
      </c>
      <c r="Q351" s="34">
        <v>1</v>
      </c>
      <c r="R351" s="34">
        <v>1</v>
      </c>
      <c r="S351" s="34">
        <v>1</v>
      </c>
      <c r="T351" s="34">
        <v>1</v>
      </c>
      <c r="U351" s="34">
        <v>1</v>
      </c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10">
        <f t="shared" si="21"/>
        <v>14</v>
      </c>
      <c r="AM351" s="11">
        <v>32000</v>
      </c>
      <c r="AN351" s="12">
        <f t="shared" si="22"/>
        <v>448000</v>
      </c>
    </row>
    <row r="352" spans="1:40" ht="13.5" customHeight="1">
      <c r="A352" s="45" t="s">
        <v>62</v>
      </c>
      <c r="B352" s="35" t="s">
        <v>534</v>
      </c>
      <c r="C352" s="36" t="s">
        <v>88</v>
      </c>
      <c r="D352" s="36" t="s">
        <v>580</v>
      </c>
      <c r="E352" s="36" t="s">
        <v>140</v>
      </c>
      <c r="F352" s="35" t="s">
        <v>581</v>
      </c>
      <c r="G352" s="46"/>
      <c r="H352" s="34">
        <v>1</v>
      </c>
      <c r="I352" s="34">
        <v>1</v>
      </c>
      <c r="J352" s="34">
        <v>1</v>
      </c>
      <c r="K352" s="34">
        <v>1</v>
      </c>
      <c r="L352" s="34">
        <v>1</v>
      </c>
      <c r="M352" s="34">
        <v>1</v>
      </c>
      <c r="N352" s="34">
        <v>1</v>
      </c>
      <c r="O352" s="34">
        <v>1</v>
      </c>
      <c r="P352" s="34">
        <v>1</v>
      </c>
      <c r="Q352" s="34">
        <v>1</v>
      </c>
      <c r="R352" s="34">
        <v>1</v>
      </c>
      <c r="S352" s="34">
        <v>1</v>
      </c>
      <c r="T352" s="34">
        <v>1</v>
      </c>
      <c r="U352" s="34">
        <v>1</v>
      </c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10">
        <f t="shared" si="21"/>
        <v>14</v>
      </c>
      <c r="AM352" s="11">
        <v>32000</v>
      </c>
      <c r="AN352" s="12">
        <f t="shared" si="22"/>
        <v>448000</v>
      </c>
    </row>
    <row r="353" spans="1:41" ht="13.5" customHeight="1">
      <c r="A353" s="45" t="s">
        <v>62</v>
      </c>
      <c r="B353" s="35" t="s">
        <v>535</v>
      </c>
      <c r="C353" s="36" t="s">
        <v>511</v>
      </c>
      <c r="D353" s="36" t="s">
        <v>454</v>
      </c>
      <c r="E353" s="36" t="s">
        <v>582</v>
      </c>
      <c r="F353" s="35" t="s">
        <v>540</v>
      </c>
      <c r="G353" s="46"/>
      <c r="H353" s="34">
        <v>1</v>
      </c>
      <c r="I353" s="34">
        <v>1</v>
      </c>
      <c r="J353" s="34">
        <v>1</v>
      </c>
      <c r="K353" s="34">
        <v>1</v>
      </c>
      <c r="L353" s="34">
        <v>1</v>
      </c>
      <c r="M353" s="34">
        <v>1</v>
      </c>
      <c r="N353" s="34">
        <v>1</v>
      </c>
      <c r="O353" s="34">
        <v>1</v>
      </c>
      <c r="P353" s="34">
        <v>1</v>
      </c>
      <c r="Q353" s="34">
        <v>1</v>
      </c>
      <c r="R353" s="34">
        <v>1</v>
      </c>
      <c r="S353" s="34">
        <v>1</v>
      </c>
      <c r="T353" s="34">
        <v>1</v>
      </c>
      <c r="U353" s="34">
        <v>1</v>
      </c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10">
        <f t="shared" si="21"/>
        <v>14</v>
      </c>
      <c r="AM353" s="11">
        <v>32000</v>
      </c>
      <c r="AN353" s="12">
        <f t="shared" si="22"/>
        <v>448000</v>
      </c>
    </row>
    <row r="354" spans="1:41" ht="13.5" customHeight="1">
      <c r="A354" s="45" t="s">
        <v>62</v>
      </c>
      <c r="B354" s="35" t="s">
        <v>535</v>
      </c>
      <c r="C354" s="36" t="s">
        <v>200</v>
      </c>
      <c r="D354" s="36" t="s">
        <v>38</v>
      </c>
      <c r="E354" s="36" t="s">
        <v>539</v>
      </c>
      <c r="F354" s="35" t="s">
        <v>583</v>
      </c>
      <c r="G354" s="46"/>
      <c r="H354" s="34">
        <v>1</v>
      </c>
      <c r="I354" s="34">
        <v>1</v>
      </c>
      <c r="J354" s="34">
        <v>1</v>
      </c>
      <c r="K354" s="34">
        <v>1</v>
      </c>
      <c r="L354" s="34">
        <v>1</v>
      </c>
      <c r="M354" s="34">
        <v>1</v>
      </c>
      <c r="N354" s="34">
        <v>1</v>
      </c>
      <c r="O354" s="34">
        <v>1</v>
      </c>
      <c r="P354" s="34">
        <v>1</v>
      </c>
      <c r="Q354" s="34">
        <v>1</v>
      </c>
      <c r="R354" s="34">
        <v>1</v>
      </c>
      <c r="S354" s="34">
        <v>1</v>
      </c>
      <c r="T354" s="34">
        <v>1</v>
      </c>
      <c r="U354" s="34">
        <v>1</v>
      </c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10">
        <f t="shared" si="21"/>
        <v>14</v>
      </c>
      <c r="AM354" s="11">
        <v>32000</v>
      </c>
      <c r="AN354" s="12">
        <f t="shared" si="22"/>
        <v>448000</v>
      </c>
    </row>
    <row r="355" spans="1:41" ht="13.5" customHeight="1">
      <c r="A355" s="45" t="s">
        <v>62</v>
      </c>
      <c r="B355" s="35" t="s">
        <v>537</v>
      </c>
      <c r="C355" s="36" t="s">
        <v>170</v>
      </c>
      <c r="D355" s="36" t="s">
        <v>307</v>
      </c>
      <c r="E355" s="36" t="s">
        <v>548</v>
      </c>
      <c r="F355" s="35" t="s">
        <v>308</v>
      </c>
      <c r="G355" s="46"/>
      <c r="H355" s="34">
        <v>1</v>
      </c>
      <c r="I355" s="34">
        <v>1</v>
      </c>
      <c r="J355" s="34">
        <v>1</v>
      </c>
      <c r="K355" s="34">
        <v>1</v>
      </c>
      <c r="L355" s="34">
        <v>1</v>
      </c>
      <c r="M355" s="34">
        <v>1</v>
      </c>
      <c r="N355" s="34">
        <v>1</v>
      </c>
      <c r="O355" s="34">
        <v>1</v>
      </c>
      <c r="P355" s="34">
        <v>1</v>
      </c>
      <c r="Q355" s="34">
        <v>1</v>
      </c>
      <c r="R355" s="34">
        <v>1</v>
      </c>
      <c r="S355" s="34">
        <v>1</v>
      </c>
      <c r="T355" s="34">
        <v>1</v>
      </c>
      <c r="U355" s="34">
        <v>1</v>
      </c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10">
        <f t="shared" si="21"/>
        <v>14</v>
      </c>
      <c r="AM355" s="11">
        <v>32000</v>
      </c>
      <c r="AN355" s="12">
        <f t="shared" si="22"/>
        <v>448000</v>
      </c>
    </row>
    <row r="356" spans="1:41" ht="13.5" customHeight="1">
      <c r="A356" s="45" t="s">
        <v>62</v>
      </c>
      <c r="B356" s="35" t="s">
        <v>537</v>
      </c>
      <c r="C356" s="36" t="s">
        <v>148</v>
      </c>
      <c r="D356" s="36" t="s">
        <v>417</v>
      </c>
      <c r="E356" s="36" t="s">
        <v>359</v>
      </c>
      <c r="F356" s="35" t="s">
        <v>418</v>
      </c>
      <c r="G356" s="46"/>
      <c r="H356" s="34">
        <v>1</v>
      </c>
      <c r="I356" s="34">
        <v>1</v>
      </c>
      <c r="J356" s="34">
        <v>1</v>
      </c>
      <c r="K356" s="34">
        <v>1</v>
      </c>
      <c r="L356" s="34">
        <v>1</v>
      </c>
      <c r="M356" s="34">
        <v>1</v>
      </c>
      <c r="N356" s="34">
        <v>1</v>
      </c>
      <c r="O356" s="34">
        <v>1</v>
      </c>
      <c r="P356" s="34">
        <v>1</v>
      </c>
      <c r="Q356" s="34">
        <v>1</v>
      </c>
      <c r="R356" s="34">
        <v>1</v>
      </c>
      <c r="S356" s="34">
        <v>1</v>
      </c>
      <c r="T356" s="34">
        <v>1</v>
      </c>
      <c r="U356" s="34">
        <v>1</v>
      </c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10">
        <f t="shared" si="21"/>
        <v>14</v>
      </c>
      <c r="AM356" s="11">
        <v>32000</v>
      </c>
      <c r="AN356" s="12">
        <f t="shared" si="22"/>
        <v>448000</v>
      </c>
    </row>
    <row r="357" spans="1:41" ht="13.5" customHeight="1">
      <c r="A357" s="45" t="s">
        <v>62</v>
      </c>
      <c r="B357" s="35" t="s">
        <v>857</v>
      </c>
      <c r="C357" s="36" t="s">
        <v>858</v>
      </c>
      <c r="D357" s="36" t="s">
        <v>859</v>
      </c>
      <c r="E357" s="36" t="s">
        <v>860</v>
      </c>
      <c r="F357" s="35" t="s">
        <v>861</v>
      </c>
      <c r="G357" s="46"/>
      <c r="H357" s="34">
        <v>1</v>
      </c>
      <c r="I357" s="34">
        <v>1</v>
      </c>
      <c r="J357" s="34">
        <v>1</v>
      </c>
      <c r="K357" s="34">
        <v>1</v>
      </c>
      <c r="L357" s="34">
        <v>1</v>
      </c>
      <c r="M357" s="34">
        <v>1</v>
      </c>
      <c r="N357" s="34">
        <v>1</v>
      </c>
      <c r="O357" s="34">
        <v>1</v>
      </c>
      <c r="P357" s="34">
        <v>1</v>
      </c>
      <c r="Q357" s="34">
        <v>1</v>
      </c>
      <c r="R357" s="34">
        <v>1</v>
      </c>
      <c r="S357" s="34">
        <v>1</v>
      </c>
      <c r="T357" s="34">
        <v>1</v>
      </c>
      <c r="U357" s="34">
        <v>1</v>
      </c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10">
        <f t="shared" si="21"/>
        <v>14</v>
      </c>
      <c r="AM357" s="11">
        <v>32000</v>
      </c>
      <c r="AN357" s="12">
        <f t="shared" si="22"/>
        <v>448000</v>
      </c>
    </row>
    <row r="358" spans="1:41" ht="13.5" customHeight="1">
      <c r="A358" s="45" t="s">
        <v>62</v>
      </c>
      <c r="B358" s="35" t="s">
        <v>857</v>
      </c>
      <c r="C358" s="36" t="s">
        <v>23</v>
      </c>
      <c r="D358" s="36" t="s">
        <v>862</v>
      </c>
      <c r="E358" s="36" t="s">
        <v>135</v>
      </c>
      <c r="F358" s="35" t="s">
        <v>863</v>
      </c>
      <c r="G358" s="46"/>
      <c r="H358" s="34">
        <v>1</v>
      </c>
      <c r="I358" s="34">
        <v>1</v>
      </c>
      <c r="J358" s="34">
        <v>1</v>
      </c>
      <c r="K358" s="34">
        <v>1</v>
      </c>
      <c r="L358" s="34">
        <v>1</v>
      </c>
      <c r="M358" s="34">
        <v>1</v>
      </c>
      <c r="N358" s="34">
        <v>1</v>
      </c>
      <c r="O358" s="34">
        <v>1</v>
      </c>
      <c r="P358" s="34">
        <v>1</v>
      </c>
      <c r="Q358" s="34">
        <v>1</v>
      </c>
      <c r="R358" s="34">
        <v>1</v>
      </c>
      <c r="S358" s="34">
        <v>1</v>
      </c>
      <c r="T358" s="34">
        <v>1</v>
      </c>
      <c r="U358" s="34">
        <v>1</v>
      </c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10">
        <f t="shared" si="21"/>
        <v>14</v>
      </c>
      <c r="AM358" s="11">
        <v>32000</v>
      </c>
      <c r="AN358" s="12">
        <f t="shared" si="22"/>
        <v>448000</v>
      </c>
    </row>
    <row r="359" spans="1:41" ht="13.5" customHeight="1">
      <c r="A359" s="45" t="s">
        <v>1501</v>
      </c>
      <c r="B359" s="65">
        <v>202</v>
      </c>
      <c r="C359" s="36" t="s">
        <v>476</v>
      </c>
      <c r="D359" s="36" t="s">
        <v>882</v>
      </c>
      <c r="E359" s="36" t="s">
        <v>37</v>
      </c>
      <c r="F359" s="35" t="s">
        <v>486</v>
      </c>
      <c r="G359" s="46"/>
      <c r="H359" s="46"/>
      <c r="I359" s="46"/>
      <c r="J359" s="46"/>
      <c r="K359" s="46"/>
      <c r="L359" s="46"/>
      <c r="M359" s="46"/>
      <c r="N359" s="34">
        <v>1</v>
      </c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10">
        <f t="shared" si="21"/>
        <v>1</v>
      </c>
      <c r="AM359" s="11">
        <v>32000</v>
      </c>
      <c r="AN359" s="12">
        <f t="shared" si="22"/>
        <v>32000</v>
      </c>
      <c r="AO359" s="1" t="s">
        <v>886</v>
      </c>
    </row>
    <row r="360" spans="1:41" ht="13.5" customHeight="1">
      <c r="A360" s="45" t="s">
        <v>1501</v>
      </c>
      <c r="B360" s="65">
        <v>202</v>
      </c>
      <c r="C360" s="36" t="s">
        <v>26</v>
      </c>
      <c r="D360" s="36" t="s">
        <v>93</v>
      </c>
      <c r="E360" s="36" t="s">
        <v>43</v>
      </c>
      <c r="F360" s="35" t="s">
        <v>44</v>
      </c>
      <c r="G360" s="46"/>
      <c r="H360" s="46"/>
      <c r="I360" s="46"/>
      <c r="J360" s="46"/>
      <c r="K360" s="46"/>
      <c r="L360" s="46"/>
      <c r="M360" s="46"/>
      <c r="N360" s="34">
        <v>1</v>
      </c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10">
        <f t="shared" si="21"/>
        <v>1</v>
      </c>
      <c r="AM360" s="11">
        <v>32000</v>
      </c>
      <c r="AN360" s="12">
        <f t="shared" si="22"/>
        <v>32000</v>
      </c>
      <c r="AO360" s="1" t="s">
        <v>886</v>
      </c>
    </row>
    <row r="361" spans="1:41" ht="13.5" customHeight="1">
      <c r="A361" s="45" t="s">
        <v>1501</v>
      </c>
      <c r="B361" s="65">
        <v>203</v>
      </c>
      <c r="C361" s="36" t="s">
        <v>48</v>
      </c>
      <c r="D361" s="36" t="s">
        <v>475</v>
      </c>
      <c r="E361" s="36" t="s">
        <v>217</v>
      </c>
      <c r="F361" s="35" t="s">
        <v>49</v>
      </c>
      <c r="G361" s="46"/>
      <c r="H361" s="46"/>
      <c r="I361" s="46"/>
      <c r="J361" s="46"/>
      <c r="K361" s="46"/>
      <c r="L361" s="46"/>
      <c r="M361" s="46"/>
      <c r="N361" s="34">
        <v>1</v>
      </c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10">
        <f t="shared" si="21"/>
        <v>1</v>
      </c>
      <c r="AM361" s="11">
        <v>32000</v>
      </c>
      <c r="AN361" s="12">
        <f t="shared" si="22"/>
        <v>32000</v>
      </c>
      <c r="AO361" s="1" t="s">
        <v>886</v>
      </c>
    </row>
    <row r="362" spans="1:41" ht="13.5" customHeight="1">
      <c r="A362" s="45" t="s">
        <v>1501</v>
      </c>
      <c r="B362" s="65">
        <v>203</v>
      </c>
      <c r="C362" s="36" t="s">
        <v>468</v>
      </c>
      <c r="D362" s="36" t="s">
        <v>213</v>
      </c>
      <c r="E362" s="36" t="s">
        <v>470</v>
      </c>
      <c r="F362" s="35" t="s">
        <v>471</v>
      </c>
      <c r="G362" s="46"/>
      <c r="H362" s="46"/>
      <c r="I362" s="46"/>
      <c r="J362" s="46"/>
      <c r="K362" s="46"/>
      <c r="L362" s="46"/>
      <c r="M362" s="46"/>
      <c r="N362" s="34">
        <v>1</v>
      </c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10">
        <f t="shared" si="21"/>
        <v>1</v>
      </c>
      <c r="AM362" s="11">
        <v>32000</v>
      </c>
      <c r="AN362" s="12">
        <f t="shared" si="22"/>
        <v>32000</v>
      </c>
      <c r="AO362" s="1" t="s">
        <v>886</v>
      </c>
    </row>
    <row r="363" spans="1:41" ht="13.5" customHeight="1">
      <c r="A363" s="45" t="s">
        <v>1501</v>
      </c>
      <c r="B363" s="65">
        <v>204</v>
      </c>
      <c r="C363" s="36" t="s">
        <v>477</v>
      </c>
      <c r="D363" s="36" t="s">
        <v>478</v>
      </c>
      <c r="E363" s="36" t="s">
        <v>467</v>
      </c>
      <c r="F363" s="35" t="s">
        <v>59</v>
      </c>
      <c r="G363" s="46"/>
      <c r="H363" s="46"/>
      <c r="I363" s="46"/>
      <c r="J363" s="46"/>
      <c r="K363" s="46"/>
      <c r="L363" s="46"/>
      <c r="M363" s="46"/>
      <c r="N363" s="34">
        <v>1</v>
      </c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10">
        <f t="shared" si="21"/>
        <v>1</v>
      </c>
      <c r="AM363" s="11">
        <v>32000</v>
      </c>
      <c r="AN363" s="12">
        <f t="shared" si="22"/>
        <v>32000</v>
      </c>
      <c r="AO363" s="1" t="s">
        <v>886</v>
      </c>
    </row>
    <row r="364" spans="1:41" ht="13.5" customHeight="1">
      <c r="A364" s="45" t="s">
        <v>1501</v>
      </c>
      <c r="B364" s="65">
        <v>204</v>
      </c>
      <c r="C364" s="36" t="s">
        <v>456</v>
      </c>
      <c r="D364" s="36" t="s">
        <v>479</v>
      </c>
      <c r="E364" s="36" t="s">
        <v>194</v>
      </c>
      <c r="F364" s="35" t="s">
        <v>451</v>
      </c>
      <c r="G364" s="46"/>
      <c r="H364" s="46"/>
      <c r="I364" s="46"/>
      <c r="J364" s="46"/>
      <c r="K364" s="46"/>
      <c r="L364" s="46"/>
      <c r="M364" s="46"/>
      <c r="N364" s="34">
        <v>1</v>
      </c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10">
        <f t="shared" si="21"/>
        <v>1</v>
      </c>
      <c r="AM364" s="11">
        <v>32000</v>
      </c>
      <c r="AN364" s="12">
        <f t="shared" si="22"/>
        <v>32000</v>
      </c>
      <c r="AO364" s="1" t="s">
        <v>886</v>
      </c>
    </row>
    <row r="365" spans="1:41" ht="13.5" customHeight="1">
      <c r="A365" s="45" t="s">
        <v>1501</v>
      </c>
      <c r="B365" s="65">
        <v>205</v>
      </c>
      <c r="C365" s="36" t="s">
        <v>883</v>
      </c>
      <c r="D365" s="36" t="s">
        <v>480</v>
      </c>
      <c r="E365" s="36" t="s">
        <v>42</v>
      </c>
      <c r="F365" s="35" t="s">
        <v>51</v>
      </c>
      <c r="G365" s="46"/>
      <c r="H365" s="46"/>
      <c r="I365" s="46"/>
      <c r="J365" s="46"/>
      <c r="K365" s="46"/>
      <c r="L365" s="46"/>
      <c r="M365" s="46"/>
      <c r="N365" s="34">
        <v>1</v>
      </c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10">
        <f t="shared" si="21"/>
        <v>1</v>
      </c>
      <c r="AM365" s="11">
        <v>32000</v>
      </c>
      <c r="AN365" s="12">
        <f t="shared" si="22"/>
        <v>32000</v>
      </c>
      <c r="AO365" s="1" t="s">
        <v>886</v>
      </c>
    </row>
    <row r="366" spans="1:41" ht="13.5" customHeight="1">
      <c r="A366" s="45" t="s">
        <v>1501</v>
      </c>
      <c r="B366" s="65">
        <v>205</v>
      </c>
      <c r="C366" s="36" t="s">
        <v>231</v>
      </c>
      <c r="D366" s="36" t="s">
        <v>481</v>
      </c>
      <c r="E366" s="36" t="s">
        <v>884</v>
      </c>
      <c r="F366" s="35" t="s">
        <v>885</v>
      </c>
      <c r="G366" s="46"/>
      <c r="H366" s="46"/>
      <c r="I366" s="46"/>
      <c r="J366" s="46"/>
      <c r="K366" s="46"/>
      <c r="L366" s="46"/>
      <c r="M366" s="46"/>
      <c r="N366" s="34">
        <v>1</v>
      </c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10">
        <f t="shared" ref="AL366:AL372" si="23">SUM(G366:AK366)</f>
        <v>1</v>
      </c>
      <c r="AM366" s="11">
        <v>32000</v>
      </c>
      <c r="AN366" s="12">
        <f t="shared" ref="AN366:AN372" si="24">AM366*AL366</f>
        <v>32000</v>
      </c>
      <c r="AO366" s="1" t="s">
        <v>886</v>
      </c>
    </row>
    <row r="367" spans="1:41" ht="13.5" customHeight="1">
      <c r="A367" s="45" t="s">
        <v>1501</v>
      </c>
      <c r="B367" s="65">
        <v>301</v>
      </c>
      <c r="C367" s="36" t="s">
        <v>45</v>
      </c>
      <c r="D367" s="36" t="s">
        <v>142</v>
      </c>
      <c r="E367" s="36" t="s">
        <v>543</v>
      </c>
      <c r="F367" s="35" t="s">
        <v>488</v>
      </c>
      <c r="G367" s="46"/>
      <c r="H367" s="46"/>
      <c r="I367" s="46"/>
      <c r="J367" s="46"/>
      <c r="K367" s="46"/>
      <c r="L367" s="46"/>
      <c r="M367" s="46"/>
      <c r="N367" s="34">
        <v>1</v>
      </c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10">
        <f t="shared" si="23"/>
        <v>1</v>
      </c>
      <c r="AM367" s="11">
        <v>32000</v>
      </c>
      <c r="AN367" s="12">
        <f t="shared" si="24"/>
        <v>32000</v>
      </c>
      <c r="AO367" s="1" t="s">
        <v>886</v>
      </c>
    </row>
    <row r="368" spans="1:41" ht="13.5" customHeight="1">
      <c r="A368" s="45" t="s">
        <v>1501</v>
      </c>
      <c r="B368" s="65">
        <v>301</v>
      </c>
      <c r="C368" s="36" t="s">
        <v>50</v>
      </c>
      <c r="D368" s="36" t="s">
        <v>150</v>
      </c>
      <c r="E368" s="36" t="s">
        <v>474</v>
      </c>
      <c r="F368" s="35" t="s">
        <v>489</v>
      </c>
      <c r="G368" s="46"/>
      <c r="H368" s="46"/>
      <c r="I368" s="46"/>
      <c r="J368" s="46"/>
      <c r="K368" s="46"/>
      <c r="L368" s="46"/>
      <c r="M368" s="46"/>
      <c r="N368" s="34">
        <v>1</v>
      </c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10">
        <f t="shared" si="23"/>
        <v>1</v>
      </c>
      <c r="AM368" s="11">
        <v>32000</v>
      </c>
      <c r="AN368" s="12">
        <f t="shared" si="24"/>
        <v>32000</v>
      </c>
      <c r="AO368" s="1" t="s">
        <v>886</v>
      </c>
    </row>
    <row r="369" spans="1:41" ht="13.5" customHeight="1">
      <c r="A369" s="45" t="s">
        <v>1501</v>
      </c>
      <c r="B369" s="65">
        <v>302</v>
      </c>
      <c r="C369" s="36" t="s">
        <v>38</v>
      </c>
      <c r="D369" s="36" t="s">
        <v>383</v>
      </c>
      <c r="E369" s="36" t="s">
        <v>356</v>
      </c>
      <c r="F369" s="35" t="s">
        <v>483</v>
      </c>
      <c r="G369" s="46"/>
      <c r="H369" s="46"/>
      <c r="I369" s="46"/>
      <c r="J369" s="46"/>
      <c r="K369" s="46"/>
      <c r="L369" s="46"/>
      <c r="M369" s="46"/>
      <c r="N369" s="34">
        <v>1</v>
      </c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10">
        <f t="shared" si="23"/>
        <v>1</v>
      </c>
      <c r="AM369" s="11">
        <v>32000</v>
      </c>
      <c r="AN369" s="12">
        <f t="shared" si="24"/>
        <v>32000</v>
      </c>
      <c r="AO369" s="1" t="s">
        <v>886</v>
      </c>
    </row>
    <row r="370" spans="1:41" ht="13.5" customHeight="1">
      <c r="A370" s="45" t="s">
        <v>1501</v>
      </c>
      <c r="B370" s="65">
        <v>302</v>
      </c>
      <c r="C370" s="36" t="s">
        <v>482</v>
      </c>
      <c r="D370" s="36" t="s">
        <v>228</v>
      </c>
      <c r="E370" s="36" t="s">
        <v>144</v>
      </c>
      <c r="F370" s="35" t="s">
        <v>484</v>
      </c>
      <c r="G370" s="46"/>
      <c r="H370" s="46"/>
      <c r="I370" s="46"/>
      <c r="J370" s="46"/>
      <c r="K370" s="46"/>
      <c r="L370" s="46"/>
      <c r="M370" s="46"/>
      <c r="N370" s="34">
        <v>1</v>
      </c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10">
        <f t="shared" si="23"/>
        <v>1</v>
      </c>
      <c r="AM370" s="11">
        <v>32000</v>
      </c>
      <c r="AN370" s="12">
        <f t="shared" si="24"/>
        <v>32000</v>
      </c>
      <c r="AO370" s="1" t="s">
        <v>886</v>
      </c>
    </row>
    <row r="371" spans="1:41" ht="13.5" customHeight="1">
      <c r="A371" s="45" t="s">
        <v>1501</v>
      </c>
      <c r="B371" s="65">
        <v>303</v>
      </c>
      <c r="C371" s="36" t="s">
        <v>12</v>
      </c>
      <c r="D371" s="36" t="s">
        <v>72</v>
      </c>
      <c r="E371" s="36" t="s">
        <v>55</v>
      </c>
      <c r="F371" s="35" t="s">
        <v>487</v>
      </c>
      <c r="G371" s="46"/>
      <c r="H371" s="46"/>
      <c r="I371" s="46"/>
      <c r="J371" s="46"/>
      <c r="K371" s="46"/>
      <c r="L371" s="46"/>
      <c r="M371" s="46"/>
      <c r="N371" s="34">
        <v>1</v>
      </c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10">
        <f t="shared" si="23"/>
        <v>1</v>
      </c>
      <c r="AM371" s="11">
        <v>32000</v>
      </c>
      <c r="AN371" s="12">
        <f t="shared" si="24"/>
        <v>32000</v>
      </c>
      <c r="AO371" s="1" t="s">
        <v>886</v>
      </c>
    </row>
    <row r="372" spans="1:41" ht="13.5" customHeight="1" thickBot="1">
      <c r="A372" s="45" t="s">
        <v>1501</v>
      </c>
      <c r="B372" s="66">
        <v>302</v>
      </c>
      <c r="C372" s="38" t="s">
        <v>56</v>
      </c>
      <c r="D372" s="38" t="s">
        <v>473</v>
      </c>
      <c r="E372" s="38" t="s">
        <v>57</v>
      </c>
      <c r="F372" s="59" t="s">
        <v>58</v>
      </c>
      <c r="G372" s="50"/>
      <c r="H372" s="50"/>
      <c r="I372" s="50"/>
      <c r="J372" s="50"/>
      <c r="K372" s="50"/>
      <c r="L372" s="50"/>
      <c r="M372" s="50"/>
      <c r="N372" s="39">
        <v>1</v>
      </c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13">
        <f t="shared" si="23"/>
        <v>1</v>
      </c>
      <c r="AM372" s="14">
        <v>32000</v>
      </c>
      <c r="AN372" s="14">
        <f t="shared" si="24"/>
        <v>32000</v>
      </c>
      <c r="AO372" s="1" t="s">
        <v>886</v>
      </c>
    </row>
    <row r="373" spans="1:41" ht="13.5" customHeight="1">
      <c r="A373" s="45" t="s">
        <v>62</v>
      </c>
      <c r="B373" s="32">
        <v>7</v>
      </c>
      <c r="C373" s="33" t="s">
        <v>353</v>
      </c>
      <c r="D373" s="33" t="s">
        <v>178</v>
      </c>
      <c r="E373" s="33" t="s">
        <v>280</v>
      </c>
      <c r="F373" s="32" t="s">
        <v>281</v>
      </c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34">
        <v>1</v>
      </c>
      <c r="W373" s="34">
        <v>1</v>
      </c>
      <c r="X373" s="34">
        <v>1</v>
      </c>
      <c r="Y373" s="34">
        <v>1</v>
      </c>
      <c r="Z373" s="34">
        <v>1</v>
      </c>
      <c r="AA373" s="34">
        <v>1</v>
      </c>
      <c r="AB373" s="34">
        <v>1</v>
      </c>
      <c r="AC373" s="34">
        <v>1</v>
      </c>
      <c r="AD373" s="34">
        <v>1</v>
      </c>
      <c r="AE373" s="34">
        <v>1</v>
      </c>
      <c r="AF373" s="34">
        <v>1</v>
      </c>
      <c r="AG373" s="34">
        <v>1</v>
      </c>
      <c r="AH373" s="34">
        <v>1</v>
      </c>
      <c r="AI373" s="34">
        <v>1</v>
      </c>
      <c r="AJ373" s="46"/>
      <c r="AK373" s="46"/>
      <c r="AL373" s="42">
        <f t="shared" ref="AL373:AL416" si="25">SUM(G373:AK373)</f>
        <v>14</v>
      </c>
      <c r="AM373" s="11">
        <v>32000</v>
      </c>
      <c r="AN373" s="11">
        <f t="shared" ref="AN373:AN416" si="26">AM373*AL373</f>
        <v>448000</v>
      </c>
      <c r="AO373" s="1"/>
    </row>
    <row r="374" spans="1:41" ht="13.5" customHeight="1">
      <c r="A374" s="51" t="s">
        <v>62</v>
      </c>
      <c r="B374" s="35">
        <v>7</v>
      </c>
      <c r="C374" s="36" t="s">
        <v>287</v>
      </c>
      <c r="D374" s="36" t="s">
        <v>98</v>
      </c>
      <c r="E374" s="36" t="s">
        <v>11</v>
      </c>
      <c r="F374" s="35" t="s">
        <v>288</v>
      </c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37">
        <v>1</v>
      </c>
      <c r="W374" s="37">
        <v>1</v>
      </c>
      <c r="X374" s="37">
        <v>1</v>
      </c>
      <c r="Y374" s="37">
        <v>1</v>
      </c>
      <c r="Z374" s="37">
        <v>1</v>
      </c>
      <c r="AA374" s="37">
        <v>1</v>
      </c>
      <c r="AB374" s="37">
        <v>1</v>
      </c>
      <c r="AC374" s="37">
        <v>1</v>
      </c>
      <c r="AD374" s="37">
        <v>1</v>
      </c>
      <c r="AE374" s="37">
        <v>1</v>
      </c>
      <c r="AF374" s="37">
        <v>1</v>
      </c>
      <c r="AG374" s="37">
        <v>1</v>
      </c>
      <c r="AH374" s="37">
        <v>1</v>
      </c>
      <c r="AI374" s="37">
        <v>1</v>
      </c>
      <c r="AJ374" s="52"/>
      <c r="AK374" s="52"/>
      <c r="AL374" s="10">
        <f t="shared" si="25"/>
        <v>14</v>
      </c>
      <c r="AM374" s="12">
        <v>32000</v>
      </c>
      <c r="AN374" s="12">
        <f t="shared" si="26"/>
        <v>448000</v>
      </c>
      <c r="AO374" s="1"/>
    </row>
    <row r="375" spans="1:41" ht="13.5" customHeight="1">
      <c r="A375" s="51" t="s">
        <v>62</v>
      </c>
      <c r="B375" s="35">
        <v>8</v>
      </c>
      <c r="C375" s="36" t="s">
        <v>19</v>
      </c>
      <c r="D375" s="36" t="s">
        <v>891</v>
      </c>
      <c r="E375" s="36" t="s">
        <v>37</v>
      </c>
      <c r="F375" s="35" t="s">
        <v>904</v>
      </c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37">
        <v>1</v>
      </c>
      <c r="W375" s="37">
        <v>1</v>
      </c>
      <c r="X375" s="37">
        <v>1</v>
      </c>
      <c r="Y375" s="37">
        <v>1</v>
      </c>
      <c r="Z375" s="37">
        <v>1</v>
      </c>
      <c r="AA375" s="37">
        <v>1</v>
      </c>
      <c r="AB375" s="37">
        <v>1</v>
      </c>
      <c r="AC375" s="37">
        <v>1</v>
      </c>
      <c r="AD375" s="37">
        <v>1</v>
      </c>
      <c r="AE375" s="37">
        <v>1</v>
      </c>
      <c r="AF375" s="37">
        <v>1</v>
      </c>
      <c r="AG375" s="37">
        <v>1</v>
      </c>
      <c r="AH375" s="37">
        <v>1</v>
      </c>
      <c r="AI375" s="37">
        <v>1</v>
      </c>
      <c r="AJ375" s="52"/>
      <c r="AK375" s="52"/>
      <c r="AL375" s="10">
        <f t="shared" si="25"/>
        <v>14</v>
      </c>
      <c r="AM375" s="12">
        <v>32000</v>
      </c>
      <c r="AN375" s="12">
        <f t="shared" si="26"/>
        <v>448000</v>
      </c>
      <c r="AO375" s="1"/>
    </row>
    <row r="376" spans="1:41" ht="13.5" customHeight="1">
      <c r="A376" s="51" t="s">
        <v>62</v>
      </c>
      <c r="B376" s="35">
        <v>8</v>
      </c>
      <c r="C376" s="36" t="s">
        <v>556</v>
      </c>
      <c r="D376" s="36" t="s">
        <v>908</v>
      </c>
      <c r="E376" s="36" t="s">
        <v>24</v>
      </c>
      <c r="F376" s="35" t="s">
        <v>558</v>
      </c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37">
        <v>1</v>
      </c>
      <c r="W376" s="37">
        <v>1</v>
      </c>
      <c r="X376" s="37">
        <v>1</v>
      </c>
      <c r="Y376" s="37">
        <v>1</v>
      </c>
      <c r="Z376" s="37">
        <v>1</v>
      </c>
      <c r="AA376" s="37">
        <v>1</v>
      </c>
      <c r="AB376" s="37">
        <v>1</v>
      </c>
      <c r="AC376" s="37">
        <v>1</v>
      </c>
      <c r="AD376" s="37">
        <v>1</v>
      </c>
      <c r="AE376" s="37">
        <v>1</v>
      </c>
      <c r="AF376" s="37">
        <v>1</v>
      </c>
      <c r="AG376" s="37">
        <v>1</v>
      </c>
      <c r="AH376" s="37">
        <v>1</v>
      </c>
      <c r="AI376" s="37">
        <v>1</v>
      </c>
      <c r="AJ376" s="52"/>
      <c r="AK376" s="52"/>
      <c r="AL376" s="10">
        <f t="shared" si="25"/>
        <v>14</v>
      </c>
      <c r="AM376" s="12">
        <v>32000</v>
      </c>
      <c r="AN376" s="12">
        <f t="shared" si="26"/>
        <v>448000</v>
      </c>
      <c r="AO376" s="1"/>
    </row>
    <row r="377" spans="1:41" ht="13.5" customHeight="1">
      <c r="A377" s="51" t="s">
        <v>62</v>
      </c>
      <c r="B377" s="35">
        <v>9</v>
      </c>
      <c r="C377" s="36" t="s">
        <v>364</v>
      </c>
      <c r="D377" s="36" t="s">
        <v>178</v>
      </c>
      <c r="E377" s="36" t="s">
        <v>135</v>
      </c>
      <c r="F377" s="35" t="s">
        <v>239</v>
      </c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37">
        <v>1</v>
      </c>
      <c r="W377" s="37">
        <v>1</v>
      </c>
      <c r="X377" s="37">
        <v>1</v>
      </c>
      <c r="Y377" s="37">
        <v>1</v>
      </c>
      <c r="Z377" s="37">
        <v>1</v>
      </c>
      <c r="AA377" s="37">
        <v>1</v>
      </c>
      <c r="AB377" s="37">
        <v>1</v>
      </c>
      <c r="AC377" s="37">
        <v>1</v>
      </c>
      <c r="AD377" s="37">
        <v>1</v>
      </c>
      <c r="AE377" s="37">
        <v>1</v>
      </c>
      <c r="AF377" s="37">
        <v>1</v>
      </c>
      <c r="AG377" s="37">
        <v>1</v>
      </c>
      <c r="AH377" s="37">
        <v>1</v>
      </c>
      <c r="AI377" s="37">
        <v>1</v>
      </c>
      <c r="AJ377" s="52"/>
      <c r="AK377" s="52"/>
      <c r="AL377" s="10">
        <f t="shared" si="25"/>
        <v>14</v>
      </c>
      <c r="AM377" s="12">
        <v>32000</v>
      </c>
      <c r="AN377" s="12">
        <f t="shared" si="26"/>
        <v>448000</v>
      </c>
      <c r="AO377" s="1"/>
    </row>
    <row r="378" spans="1:41" ht="13.5" customHeight="1">
      <c r="A378" s="51" t="s">
        <v>62</v>
      </c>
      <c r="B378" s="35">
        <v>9</v>
      </c>
      <c r="C378" s="36" t="s">
        <v>38</v>
      </c>
      <c r="D378" s="36" t="s">
        <v>393</v>
      </c>
      <c r="E378" s="36" t="s">
        <v>394</v>
      </c>
      <c r="F378" s="35" t="s">
        <v>395</v>
      </c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37">
        <v>1</v>
      </c>
      <c r="W378" s="37">
        <v>1</v>
      </c>
      <c r="X378" s="37">
        <v>1</v>
      </c>
      <c r="Y378" s="37">
        <v>1</v>
      </c>
      <c r="Z378" s="37">
        <v>1</v>
      </c>
      <c r="AA378" s="37">
        <v>1</v>
      </c>
      <c r="AB378" s="37">
        <v>1</v>
      </c>
      <c r="AC378" s="37">
        <v>1</v>
      </c>
      <c r="AD378" s="37">
        <v>1</v>
      </c>
      <c r="AE378" s="37">
        <v>1</v>
      </c>
      <c r="AF378" s="37">
        <v>1</v>
      </c>
      <c r="AG378" s="37">
        <v>1</v>
      </c>
      <c r="AH378" s="37">
        <v>1</v>
      </c>
      <c r="AI378" s="37">
        <v>1</v>
      </c>
      <c r="AJ378" s="52"/>
      <c r="AK378" s="52"/>
      <c r="AL378" s="10">
        <f t="shared" si="25"/>
        <v>14</v>
      </c>
      <c r="AM378" s="12">
        <v>32000</v>
      </c>
      <c r="AN378" s="12">
        <f t="shared" si="26"/>
        <v>448000</v>
      </c>
      <c r="AO378" s="1"/>
    </row>
    <row r="379" spans="1:41" ht="13.5" customHeight="1">
      <c r="A379" s="51" t="s">
        <v>62</v>
      </c>
      <c r="B379" s="35">
        <v>10</v>
      </c>
      <c r="C379" s="36" t="s">
        <v>189</v>
      </c>
      <c r="D379" s="36" t="s">
        <v>189</v>
      </c>
      <c r="E379" s="36" t="s">
        <v>190</v>
      </c>
      <c r="F379" s="35" t="s">
        <v>191</v>
      </c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37">
        <v>1</v>
      </c>
      <c r="W379" s="37">
        <v>1</v>
      </c>
      <c r="X379" s="37">
        <v>1</v>
      </c>
      <c r="Y379" s="37">
        <v>1</v>
      </c>
      <c r="Z379" s="37">
        <v>1</v>
      </c>
      <c r="AA379" s="37">
        <v>1</v>
      </c>
      <c r="AB379" s="37">
        <v>1</v>
      </c>
      <c r="AC379" s="37">
        <v>1</v>
      </c>
      <c r="AD379" s="37">
        <v>1</v>
      </c>
      <c r="AE379" s="37">
        <v>1</v>
      </c>
      <c r="AF379" s="37">
        <v>1</v>
      </c>
      <c r="AG379" s="37">
        <v>1</v>
      </c>
      <c r="AH379" s="37">
        <v>1</v>
      </c>
      <c r="AI379" s="37">
        <v>1</v>
      </c>
      <c r="AJ379" s="52"/>
      <c r="AK379" s="52"/>
      <c r="AL379" s="10">
        <f t="shared" si="25"/>
        <v>14</v>
      </c>
      <c r="AM379" s="12">
        <v>32000</v>
      </c>
      <c r="AN379" s="12">
        <f t="shared" si="26"/>
        <v>448000</v>
      </c>
      <c r="AO379" s="1"/>
    </row>
    <row r="380" spans="1:41" ht="13.5" customHeight="1">
      <c r="A380" s="51" t="s">
        <v>62</v>
      </c>
      <c r="B380" s="35">
        <v>10</v>
      </c>
      <c r="C380" s="36" t="s">
        <v>241</v>
      </c>
      <c r="D380" s="36" t="s">
        <v>242</v>
      </c>
      <c r="E380" s="36" t="s">
        <v>243</v>
      </c>
      <c r="F380" s="35" t="s">
        <v>244</v>
      </c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37">
        <v>1</v>
      </c>
      <c r="W380" s="37">
        <v>1</v>
      </c>
      <c r="X380" s="37">
        <v>1</v>
      </c>
      <c r="Y380" s="37">
        <v>1</v>
      </c>
      <c r="Z380" s="37">
        <v>1</v>
      </c>
      <c r="AA380" s="37">
        <v>1</v>
      </c>
      <c r="AB380" s="37">
        <v>1</v>
      </c>
      <c r="AC380" s="37">
        <v>1</v>
      </c>
      <c r="AD380" s="37">
        <v>1</v>
      </c>
      <c r="AE380" s="37">
        <v>1</v>
      </c>
      <c r="AF380" s="37">
        <v>1</v>
      </c>
      <c r="AG380" s="37">
        <v>1</v>
      </c>
      <c r="AH380" s="37">
        <v>1</v>
      </c>
      <c r="AI380" s="37">
        <v>1</v>
      </c>
      <c r="AJ380" s="52"/>
      <c r="AK380" s="52"/>
      <c r="AL380" s="10">
        <f t="shared" si="25"/>
        <v>14</v>
      </c>
      <c r="AM380" s="12">
        <v>32000</v>
      </c>
      <c r="AN380" s="12">
        <f t="shared" si="26"/>
        <v>448000</v>
      </c>
      <c r="AO380" s="1"/>
    </row>
    <row r="381" spans="1:41" ht="13.5" customHeight="1">
      <c r="A381" s="51" t="s">
        <v>62</v>
      </c>
      <c r="B381" s="35">
        <v>11</v>
      </c>
      <c r="C381" s="36" t="s">
        <v>257</v>
      </c>
      <c r="D381" s="36" t="s">
        <v>258</v>
      </c>
      <c r="E381" s="36" t="s">
        <v>28</v>
      </c>
      <c r="F381" s="35" t="s">
        <v>259</v>
      </c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37">
        <v>1</v>
      </c>
      <c r="W381" s="37">
        <v>1</v>
      </c>
      <c r="X381" s="37">
        <v>1</v>
      </c>
      <c r="Y381" s="37">
        <v>1</v>
      </c>
      <c r="Z381" s="37">
        <v>1</v>
      </c>
      <c r="AA381" s="37">
        <v>1</v>
      </c>
      <c r="AB381" s="37">
        <v>1</v>
      </c>
      <c r="AC381" s="37">
        <v>1</v>
      </c>
      <c r="AD381" s="37">
        <v>1</v>
      </c>
      <c r="AE381" s="37">
        <v>1</v>
      </c>
      <c r="AF381" s="37">
        <v>1</v>
      </c>
      <c r="AG381" s="37">
        <v>1</v>
      </c>
      <c r="AH381" s="37">
        <v>1</v>
      </c>
      <c r="AI381" s="37">
        <v>1</v>
      </c>
      <c r="AJ381" s="52"/>
      <c r="AK381" s="52"/>
      <c r="AL381" s="10">
        <f t="shared" si="25"/>
        <v>14</v>
      </c>
      <c r="AM381" s="12">
        <v>32000</v>
      </c>
      <c r="AN381" s="12">
        <f t="shared" si="26"/>
        <v>448000</v>
      </c>
      <c r="AO381" s="1"/>
    </row>
    <row r="382" spans="1:41" ht="13.5" customHeight="1">
      <c r="A382" s="51" t="s">
        <v>62</v>
      </c>
      <c r="B382" s="35">
        <v>11</v>
      </c>
      <c r="C382" s="36" t="s">
        <v>323</v>
      </c>
      <c r="D382" s="36" t="s">
        <v>233</v>
      </c>
      <c r="E382" s="36" t="s">
        <v>143</v>
      </c>
      <c r="F382" s="35" t="s">
        <v>324</v>
      </c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37">
        <v>1</v>
      </c>
      <c r="W382" s="37">
        <v>1</v>
      </c>
      <c r="X382" s="37">
        <v>1</v>
      </c>
      <c r="Y382" s="37">
        <v>1</v>
      </c>
      <c r="Z382" s="37">
        <v>1</v>
      </c>
      <c r="AA382" s="37">
        <v>1</v>
      </c>
      <c r="AB382" s="37">
        <v>1</v>
      </c>
      <c r="AC382" s="37">
        <v>1</v>
      </c>
      <c r="AD382" s="37">
        <v>1</v>
      </c>
      <c r="AE382" s="37">
        <v>1</v>
      </c>
      <c r="AF382" s="37">
        <v>1</v>
      </c>
      <c r="AG382" s="37">
        <v>1</v>
      </c>
      <c r="AH382" s="37">
        <v>1</v>
      </c>
      <c r="AI382" s="37">
        <v>1</v>
      </c>
      <c r="AJ382" s="52"/>
      <c r="AK382" s="52"/>
      <c r="AL382" s="10">
        <f t="shared" si="25"/>
        <v>14</v>
      </c>
      <c r="AM382" s="12">
        <v>32000</v>
      </c>
      <c r="AN382" s="12">
        <f t="shared" si="26"/>
        <v>448000</v>
      </c>
      <c r="AO382" s="1"/>
    </row>
    <row r="383" spans="1:41" ht="13.5" customHeight="1">
      <c r="A383" s="51" t="s">
        <v>62</v>
      </c>
      <c r="B383" s="35">
        <v>14</v>
      </c>
      <c r="C383" s="36" t="s">
        <v>887</v>
      </c>
      <c r="D383" s="36" t="s">
        <v>887</v>
      </c>
      <c r="E383" s="36" t="s">
        <v>888</v>
      </c>
      <c r="F383" s="35" t="s">
        <v>907</v>
      </c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37">
        <v>1</v>
      </c>
      <c r="W383" s="37">
        <v>1</v>
      </c>
      <c r="X383" s="37">
        <v>1</v>
      </c>
      <c r="Y383" s="37">
        <v>1</v>
      </c>
      <c r="Z383" s="37">
        <v>1</v>
      </c>
      <c r="AA383" s="37">
        <v>1</v>
      </c>
      <c r="AB383" s="37">
        <v>1</v>
      </c>
      <c r="AC383" s="37">
        <v>1</v>
      </c>
      <c r="AD383" s="37">
        <v>1</v>
      </c>
      <c r="AE383" s="37">
        <v>1</v>
      </c>
      <c r="AF383" s="37">
        <v>1</v>
      </c>
      <c r="AG383" s="37">
        <v>1</v>
      </c>
      <c r="AH383" s="37">
        <v>1</v>
      </c>
      <c r="AI383" s="37">
        <v>1</v>
      </c>
      <c r="AJ383" s="52"/>
      <c r="AK383" s="52"/>
      <c r="AL383" s="10">
        <f t="shared" si="25"/>
        <v>14</v>
      </c>
      <c r="AM383" s="12">
        <v>32000</v>
      </c>
      <c r="AN383" s="12">
        <f t="shared" si="26"/>
        <v>448000</v>
      </c>
      <c r="AO383" s="1"/>
    </row>
    <row r="384" spans="1:41" ht="13.5" customHeight="1">
      <c r="A384" s="51" t="s">
        <v>62</v>
      </c>
      <c r="B384" s="35">
        <v>14</v>
      </c>
      <c r="C384" s="36" t="s">
        <v>17</v>
      </c>
      <c r="D384" s="36" t="s">
        <v>23</v>
      </c>
      <c r="E384" s="36" t="s">
        <v>889</v>
      </c>
      <c r="F384" s="35" t="s">
        <v>906</v>
      </c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37">
        <v>1</v>
      </c>
      <c r="W384" s="37">
        <v>1</v>
      </c>
      <c r="X384" s="37">
        <v>1</v>
      </c>
      <c r="Y384" s="37">
        <v>1</v>
      </c>
      <c r="Z384" s="37">
        <v>1</v>
      </c>
      <c r="AA384" s="37">
        <v>1</v>
      </c>
      <c r="AB384" s="37">
        <v>1</v>
      </c>
      <c r="AC384" s="37">
        <v>1</v>
      </c>
      <c r="AD384" s="37">
        <v>1</v>
      </c>
      <c r="AE384" s="37">
        <v>1</v>
      </c>
      <c r="AF384" s="37">
        <v>1</v>
      </c>
      <c r="AG384" s="37">
        <v>1</v>
      </c>
      <c r="AH384" s="37">
        <v>1</v>
      </c>
      <c r="AI384" s="37">
        <v>1</v>
      </c>
      <c r="AJ384" s="52"/>
      <c r="AK384" s="52"/>
      <c r="AL384" s="10">
        <f t="shared" si="25"/>
        <v>14</v>
      </c>
      <c r="AM384" s="12">
        <v>32000</v>
      </c>
      <c r="AN384" s="12">
        <f t="shared" si="26"/>
        <v>448000</v>
      </c>
      <c r="AO384" s="1"/>
    </row>
    <row r="385" spans="1:41" ht="13.5" customHeight="1">
      <c r="A385" s="51" t="s">
        <v>62</v>
      </c>
      <c r="B385" s="35">
        <v>15</v>
      </c>
      <c r="C385" s="36" t="s">
        <v>325</v>
      </c>
      <c r="D385" s="36" t="s">
        <v>325</v>
      </c>
      <c r="E385" s="36" t="s">
        <v>185</v>
      </c>
      <c r="F385" s="35" t="s">
        <v>326</v>
      </c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37">
        <v>1</v>
      </c>
      <c r="W385" s="37">
        <v>1</v>
      </c>
      <c r="X385" s="37">
        <v>1</v>
      </c>
      <c r="Y385" s="37">
        <v>1</v>
      </c>
      <c r="Z385" s="37">
        <v>1</v>
      </c>
      <c r="AA385" s="37">
        <v>1</v>
      </c>
      <c r="AB385" s="37">
        <v>1</v>
      </c>
      <c r="AC385" s="37">
        <v>1</v>
      </c>
      <c r="AD385" s="37">
        <v>1</v>
      </c>
      <c r="AE385" s="37">
        <v>1</v>
      </c>
      <c r="AF385" s="37">
        <v>1</v>
      </c>
      <c r="AG385" s="37">
        <v>1</v>
      </c>
      <c r="AH385" s="37">
        <v>1</v>
      </c>
      <c r="AI385" s="37">
        <v>1</v>
      </c>
      <c r="AJ385" s="52"/>
      <c r="AK385" s="52"/>
      <c r="AL385" s="10">
        <f t="shared" si="25"/>
        <v>14</v>
      </c>
      <c r="AM385" s="12">
        <v>32000</v>
      </c>
      <c r="AN385" s="12">
        <f t="shared" si="26"/>
        <v>448000</v>
      </c>
      <c r="AO385" s="1"/>
    </row>
    <row r="386" spans="1:41" ht="13.5" customHeight="1">
      <c r="A386" s="51" t="s">
        <v>62</v>
      </c>
      <c r="B386" s="35">
        <v>15</v>
      </c>
      <c r="C386" s="36" t="s">
        <v>327</v>
      </c>
      <c r="D386" s="36" t="s">
        <v>328</v>
      </c>
      <c r="E386" s="36" t="s">
        <v>329</v>
      </c>
      <c r="F386" s="35" t="s">
        <v>330</v>
      </c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37">
        <v>1</v>
      </c>
      <c r="W386" s="37">
        <v>1</v>
      </c>
      <c r="X386" s="37">
        <v>1</v>
      </c>
      <c r="Y386" s="37">
        <v>1</v>
      </c>
      <c r="Z386" s="37">
        <v>1</v>
      </c>
      <c r="AA386" s="37">
        <v>1</v>
      </c>
      <c r="AB386" s="37">
        <v>1</v>
      </c>
      <c r="AC386" s="37">
        <v>1</v>
      </c>
      <c r="AD386" s="37">
        <v>1</v>
      </c>
      <c r="AE386" s="37">
        <v>1</v>
      </c>
      <c r="AF386" s="37">
        <v>1</v>
      </c>
      <c r="AG386" s="37">
        <v>1</v>
      </c>
      <c r="AH386" s="37">
        <v>1</v>
      </c>
      <c r="AI386" s="37">
        <v>1</v>
      </c>
      <c r="AJ386" s="52"/>
      <c r="AK386" s="52"/>
      <c r="AL386" s="10">
        <f t="shared" si="25"/>
        <v>14</v>
      </c>
      <c r="AM386" s="12">
        <v>32000</v>
      </c>
      <c r="AN386" s="12">
        <f t="shared" si="26"/>
        <v>448000</v>
      </c>
      <c r="AO386" s="1"/>
    </row>
    <row r="387" spans="1:41" ht="13.5" customHeight="1">
      <c r="A387" s="51" t="s">
        <v>62</v>
      </c>
      <c r="B387" s="35">
        <v>16</v>
      </c>
      <c r="C387" s="36" t="s">
        <v>172</v>
      </c>
      <c r="D387" s="36" t="s">
        <v>105</v>
      </c>
      <c r="E387" s="36" t="s">
        <v>391</v>
      </c>
      <c r="F387" s="35" t="s">
        <v>398</v>
      </c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37">
        <v>1</v>
      </c>
      <c r="W387" s="37">
        <v>1</v>
      </c>
      <c r="X387" s="37">
        <v>1</v>
      </c>
      <c r="Y387" s="37">
        <v>1</v>
      </c>
      <c r="Z387" s="37">
        <v>1</v>
      </c>
      <c r="AA387" s="37">
        <v>1</v>
      </c>
      <c r="AB387" s="37">
        <v>1</v>
      </c>
      <c r="AC387" s="37">
        <v>1</v>
      </c>
      <c r="AD387" s="37">
        <v>1</v>
      </c>
      <c r="AE387" s="37">
        <v>1</v>
      </c>
      <c r="AF387" s="37">
        <v>1</v>
      </c>
      <c r="AG387" s="37">
        <v>1</v>
      </c>
      <c r="AH387" s="37">
        <v>1</v>
      </c>
      <c r="AI387" s="37">
        <v>1</v>
      </c>
      <c r="AJ387" s="52"/>
      <c r="AK387" s="52"/>
      <c r="AL387" s="10">
        <f t="shared" si="25"/>
        <v>14</v>
      </c>
      <c r="AM387" s="12">
        <v>32000</v>
      </c>
      <c r="AN387" s="12">
        <f t="shared" si="26"/>
        <v>448000</v>
      </c>
      <c r="AO387" s="1"/>
    </row>
    <row r="388" spans="1:41" ht="13.5" customHeight="1">
      <c r="A388" s="51" t="s">
        <v>62</v>
      </c>
      <c r="B388" s="35">
        <v>16</v>
      </c>
      <c r="C388" s="36" t="s">
        <v>19</v>
      </c>
      <c r="D388" s="36" t="s">
        <v>479</v>
      </c>
      <c r="E388" s="36" t="s">
        <v>529</v>
      </c>
      <c r="F388" s="35" t="s">
        <v>530</v>
      </c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37">
        <v>1</v>
      </c>
      <c r="W388" s="37">
        <v>1</v>
      </c>
      <c r="X388" s="37">
        <v>1</v>
      </c>
      <c r="Y388" s="37">
        <v>1</v>
      </c>
      <c r="Z388" s="37">
        <v>1</v>
      </c>
      <c r="AA388" s="37">
        <v>1</v>
      </c>
      <c r="AB388" s="37">
        <v>1</v>
      </c>
      <c r="AC388" s="37">
        <v>1</v>
      </c>
      <c r="AD388" s="37">
        <v>1</v>
      </c>
      <c r="AE388" s="37">
        <v>1</v>
      </c>
      <c r="AF388" s="37">
        <v>1</v>
      </c>
      <c r="AG388" s="37">
        <v>1</v>
      </c>
      <c r="AH388" s="37">
        <v>1</v>
      </c>
      <c r="AI388" s="37">
        <v>1</v>
      </c>
      <c r="AJ388" s="52"/>
      <c r="AK388" s="52"/>
      <c r="AL388" s="10">
        <f t="shared" si="25"/>
        <v>14</v>
      </c>
      <c r="AM388" s="12">
        <v>32000</v>
      </c>
      <c r="AN388" s="12">
        <f t="shared" si="26"/>
        <v>448000</v>
      </c>
      <c r="AO388" s="1"/>
    </row>
    <row r="389" spans="1:41" ht="13.5" customHeight="1">
      <c r="A389" s="51" t="s">
        <v>62</v>
      </c>
      <c r="B389" s="35">
        <v>17</v>
      </c>
      <c r="C389" s="36" t="s">
        <v>222</v>
      </c>
      <c r="D389" s="36" t="s">
        <v>457</v>
      </c>
      <c r="E389" s="36" t="s">
        <v>571</v>
      </c>
      <c r="F389" s="35" t="s">
        <v>576</v>
      </c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37">
        <v>1</v>
      </c>
      <c r="W389" s="37">
        <v>1</v>
      </c>
      <c r="X389" s="37">
        <v>1</v>
      </c>
      <c r="Y389" s="37">
        <v>1</v>
      </c>
      <c r="Z389" s="37">
        <v>1</v>
      </c>
      <c r="AA389" s="37">
        <v>1</v>
      </c>
      <c r="AB389" s="37">
        <v>1</v>
      </c>
      <c r="AC389" s="37">
        <v>1</v>
      </c>
      <c r="AD389" s="37">
        <v>1</v>
      </c>
      <c r="AE389" s="37">
        <v>1</v>
      </c>
      <c r="AF389" s="37">
        <v>1</v>
      </c>
      <c r="AG389" s="37">
        <v>1</v>
      </c>
      <c r="AH389" s="37">
        <v>1</v>
      </c>
      <c r="AI389" s="37">
        <v>1</v>
      </c>
      <c r="AJ389" s="52"/>
      <c r="AK389" s="52"/>
      <c r="AL389" s="10">
        <f t="shared" si="25"/>
        <v>14</v>
      </c>
      <c r="AM389" s="12">
        <v>32000</v>
      </c>
      <c r="AN389" s="12">
        <f t="shared" si="26"/>
        <v>448000</v>
      </c>
      <c r="AO389" s="1"/>
    </row>
    <row r="390" spans="1:41" ht="13.5" customHeight="1">
      <c r="A390" s="51" t="s">
        <v>62</v>
      </c>
      <c r="B390" s="35">
        <v>17</v>
      </c>
      <c r="C390" s="36" t="s">
        <v>570</v>
      </c>
      <c r="D390" s="36" t="s">
        <v>67</v>
      </c>
      <c r="E390" s="36" t="s">
        <v>37</v>
      </c>
      <c r="F390" s="35" t="s">
        <v>572</v>
      </c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37">
        <v>1</v>
      </c>
      <c r="W390" s="37">
        <v>1</v>
      </c>
      <c r="X390" s="37">
        <v>1</v>
      </c>
      <c r="Y390" s="37">
        <v>1</v>
      </c>
      <c r="Z390" s="37">
        <v>1</v>
      </c>
      <c r="AA390" s="37">
        <v>1</v>
      </c>
      <c r="AB390" s="37">
        <v>1</v>
      </c>
      <c r="AC390" s="37">
        <v>1</v>
      </c>
      <c r="AD390" s="37">
        <v>1</v>
      </c>
      <c r="AE390" s="37">
        <v>1</v>
      </c>
      <c r="AF390" s="37">
        <v>1</v>
      </c>
      <c r="AG390" s="37">
        <v>1</v>
      </c>
      <c r="AH390" s="37">
        <v>1</v>
      </c>
      <c r="AI390" s="37">
        <v>1</v>
      </c>
      <c r="AJ390" s="52"/>
      <c r="AK390" s="52"/>
      <c r="AL390" s="10">
        <f t="shared" si="25"/>
        <v>14</v>
      </c>
      <c r="AM390" s="12">
        <v>32000</v>
      </c>
      <c r="AN390" s="12">
        <f t="shared" si="26"/>
        <v>448000</v>
      </c>
      <c r="AO390" s="1"/>
    </row>
    <row r="391" spans="1:41" ht="13.5" customHeight="1">
      <c r="A391" s="51" t="s">
        <v>62</v>
      </c>
      <c r="B391" s="35">
        <v>18</v>
      </c>
      <c r="C391" s="36" t="s">
        <v>223</v>
      </c>
      <c r="D391" s="36" t="s">
        <v>403</v>
      </c>
      <c r="E391" s="36" t="s">
        <v>25</v>
      </c>
      <c r="F391" s="35" t="s">
        <v>617</v>
      </c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37">
        <v>1</v>
      </c>
      <c r="W391" s="37">
        <v>1</v>
      </c>
      <c r="X391" s="37">
        <v>1</v>
      </c>
      <c r="Y391" s="37">
        <v>1</v>
      </c>
      <c r="Z391" s="37">
        <v>1</v>
      </c>
      <c r="AA391" s="37">
        <v>1</v>
      </c>
      <c r="AB391" s="37">
        <v>1</v>
      </c>
      <c r="AC391" s="37">
        <v>1</v>
      </c>
      <c r="AD391" s="37">
        <v>1</v>
      </c>
      <c r="AE391" s="37">
        <v>1</v>
      </c>
      <c r="AF391" s="37">
        <v>1</v>
      </c>
      <c r="AG391" s="37">
        <v>1</v>
      </c>
      <c r="AH391" s="37">
        <v>1</v>
      </c>
      <c r="AI391" s="37">
        <v>1</v>
      </c>
      <c r="AJ391" s="52"/>
      <c r="AK391" s="52"/>
      <c r="AL391" s="10">
        <f t="shared" si="25"/>
        <v>14</v>
      </c>
      <c r="AM391" s="12">
        <v>32000</v>
      </c>
      <c r="AN391" s="12">
        <f t="shared" si="26"/>
        <v>448000</v>
      </c>
      <c r="AO391" s="1"/>
    </row>
    <row r="392" spans="1:41" ht="13.5" customHeight="1">
      <c r="A392" s="51" t="s">
        <v>62</v>
      </c>
      <c r="B392" s="35">
        <v>18</v>
      </c>
      <c r="C392" s="36" t="s">
        <v>297</v>
      </c>
      <c r="D392" s="36" t="s">
        <v>17</v>
      </c>
      <c r="E392" s="36" t="s">
        <v>15</v>
      </c>
      <c r="F392" s="35" t="s">
        <v>517</v>
      </c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37">
        <v>1</v>
      </c>
      <c r="W392" s="37">
        <v>1</v>
      </c>
      <c r="X392" s="37">
        <v>1</v>
      </c>
      <c r="Y392" s="37">
        <v>1</v>
      </c>
      <c r="Z392" s="37">
        <v>1</v>
      </c>
      <c r="AA392" s="37">
        <v>1</v>
      </c>
      <c r="AB392" s="37">
        <v>1</v>
      </c>
      <c r="AC392" s="37">
        <v>1</v>
      </c>
      <c r="AD392" s="37">
        <v>1</v>
      </c>
      <c r="AE392" s="37">
        <v>1</v>
      </c>
      <c r="AF392" s="37">
        <v>1</v>
      </c>
      <c r="AG392" s="37">
        <v>1</v>
      </c>
      <c r="AH392" s="37">
        <v>1</v>
      </c>
      <c r="AI392" s="37">
        <v>1</v>
      </c>
      <c r="AJ392" s="52"/>
      <c r="AK392" s="52"/>
      <c r="AL392" s="10">
        <f t="shared" si="25"/>
        <v>14</v>
      </c>
      <c r="AM392" s="12">
        <v>32000</v>
      </c>
      <c r="AN392" s="12">
        <f t="shared" si="26"/>
        <v>448000</v>
      </c>
      <c r="AO392" s="1"/>
    </row>
    <row r="393" spans="1:41" ht="13.5" customHeight="1">
      <c r="A393" s="51" t="s">
        <v>62</v>
      </c>
      <c r="B393" s="35">
        <v>23</v>
      </c>
      <c r="C393" s="36" t="s">
        <v>526</v>
      </c>
      <c r="D393" s="36" t="s">
        <v>120</v>
      </c>
      <c r="E393" s="36" t="s">
        <v>527</v>
      </c>
      <c r="F393" s="35" t="s">
        <v>909</v>
      </c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37">
        <v>1</v>
      </c>
      <c r="W393" s="37">
        <v>1</v>
      </c>
      <c r="X393" s="37">
        <v>1</v>
      </c>
      <c r="Y393" s="37">
        <v>1</v>
      </c>
      <c r="Z393" s="37">
        <v>1</v>
      </c>
      <c r="AA393" s="37">
        <v>1</v>
      </c>
      <c r="AB393" s="37">
        <v>1</v>
      </c>
      <c r="AC393" s="37">
        <v>1</v>
      </c>
      <c r="AD393" s="37">
        <v>1</v>
      </c>
      <c r="AE393" s="37">
        <v>1</v>
      </c>
      <c r="AF393" s="37">
        <v>1</v>
      </c>
      <c r="AG393" s="37">
        <v>1</v>
      </c>
      <c r="AH393" s="37">
        <v>1</v>
      </c>
      <c r="AI393" s="37">
        <v>1</v>
      </c>
      <c r="AJ393" s="52"/>
      <c r="AK393" s="52"/>
      <c r="AL393" s="10">
        <f t="shared" si="25"/>
        <v>14</v>
      </c>
      <c r="AM393" s="12">
        <v>32000</v>
      </c>
      <c r="AN393" s="12">
        <f t="shared" si="26"/>
        <v>448000</v>
      </c>
      <c r="AO393" s="1"/>
    </row>
    <row r="394" spans="1:41" ht="13.5" customHeight="1">
      <c r="A394" s="51" t="s">
        <v>62</v>
      </c>
      <c r="B394" s="35">
        <v>23</v>
      </c>
      <c r="C394" s="36" t="s">
        <v>910</v>
      </c>
      <c r="D394" s="36" t="s">
        <v>911</v>
      </c>
      <c r="E394" s="36" t="s">
        <v>912</v>
      </c>
      <c r="F394" s="35" t="s">
        <v>913</v>
      </c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37">
        <v>1</v>
      </c>
      <c r="W394" s="37">
        <v>1</v>
      </c>
      <c r="X394" s="37">
        <v>1</v>
      </c>
      <c r="Y394" s="37">
        <v>1</v>
      </c>
      <c r="Z394" s="37">
        <v>1</v>
      </c>
      <c r="AA394" s="37">
        <v>1</v>
      </c>
      <c r="AB394" s="37">
        <v>1</v>
      </c>
      <c r="AC394" s="37">
        <v>1</v>
      </c>
      <c r="AD394" s="37">
        <v>1</v>
      </c>
      <c r="AE394" s="37">
        <v>1</v>
      </c>
      <c r="AF394" s="37">
        <v>1</v>
      </c>
      <c r="AG394" s="37">
        <v>1</v>
      </c>
      <c r="AH394" s="37">
        <v>1</v>
      </c>
      <c r="AI394" s="37">
        <v>1</v>
      </c>
      <c r="AJ394" s="52"/>
      <c r="AK394" s="52"/>
      <c r="AL394" s="10">
        <f t="shared" si="25"/>
        <v>14</v>
      </c>
      <c r="AM394" s="12">
        <v>32000</v>
      </c>
      <c r="AN394" s="12">
        <f t="shared" si="26"/>
        <v>448000</v>
      </c>
      <c r="AO394" s="1"/>
    </row>
    <row r="395" spans="1:41" ht="13.5" customHeight="1">
      <c r="A395" s="51" t="s">
        <v>62</v>
      </c>
      <c r="B395" s="35">
        <v>24</v>
      </c>
      <c r="C395" s="36" t="s">
        <v>899</v>
      </c>
      <c r="D395" s="36" t="s">
        <v>16</v>
      </c>
      <c r="E395" s="36" t="s">
        <v>143</v>
      </c>
      <c r="F395" s="35" t="s">
        <v>900</v>
      </c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37">
        <v>1</v>
      </c>
      <c r="W395" s="37">
        <v>1</v>
      </c>
      <c r="X395" s="37">
        <v>1</v>
      </c>
      <c r="Y395" s="37">
        <v>1</v>
      </c>
      <c r="Z395" s="37">
        <v>1</v>
      </c>
      <c r="AA395" s="37">
        <v>1</v>
      </c>
      <c r="AB395" s="37">
        <v>1</v>
      </c>
      <c r="AC395" s="37">
        <v>1</v>
      </c>
      <c r="AD395" s="37">
        <v>1</v>
      </c>
      <c r="AE395" s="37">
        <v>1</v>
      </c>
      <c r="AF395" s="37">
        <v>1</v>
      </c>
      <c r="AG395" s="37">
        <v>1</v>
      </c>
      <c r="AH395" s="37">
        <v>1</v>
      </c>
      <c r="AI395" s="37">
        <v>1</v>
      </c>
      <c r="AJ395" s="52"/>
      <c r="AK395" s="52"/>
      <c r="AL395" s="10">
        <f t="shared" si="25"/>
        <v>14</v>
      </c>
      <c r="AM395" s="12">
        <v>32000</v>
      </c>
      <c r="AN395" s="12">
        <f t="shared" si="26"/>
        <v>448000</v>
      </c>
      <c r="AO395" s="1"/>
    </row>
    <row r="396" spans="1:41" ht="13.5" customHeight="1">
      <c r="A396" s="51" t="s">
        <v>62</v>
      </c>
      <c r="B396" s="35">
        <v>24</v>
      </c>
      <c r="C396" s="36" t="s">
        <v>63</v>
      </c>
      <c r="D396" s="36" t="s">
        <v>282</v>
      </c>
      <c r="E396" s="36" t="s">
        <v>9</v>
      </c>
      <c r="F396" s="35" t="s">
        <v>495</v>
      </c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37">
        <v>1</v>
      </c>
      <c r="W396" s="37">
        <v>1</v>
      </c>
      <c r="X396" s="37">
        <v>1</v>
      </c>
      <c r="Y396" s="37">
        <v>1</v>
      </c>
      <c r="Z396" s="37">
        <v>1</v>
      </c>
      <c r="AA396" s="37">
        <v>1</v>
      </c>
      <c r="AB396" s="37">
        <v>1</v>
      </c>
      <c r="AC396" s="37">
        <v>1</v>
      </c>
      <c r="AD396" s="37">
        <v>1</v>
      </c>
      <c r="AE396" s="37">
        <v>1</v>
      </c>
      <c r="AF396" s="37">
        <v>1</v>
      </c>
      <c r="AG396" s="37">
        <v>1</v>
      </c>
      <c r="AH396" s="37">
        <v>1</v>
      </c>
      <c r="AI396" s="37">
        <v>1</v>
      </c>
      <c r="AJ396" s="52"/>
      <c r="AK396" s="52"/>
      <c r="AL396" s="10">
        <f t="shared" si="25"/>
        <v>14</v>
      </c>
      <c r="AM396" s="12">
        <v>32000</v>
      </c>
      <c r="AN396" s="12">
        <f t="shared" si="26"/>
        <v>448000</v>
      </c>
      <c r="AO396" s="1"/>
    </row>
    <row r="397" spans="1:41" ht="13.5" customHeight="1">
      <c r="A397" s="51" t="s">
        <v>62</v>
      </c>
      <c r="B397" s="35">
        <v>25</v>
      </c>
      <c r="C397" s="36" t="s">
        <v>373</v>
      </c>
      <c r="D397" s="36" t="s">
        <v>374</v>
      </c>
      <c r="E397" s="36" t="s">
        <v>371</v>
      </c>
      <c r="F397" s="35" t="s">
        <v>381</v>
      </c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37">
        <v>1</v>
      </c>
      <c r="W397" s="37">
        <v>1</v>
      </c>
      <c r="X397" s="37">
        <v>1</v>
      </c>
      <c r="Y397" s="37">
        <v>1</v>
      </c>
      <c r="Z397" s="37">
        <v>1</v>
      </c>
      <c r="AA397" s="37">
        <v>1</v>
      </c>
      <c r="AB397" s="37">
        <v>1</v>
      </c>
      <c r="AC397" s="37">
        <v>1</v>
      </c>
      <c r="AD397" s="37">
        <v>1</v>
      </c>
      <c r="AE397" s="37">
        <v>1</v>
      </c>
      <c r="AF397" s="37">
        <v>1</v>
      </c>
      <c r="AG397" s="37">
        <v>1</v>
      </c>
      <c r="AH397" s="37">
        <v>1</v>
      </c>
      <c r="AI397" s="37">
        <v>1</v>
      </c>
      <c r="AJ397" s="52"/>
      <c r="AK397" s="52"/>
      <c r="AL397" s="10">
        <f t="shared" si="25"/>
        <v>14</v>
      </c>
      <c r="AM397" s="12">
        <v>32000</v>
      </c>
      <c r="AN397" s="12">
        <f t="shared" si="26"/>
        <v>448000</v>
      </c>
      <c r="AO397" s="1"/>
    </row>
    <row r="398" spans="1:41" ht="13.5" customHeight="1">
      <c r="A398" s="51" t="s">
        <v>62</v>
      </c>
      <c r="B398" s="35">
        <v>25</v>
      </c>
      <c r="C398" s="36" t="s">
        <v>249</v>
      </c>
      <c r="D398" s="36" t="s">
        <v>197</v>
      </c>
      <c r="E398" s="36" t="s">
        <v>68</v>
      </c>
      <c r="F398" s="35" t="s">
        <v>250</v>
      </c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37">
        <v>1</v>
      </c>
      <c r="W398" s="37">
        <v>1</v>
      </c>
      <c r="X398" s="37">
        <v>1</v>
      </c>
      <c r="Y398" s="37">
        <v>1</v>
      </c>
      <c r="Z398" s="37">
        <v>1</v>
      </c>
      <c r="AA398" s="37">
        <v>1</v>
      </c>
      <c r="AB398" s="37">
        <v>1</v>
      </c>
      <c r="AC398" s="37">
        <v>1</v>
      </c>
      <c r="AD398" s="37">
        <v>1</v>
      </c>
      <c r="AE398" s="37">
        <v>1</v>
      </c>
      <c r="AF398" s="37">
        <v>1</v>
      </c>
      <c r="AG398" s="37">
        <v>1</v>
      </c>
      <c r="AH398" s="37">
        <v>1</v>
      </c>
      <c r="AI398" s="37">
        <v>1</v>
      </c>
      <c r="AJ398" s="52"/>
      <c r="AK398" s="52"/>
      <c r="AL398" s="10">
        <f t="shared" si="25"/>
        <v>14</v>
      </c>
      <c r="AM398" s="12">
        <v>32000</v>
      </c>
      <c r="AN398" s="12">
        <f t="shared" si="26"/>
        <v>448000</v>
      </c>
      <c r="AO398" s="1"/>
    </row>
    <row r="399" spans="1:41" ht="13.5" customHeight="1">
      <c r="A399" s="51" t="s">
        <v>62</v>
      </c>
      <c r="B399" s="35">
        <v>29</v>
      </c>
      <c r="C399" s="36" t="s">
        <v>10</v>
      </c>
      <c r="D399" s="36" t="s">
        <v>245</v>
      </c>
      <c r="E399" s="36" t="s">
        <v>144</v>
      </c>
      <c r="F399" s="35" t="s">
        <v>246</v>
      </c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37">
        <v>1</v>
      </c>
      <c r="W399" s="37">
        <v>1</v>
      </c>
      <c r="X399" s="37">
        <v>1</v>
      </c>
      <c r="Y399" s="37">
        <v>1</v>
      </c>
      <c r="Z399" s="37">
        <v>1</v>
      </c>
      <c r="AA399" s="37">
        <v>1</v>
      </c>
      <c r="AB399" s="37">
        <v>1</v>
      </c>
      <c r="AC399" s="37">
        <v>1</v>
      </c>
      <c r="AD399" s="37">
        <v>1</v>
      </c>
      <c r="AE399" s="37">
        <v>1</v>
      </c>
      <c r="AF399" s="37">
        <v>1</v>
      </c>
      <c r="AG399" s="37">
        <v>1</v>
      </c>
      <c r="AH399" s="37">
        <v>1</v>
      </c>
      <c r="AI399" s="37">
        <v>1</v>
      </c>
      <c r="AJ399" s="52"/>
      <c r="AK399" s="52"/>
      <c r="AL399" s="10">
        <f t="shared" si="25"/>
        <v>14</v>
      </c>
      <c r="AM399" s="12">
        <v>32000</v>
      </c>
      <c r="AN399" s="12">
        <f t="shared" si="26"/>
        <v>448000</v>
      </c>
      <c r="AO399" s="1"/>
    </row>
    <row r="400" spans="1:41" ht="13.5" customHeight="1">
      <c r="A400" s="51" t="s">
        <v>62</v>
      </c>
      <c r="B400" s="35">
        <v>29</v>
      </c>
      <c r="C400" s="36" t="s">
        <v>247</v>
      </c>
      <c r="D400" s="36" t="s">
        <v>220</v>
      </c>
      <c r="E400" s="36" t="s">
        <v>155</v>
      </c>
      <c r="F400" s="35" t="s">
        <v>248</v>
      </c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37">
        <v>1</v>
      </c>
      <c r="W400" s="37">
        <v>1</v>
      </c>
      <c r="X400" s="37">
        <v>1</v>
      </c>
      <c r="Y400" s="37">
        <v>1</v>
      </c>
      <c r="Z400" s="37">
        <v>1</v>
      </c>
      <c r="AA400" s="37">
        <v>1</v>
      </c>
      <c r="AB400" s="37">
        <v>1</v>
      </c>
      <c r="AC400" s="37">
        <v>1</v>
      </c>
      <c r="AD400" s="37">
        <v>1</v>
      </c>
      <c r="AE400" s="37">
        <v>1</v>
      </c>
      <c r="AF400" s="37">
        <v>1</v>
      </c>
      <c r="AG400" s="37">
        <v>1</v>
      </c>
      <c r="AH400" s="37">
        <v>1</v>
      </c>
      <c r="AI400" s="37">
        <v>1</v>
      </c>
      <c r="AJ400" s="52"/>
      <c r="AK400" s="52"/>
      <c r="AL400" s="10">
        <f t="shared" si="25"/>
        <v>14</v>
      </c>
      <c r="AM400" s="12">
        <v>32000</v>
      </c>
      <c r="AN400" s="12">
        <f t="shared" si="26"/>
        <v>448000</v>
      </c>
      <c r="AO400" s="1"/>
    </row>
    <row r="401" spans="1:41" ht="13.5" customHeight="1">
      <c r="A401" s="51" t="s">
        <v>62</v>
      </c>
      <c r="B401" s="35">
        <v>30</v>
      </c>
      <c r="C401" s="36" t="s">
        <v>375</v>
      </c>
      <c r="D401" s="36" t="s">
        <v>375</v>
      </c>
      <c r="E401" s="36" t="s">
        <v>9</v>
      </c>
      <c r="F401" s="35" t="s">
        <v>380</v>
      </c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37">
        <v>1</v>
      </c>
      <c r="W401" s="37">
        <v>1</v>
      </c>
      <c r="X401" s="37">
        <v>1</v>
      </c>
      <c r="Y401" s="37">
        <v>1</v>
      </c>
      <c r="Z401" s="37">
        <v>1</v>
      </c>
      <c r="AA401" s="37">
        <v>1</v>
      </c>
      <c r="AB401" s="37">
        <v>1</v>
      </c>
      <c r="AC401" s="37">
        <v>1</v>
      </c>
      <c r="AD401" s="37">
        <v>1</v>
      </c>
      <c r="AE401" s="37">
        <v>1</v>
      </c>
      <c r="AF401" s="37">
        <v>1</v>
      </c>
      <c r="AG401" s="37">
        <v>1</v>
      </c>
      <c r="AH401" s="37">
        <v>1</v>
      </c>
      <c r="AI401" s="37">
        <v>1</v>
      </c>
      <c r="AJ401" s="52"/>
      <c r="AK401" s="52"/>
      <c r="AL401" s="10">
        <f t="shared" si="25"/>
        <v>14</v>
      </c>
      <c r="AM401" s="12">
        <v>32000</v>
      </c>
      <c r="AN401" s="12">
        <f t="shared" si="26"/>
        <v>448000</v>
      </c>
      <c r="AO401" s="1"/>
    </row>
    <row r="402" spans="1:41" ht="13.5" customHeight="1">
      <c r="A402" s="51" t="s">
        <v>62</v>
      </c>
      <c r="B402" s="35">
        <v>30</v>
      </c>
      <c r="C402" s="36" t="s">
        <v>91</v>
      </c>
      <c r="D402" s="36" t="s">
        <v>139</v>
      </c>
      <c r="E402" s="36" t="s">
        <v>140</v>
      </c>
      <c r="F402" s="35" t="s">
        <v>141</v>
      </c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37">
        <v>1</v>
      </c>
      <c r="W402" s="37">
        <v>1</v>
      </c>
      <c r="X402" s="37">
        <v>1</v>
      </c>
      <c r="Y402" s="37">
        <v>1</v>
      </c>
      <c r="Z402" s="37">
        <v>1</v>
      </c>
      <c r="AA402" s="37">
        <v>1</v>
      </c>
      <c r="AB402" s="37">
        <v>1</v>
      </c>
      <c r="AC402" s="37">
        <v>1</v>
      </c>
      <c r="AD402" s="37">
        <v>1</v>
      </c>
      <c r="AE402" s="37">
        <v>1</v>
      </c>
      <c r="AF402" s="37">
        <v>1</v>
      </c>
      <c r="AG402" s="37">
        <v>1</v>
      </c>
      <c r="AH402" s="37">
        <v>1</v>
      </c>
      <c r="AI402" s="37">
        <v>1</v>
      </c>
      <c r="AJ402" s="52"/>
      <c r="AK402" s="52"/>
      <c r="AL402" s="10">
        <f t="shared" si="25"/>
        <v>14</v>
      </c>
      <c r="AM402" s="12">
        <v>32000</v>
      </c>
      <c r="AN402" s="12">
        <f t="shared" si="26"/>
        <v>448000</v>
      </c>
      <c r="AO402" s="1"/>
    </row>
    <row r="403" spans="1:41" ht="13.5" customHeight="1">
      <c r="A403" s="51" t="s">
        <v>62</v>
      </c>
      <c r="B403" s="35">
        <v>31</v>
      </c>
      <c r="C403" s="36" t="s">
        <v>181</v>
      </c>
      <c r="D403" s="36" t="s">
        <v>224</v>
      </c>
      <c r="E403" s="36" t="s">
        <v>412</v>
      </c>
      <c r="F403" s="35" t="s">
        <v>500</v>
      </c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37">
        <v>1</v>
      </c>
      <c r="W403" s="37">
        <v>1</v>
      </c>
      <c r="X403" s="37">
        <v>1</v>
      </c>
      <c r="Y403" s="37">
        <v>1</v>
      </c>
      <c r="Z403" s="37">
        <v>1</v>
      </c>
      <c r="AA403" s="37">
        <v>1</v>
      </c>
      <c r="AB403" s="37">
        <v>1</v>
      </c>
      <c r="AC403" s="37">
        <v>1</v>
      </c>
      <c r="AD403" s="37">
        <v>1</v>
      </c>
      <c r="AE403" s="37">
        <v>1</v>
      </c>
      <c r="AF403" s="37">
        <v>1</v>
      </c>
      <c r="AG403" s="37">
        <v>1</v>
      </c>
      <c r="AH403" s="37">
        <v>1</v>
      </c>
      <c r="AI403" s="37">
        <v>1</v>
      </c>
      <c r="AJ403" s="52"/>
      <c r="AK403" s="52"/>
      <c r="AL403" s="10">
        <f t="shared" si="25"/>
        <v>14</v>
      </c>
      <c r="AM403" s="12">
        <v>32000</v>
      </c>
      <c r="AN403" s="12">
        <f t="shared" si="26"/>
        <v>448000</v>
      </c>
      <c r="AO403" s="1"/>
    </row>
    <row r="404" spans="1:41" ht="13.5" customHeight="1">
      <c r="A404" s="51" t="s">
        <v>62</v>
      </c>
      <c r="B404" s="35">
        <v>31</v>
      </c>
      <c r="C404" s="36" t="s">
        <v>91</v>
      </c>
      <c r="D404" s="36" t="s">
        <v>413</v>
      </c>
      <c r="E404" s="36" t="s">
        <v>188</v>
      </c>
      <c r="F404" s="35" t="s">
        <v>501</v>
      </c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37">
        <v>1</v>
      </c>
      <c r="W404" s="37">
        <v>1</v>
      </c>
      <c r="X404" s="37">
        <v>1</v>
      </c>
      <c r="Y404" s="37">
        <v>1</v>
      </c>
      <c r="Z404" s="37">
        <v>1</v>
      </c>
      <c r="AA404" s="37">
        <v>1</v>
      </c>
      <c r="AB404" s="37">
        <v>1</v>
      </c>
      <c r="AC404" s="37">
        <v>1</v>
      </c>
      <c r="AD404" s="37">
        <v>1</v>
      </c>
      <c r="AE404" s="37">
        <v>1</v>
      </c>
      <c r="AF404" s="37">
        <v>1</v>
      </c>
      <c r="AG404" s="37">
        <v>1</v>
      </c>
      <c r="AH404" s="37">
        <v>1</v>
      </c>
      <c r="AI404" s="37">
        <v>1</v>
      </c>
      <c r="AJ404" s="52"/>
      <c r="AK404" s="52"/>
      <c r="AL404" s="10">
        <f t="shared" si="25"/>
        <v>14</v>
      </c>
      <c r="AM404" s="12">
        <v>32000</v>
      </c>
      <c r="AN404" s="12">
        <f t="shared" si="26"/>
        <v>448000</v>
      </c>
      <c r="AO404" s="1"/>
    </row>
    <row r="405" spans="1:41" ht="13.5" customHeight="1">
      <c r="A405" s="51" t="s">
        <v>62</v>
      </c>
      <c r="B405" s="35">
        <v>33</v>
      </c>
      <c r="C405" s="36" t="s">
        <v>224</v>
      </c>
      <c r="D405" s="36" t="s">
        <v>297</v>
      </c>
      <c r="E405" s="36" t="s">
        <v>298</v>
      </c>
      <c r="F405" s="35" t="s">
        <v>299</v>
      </c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37">
        <v>1</v>
      </c>
      <c r="W405" s="37">
        <v>1</v>
      </c>
      <c r="X405" s="37">
        <v>1</v>
      </c>
      <c r="Y405" s="37">
        <v>1</v>
      </c>
      <c r="Z405" s="37">
        <v>1</v>
      </c>
      <c r="AA405" s="37">
        <v>1</v>
      </c>
      <c r="AB405" s="37">
        <v>1</v>
      </c>
      <c r="AC405" s="37">
        <v>1</v>
      </c>
      <c r="AD405" s="37">
        <v>1</v>
      </c>
      <c r="AE405" s="37">
        <v>1</v>
      </c>
      <c r="AF405" s="37">
        <v>1</v>
      </c>
      <c r="AG405" s="37">
        <v>1</v>
      </c>
      <c r="AH405" s="37">
        <v>1</v>
      </c>
      <c r="AI405" s="37">
        <v>1</v>
      </c>
      <c r="AJ405" s="52"/>
      <c r="AK405" s="52"/>
      <c r="AL405" s="10">
        <f t="shared" si="25"/>
        <v>14</v>
      </c>
      <c r="AM405" s="12">
        <v>32000</v>
      </c>
      <c r="AN405" s="12">
        <f t="shared" si="26"/>
        <v>448000</v>
      </c>
      <c r="AO405" s="1"/>
    </row>
    <row r="406" spans="1:41" ht="13.5" customHeight="1">
      <c r="A406" s="51" t="s">
        <v>62</v>
      </c>
      <c r="B406" s="35">
        <v>33</v>
      </c>
      <c r="C406" s="36" t="s">
        <v>66</v>
      </c>
      <c r="D406" s="36" t="s">
        <v>300</v>
      </c>
      <c r="E406" s="36" t="s">
        <v>9</v>
      </c>
      <c r="F406" s="35" t="s">
        <v>301</v>
      </c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37">
        <v>1</v>
      </c>
      <c r="W406" s="37">
        <v>1</v>
      </c>
      <c r="X406" s="37">
        <v>1</v>
      </c>
      <c r="Y406" s="37">
        <v>1</v>
      </c>
      <c r="Z406" s="37">
        <v>1</v>
      </c>
      <c r="AA406" s="37">
        <v>1</v>
      </c>
      <c r="AB406" s="37">
        <v>1</v>
      </c>
      <c r="AC406" s="37">
        <v>1</v>
      </c>
      <c r="AD406" s="37">
        <v>1</v>
      </c>
      <c r="AE406" s="37">
        <v>1</v>
      </c>
      <c r="AF406" s="37">
        <v>1</v>
      </c>
      <c r="AG406" s="37">
        <v>1</v>
      </c>
      <c r="AH406" s="37">
        <v>1</v>
      </c>
      <c r="AI406" s="37">
        <v>1</v>
      </c>
      <c r="AJ406" s="52"/>
      <c r="AK406" s="52"/>
      <c r="AL406" s="10">
        <f t="shared" si="25"/>
        <v>14</v>
      </c>
      <c r="AM406" s="12">
        <v>32000</v>
      </c>
      <c r="AN406" s="12">
        <f t="shared" si="26"/>
        <v>448000</v>
      </c>
      <c r="AO406" s="1"/>
    </row>
    <row r="407" spans="1:41" ht="13.5" customHeight="1">
      <c r="A407" s="51" t="s">
        <v>62</v>
      </c>
      <c r="B407" s="35">
        <v>34</v>
      </c>
      <c r="C407" s="36" t="s">
        <v>202</v>
      </c>
      <c r="D407" s="36" t="s">
        <v>204</v>
      </c>
      <c r="E407" s="36" t="s">
        <v>137</v>
      </c>
      <c r="F407" s="35" t="s">
        <v>205</v>
      </c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37">
        <v>1</v>
      </c>
      <c r="W407" s="37">
        <v>1</v>
      </c>
      <c r="X407" s="37">
        <v>1</v>
      </c>
      <c r="Y407" s="37">
        <v>1</v>
      </c>
      <c r="Z407" s="37">
        <v>1</v>
      </c>
      <c r="AA407" s="37">
        <v>1</v>
      </c>
      <c r="AB407" s="37">
        <v>1</v>
      </c>
      <c r="AC407" s="37">
        <v>1</v>
      </c>
      <c r="AD407" s="37">
        <v>1</v>
      </c>
      <c r="AE407" s="37">
        <v>1</v>
      </c>
      <c r="AF407" s="37">
        <v>1</v>
      </c>
      <c r="AG407" s="37">
        <v>1</v>
      </c>
      <c r="AH407" s="37">
        <v>1</v>
      </c>
      <c r="AI407" s="37">
        <v>1</v>
      </c>
      <c r="AJ407" s="52"/>
      <c r="AK407" s="52"/>
      <c r="AL407" s="10">
        <f t="shared" si="25"/>
        <v>14</v>
      </c>
      <c r="AM407" s="12">
        <v>32000</v>
      </c>
      <c r="AN407" s="12">
        <f t="shared" si="26"/>
        <v>448000</v>
      </c>
      <c r="AO407" s="1"/>
    </row>
    <row r="408" spans="1:41" ht="13.5" customHeight="1">
      <c r="A408" s="51" t="s">
        <v>62</v>
      </c>
      <c r="B408" s="35">
        <v>34</v>
      </c>
      <c r="C408" s="36" t="s">
        <v>202</v>
      </c>
      <c r="D408" s="36" t="s">
        <v>363</v>
      </c>
      <c r="E408" s="36" t="s">
        <v>9</v>
      </c>
      <c r="F408" s="35" t="s">
        <v>165</v>
      </c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37">
        <v>1</v>
      </c>
      <c r="W408" s="37">
        <v>1</v>
      </c>
      <c r="X408" s="37">
        <v>1</v>
      </c>
      <c r="Y408" s="37">
        <v>1</v>
      </c>
      <c r="Z408" s="37">
        <v>1</v>
      </c>
      <c r="AA408" s="37">
        <v>1</v>
      </c>
      <c r="AB408" s="37">
        <v>1</v>
      </c>
      <c r="AC408" s="37">
        <v>1</v>
      </c>
      <c r="AD408" s="37">
        <v>1</v>
      </c>
      <c r="AE408" s="37">
        <v>1</v>
      </c>
      <c r="AF408" s="37">
        <v>1</v>
      </c>
      <c r="AG408" s="37">
        <v>1</v>
      </c>
      <c r="AH408" s="37">
        <v>1</v>
      </c>
      <c r="AI408" s="37">
        <v>1</v>
      </c>
      <c r="AJ408" s="52"/>
      <c r="AK408" s="52"/>
      <c r="AL408" s="10">
        <f t="shared" si="25"/>
        <v>14</v>
      </c>
      <c r="AM408" s="12">
        <v>32000</v>
      </c>
      <c r="AN408" s="12">
        <f t="shared" si="26"/>
        <v>448000</v>
      </c>
      <c r="AO408" s="1"/>
    </row>
    <row r="409" spans="1:41" ht="13.5" customHeight="1">
      <c r="A409" s="51" t="s">
        <v>62</v>
      </c>
      <c r="B409" s="35">
        <v>36</v>
      </c>
      <c r="C409" s="36" t="s">
        <v>312</v>
      </c>
      <c r="D409" s="36" t="s">
        <v>67</v>
      </c>
      <c r="E409" s="36" t="s">
        <v>188</v>
      </c>
      <c r="F409" s="35" t="s">
        <v>313</v>
      </c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37">
        <v>1</v>
      </c>
      <c r="W409" s="37">
        <v>1</v>
      </c>
      <c r="X409" s="37">
        <v>1</v>
      </c>
      <c r="Y409" s="37">
        <v>1</v>
      </c>
      <c r="Z409" s="37">
        <v>1</v>
      </c>
      <c r="AA409" s="37">
        <v>1</v>
      </c>
      <c r="AB409" s="37">
        <v>1</v>
      </c>
      <c r="AC409" s="37">
        <v>1</v>
      </c>
      <c r="AD409" s="37">
        <v>1</v>
      </c>
      <c r="AE409" s="37">
        <v>1</v>
      </c>
      <c r="AF409" s="37">
        <v>1</v>
      </c>
      <c r="AG409" s="37">
        <v>1</v>
      </c>
      <c r="AH409" s="37">
        <v>1</v>
      </c>
      <c r="AI409" s="37">
        <v>1</v>
      </c>
      <c r="AJ409" s="52"/>
      <c r="AK409" s="52"/>
      <c r="AL409" s="10">
        <f t="shared" si="25"/>
        <v>14</v>
      </c>
      <c r="AM409" s="12">
        <v>32000</v>
      </c>
      <c r="AN409" s="12">
        <f t="shared" si="26"/>
        <v>448000</v>
      </c>
      <c r="AO409" s="1"/>
    </row>
    <row r="410" spans="1:41" ht="13.5" customHeight="1">
      <c r="A410" s="51" t="s">
        <v>62</v>
      </c>
      <c r="B410" s="35">
        <v>36</v>
      </c>
      <c r="C410" s="36" t="s">
        <v>277</v>
      </c>
      <c r="D410" s="36" t="s">
        <v>278</v>
      </c>
      <c r="E410" s="36" t="s">
        <v>46</v>
      </c>
      <c r="F410" s="35" t="s">
        <v>279</v>
      </c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37">
        <v>1</v>
      </c>
      <c r="W410" s="37">
        <v>1</v>
      </c>
      <c r="X410" s="37">
        <v>1</v>
      </c>
      <c r="Y410" s="37">
        <v>1</v>
      </c>
      <c r="Z410" s="37">
        <v>1</v>
      </c>
      <c r="AA410" s="37">
        <v>1</v>
      </c>
      <c r="AB410" s="37">
        <v>1</v>
      </c>
      <c r="AC410" s="37">
        <v>1</v>
      </c>
      <c r="AD410" s="37">
        <v>1</v>
      </c>
      <c r="AE410" s="37">
        <v>1</v>
      </c>
      <c r="AF410" s="37">
        <v>1</v>
      </c>
      <c r="AG410" s="37">
        <v>1</v>
      </c>
      <c r="AH410" s="37">
        <v>1</v>
      </c>
      <c r="AI410" s="37">
        <v>1</v>
      </c>
      <c r="AJ410" s="52"/>
      <c r="AK410" s="52"/>
      <c r="AL410" s="10">
        <f t="shared" si="25"/>
        <v>14</v>
      </c>
      <c r="AM410" s="12">
        <v>32000</v>
      </c>
      <c r="AN410" s="12">
        <f t="shared" si="26"/>
        <v>448000</v>
      </c>
      <c r="AO410" s="1"/>
    </row>
    <row r="411" spans="1:41" ht="13.5" customHeight="1">
      <c r="A411" s="51" t="s">
        <v>62</v>
      </c>
      <c r="B411" s="35">
        <v>37</v>
      </c>
      <c r="C411" s="36" t="s">
        <v>508</v>
      </c>
      <c r="D411" s="36" t="s">
        <v>509</v>
      </c>
      <c r="E411" s="36" t="s">
        <v>9</v>
      </c>
      <c r="F411" s="35" t="s">
        <v>260</v>
      </c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37">
        <v>1</v>
      </c>
      <c r="W411" s="37">
        <v>1</v>
      </c>
      <c r="X411" s="37">
        <v>1</v>
      </c>
      <c r="Y411" s="37">
        <v>1</v>
      </c>
      <c r="Z411" s="37">
        <v>1</v>
      </c>
      <c r="AA411" s="37">
        <v>1</v>
      </c>
      <c r="AB411" s="37">
        <v>1</v>
      </c>
      <c r="AC411" s="37">
        <v>1</v>
      </c>
      <c r="AD411" s="37">
        <v>1</v>
      </c>
      <c r="AE411" s="37">
        <v>1</v>
      </c>
      <c r="AF411" s="37">
        <v>1</v>
      </c>
      <c r="AG411" s="37">
        <v>1</v>
      </c>
      <c r="AH411" s="37">
        <v>1</v>
      </c>
      <c r="AI411" s="37">
        <v>1</v>
      </c>
      <c r="AJ411" s="52"/>
      <c r="AK411" s="52"/>
      <c r="AL411" s="10">
        <f t="shared" si="25"/>
        <v>14</v>
      </c>
      <c r="AM411" s="12">
        <v>32000</v>
      </c>
      <c r="AN411" s="12">
        <f t="shared" si="26"/>
        <v>448000</v>
      </c>
      <c r="AO411" s="1"/>
    </row>
    <row r="412" spans="1:41" ht="13.5" customHeight="1">
      <c r="A412" s="51" t="s">
        <v>62</v>
      </c>
      <c r="B412" s="35">
        <v>37</v>
      </c>
      <c r="C412" s="36" t="s">
        <v>156</v>
      </c>
      <c r="D412" s="36" t="s">
        <v>223</v>
      </c>
      <c r="E412" s="36" t="s">
        <v>43</v>
      </c>
      <c r="F412" s="35" t="s">
        <v>261</v>
      </c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37">
        <v>1</v>
      </c>
      <c r="W412" s="37">
        <v>1</v>
      </c>
      <c r="X412" s="37">
        <v>1</v>
      </c>
      <c r="Y412" s="37">
        <v>1</v>
      </c>
      <c r="Z412" s="37">
        <v>1</v>
      </c>
      <c r="AA412" s="37">
        <v>1</v>
      </c>
      <c r="AB412" s="37">
        <v>1</v>
      </c>
      <c r="AC412" s="37">
        <v>1</v>
      </c>
      <c r="AD412" s="37">
        <v>1</v>
      </c>
      <c r="AE412" s="37">
        <v>1</v>
      </c>
      <c r="AF412" s="37">
        <v>1</v>
      </c>
      <c r="AG412" s="37">
        <v>1</v>
      </c>
      <c r="AH412" s="37">
        <v>1</v>
      </c>
      <c r="AI412" s="37">
        <v>1</v>
      </c>
      <c r="AJ412" s="52"/>
      <c r="AK412" s="52"/>
      <c r="AL412" s="10">
        <f t="shared" si="25"/>
        <v>14</v>
      </c>
      <c r="AM412" s="12">
        <v>32000</v>
      </c>
      <c r="AN412" s="12">
        <f t="shared" si="26"/>
        <v>448000</v>
      </c>
      <c r="AO412" s="1"/>
    </row>
    <row r="413" spans="1:41" ht="13.5" customHeight="1">
      <c r="A413" s="51" t="s">
        <v>62</v>
      </c>
      <c r="B413" s="35">
        <v>38</v>
      </c>
      <c r="C413" s="36" t="s">
        <v>237</v>
      </c>
      <c r="D413" s="36" t="s">
        <v>47</v>
      </c>
      <c r="E413" s="36" t="s">
        <v>606</v>
      </c>
      <c r="F413" s="35" t="s">
        <v>914</v>
      </c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37">
        <v>1</v>
      </c>
      <c r="W413" s="37">
        <v>1</v>
      </c>
      <c r="X413" s="37">
        <v>1</v>
      </c>
      <c r="Y413" s="37">
        <v>1</v>
      </c>
      <c r="Z413" s="37">
        <v>1</v>
      </c>
      <c r="AA413" s="37">
        <v>1</v>
      </c>
      <c r="AB413" s="37">
        <v>1</v>
      </c>
      <c r="AC413" s="37">
        <v>1</v>
      </c>
      <c r="AD413" s="37">
        <v>1</v>
      </c>
      <c r="AE413" s="37">
        <v>1</v>
      </c>
      <c r="AF413" s="37">
        <v>1</v>
      </c>
      <c r="AG413" s="37">
        <v>1</v>
      </c>
      <c r="AH413" s="37">
        <v>1</v>
      </c>
      <c r="AI413" s="37">
        <v>1</v>
      </c>
      <c r="AJ413" s="52"/>
      <c r="AK413" s="52"/>
      <c r="AL413" s="10">
        <f t="shared" si="25"/>
        <v>14</v>
      </c>
      <c r="AM413" s="12">
        <v>32000</v>
      </c>
      <c r="AN413" s="12">
        <f t="shared" si="26"/>
        <v>448000</v>
      </c>
      <c r="AO413" s="1"/>
    </row>
    <row r="414" spans="1:41" ht="13.5" customHeight="1">
      <c r="A414" s="51" t="s">
        <v>62</v>
      </c>
      <c r="B414" s="35">
        <v>38</v>
      </c>
      <c r="C414" s="36" t="s">
        <v>63</v>
      </c>
      <c r="D414" s="36" t="s">
        <v>236</v>
      </c>
      <c r="E414" s="36" t="s">
        <v>625</v>
      </c>
      <c r="F414" s="35" t="s">
        <v>915</v>
      </c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37">
        <v>1</v>
      </c>
      <c r="W414" s="37">
        <v>1</v>
      </c>
      <c r="X414" s="37">
        <v>1</v>
      </c>
      <c r="Y414" s="37">
        <v>1</v>
      </c>
      <c r="Z414" s="37">
        <v>1</v>
      </c>
      <c r="AA414" s="37">
        <v>1</v>
      </c>
      <c r="AB414" s="37">
        <v>1</v>
      </c>
      <c r="AC414" s="37">
        <v>1</v>
      </c>
      <c r="AD414" s="37">
        <v>1</v>
      </c>
      <c r="AE414" s="37">
        <v>1</v>
      </c>
      <c r="AF414" s="37">
        <v>1</v>
      </c>
      <c r="AG414" s="37">
        <v>1</v>
      </c>
      <c r="AH414" s="37">
        <v>1</v>
      </c>
      <c r="AI414" s="37">
        <v>1</v>
      </c>
      <c r="AJ414" s="52"/>
      <c r="AK414" s="52"/>
      <c r="AL414" s="10">
        <f t="shared" si="25"/>
        <v>14</v>
      </c>
      <c r="AM414" s="12">
        <v>32000</v>
      </c>
      <c r="AN414" s="12">
        <f t="shared" si="26"/>
        <v>448000</v>
      </c>
      <c r="AO414" s="1"/>
    </row>
    <row r="415" spans="1:41" ht="13.5" customHeight="1">
      <c r="A415" s="51" t="s">
        <v>62</v>
      </c>
      <c r="B415" s="35">
        <v>39</v>
      </c>
      <c r="C415" s="36" t="s">
        <v>224</v>
      </c>
      <c r="D415" s="36" t="s">
        <v>916</v>
      </c>
      <c r="E415" s="36" t="s">
        <v>37</v>
      </c>
      <c r="F415" s="35" t="s">
        <v>917</v>
      </c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37">
        <v>1</v>
      </c>
      <c r="W415" s="37">
        <v>1</v>
      </c>
      <c r="X415" s="37">
        <v>1</v>
      </c>
      <c r="Y415" s="37">
        <v>1</v>
      </c>
      <c r="Z415" s="37">
        <v>1</v>
      </c>
      <c r="AA415" s="37">
        <v>1</v>
      </c>
      <c r="AB415" s="37">
        <v>1</v>
      </c>
      <c r="AC415" s="37">
        <v>1</v>
      </c>
      <c r="AD415" s="37">
        <v>1</v>
      </c>
      <c r="AE415" s="37">
        <v>1</v>
      </c>
      <c r="AF415" s="37">
        <v>1</v>
      </c>
      <c r="AG415" s="37">
        <v>1</v>
      </c>
      <c r="AH415" s="37">
        <v>1</v>
      </c>
      <c r="AI415" s="37">
        <v>1</v>
      </c>
      <c r="AJ415" s="52"/>
      <c r="AK415" s="52"/>
      <c r="AL415" s="10">
        <f t="shared" si="25"/>
        <v>14</v>
      </c>
      <c r="AM415" s="12">
        <v>32000</v>
      </c>
      <c r="AN415" s="12">
        <f t="shared" si="26"/>
        <v>448000</v>
      </c>
      <c r="AO415" s="1"/>
    </row>
    <row r="416" spans="1:41" ht="13.5" customHeight="1">
      <c r="A416" s="51" t="s">
        <v>62</v>
      </c>
      <c r="B416" s="35">
        <v>39</v>
      </c>
      <c r="C416" s="36" t="s">
        <v>105</v>
      </c>
      <c r="D416" s="36" t="s">
        <v>19</v>
      </c>
      <c r="E416" s="36" t="s">
        <v>384</v>
      </c>
      <c r="F416" s="35" t="s">
        <v>567</v>
      </c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37">
        <v>1</v>
      </c>
      <c r="W416" s="37">
        <v>1</v>
      </c>
      <c r="X416" s="37">
        <v>1</v>
      </c>
      <c r="Y416" s="37">
        <v>1</v>
      </c>
      <c r="Z416" s="37">
        <v>1</v>
      </c>
      <c r="AA416" s="37">
        <v>1</v>
      </c>
      <c r="AB416" s="37">
        <v>1</v>
      </c>
      <c r="AC416" s="37">
        <v>1</v>
      </c>
      <c r="AD416" s="37">
        <v>1</v>
      </c>
      <c r="AE416" s="37">
        <v>1</v>
      </c>
      <c r="AF416" s="37">
        <v>1</v>
      </c>
      <c r="AG416" s="37">
        <v>1</v>
      </c>
      <c r="AH416" s="37">
        <v>1</v>
      </c>
      <c r="AI416" s="37">
        <v>1</v>
      </c>
      <c r="AJ416" s="52"/>
      <c r="AK416" s="52"/>
      <c r="AL416" s="10">
        <f t="shared" si="25"/>
        <v>14</v>
      </c>
      <c r="AM416" s="12">
        <v>32000</v>
      </c>
      <c r="AN416" s="12">
        <f t="shared" si="26"/>
        <v>448000</v>
      </c>
      <c r="AO416" s="1"/>
    </row>
    <row r="417" spans="1:41" ht="13.5" customHeight="1">
      <c r="A417" s="51" t="s">
        <v>62</v>
      </c>
      <c r="B417" s="35">
        <v>40</v>
      </c>
      <c r="C417" s="36" t="s">
        <v>72</v>
      </c>
      <c r="D417" s="36" t="s">
        <v>73</v>
      </c>
      <c r="E417" s="36" t="s">
        <v>70</v>
      </c>
      <c r="F417" s="35" t="s">
        <v>74</v>
      </c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37">
        <v>1</v>
      </c>
      <c r="W417" s="37">
        <v>1</v>
      </c>
      <c r="X417" s="37">
        <v>1</v>
      </c>
      <c r="Y417" s="37">
        <v>1</v>
      </c>
      <c r="Z417" s="37">
        <v>1</v>
      </c>
      <c r="AA417" s="37">
        <v>1</v>
      </c>
      <c r="AB417" s="37">
        <v>1</v>
      </c>
      <c r="AC417" s="37">
        <v>1</v>
      </c>
      <c r="AD417" s="37">
        <v>1</v>
      </c>
      <c r="AE417" s="37">
        <v>1</v>
      </c>
      <c r="AF417" s="37">
        <v>1</v>
      </c>
      <c r="AG417" s="37">
        <v>1</v>
      </c>
      <c r="AH417" s="37">
        <v>1</v>
      </c>
      <c r="AI417" s="37">
        <v>1</v>
      </c>
      <c r="AJ417" s="52"/>
      <c r="AK417" s="52"/>
      <c r="AL417" s="10">
        <f t="shared" ref="AL417:AL479" si="27">SUM(G417:AK417)</f>
        <v>14</v>
      </c>
      <c r="AM417" s="12">
        <v>32000</v>
      </c>
      <c r="AN417" s="12">
        <f t="shared" ref="AN417:AN479" si="28">AM417*AL417</f>
        <v>448000</v>
      </c>
      <c r="AO417" s="1"/>
    </row>
    <row r="418" spans="1:41" ht="13.5" customHeight="1">
      <c r="A418" s="51" t="s">
        <v>62</v>
      </c>
      <c r="B418" s="35">
        <v>40</v>
      </c>
      <c r="C418" s="36" t="s">
        <v>176</v>
      </c>
      <c r="D418" s="36" t="s">
        <v>176</v>
      </c>
      <c r="E418" s="36" t="s">
        <v>184</v>
      </c>
      <c r="F418" s="35" t="s">
        <v>331</v>
      </c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37">
        <v>1</v>
      </c>
      <c r="W418" s="37">
        <v>1</v>
      </c>
      <c r="X418" s="37">
        <v>1</v>
      </c>
      <c r="Y418" s="37">
        <v>1</v>
      </c>
      <c r="Z418" s="37">
        <v>1</v>
      </c>
      <c r="AA418" s="37">
        <v>1</v>
      </c>
      <c r="AB418" s="37">
        <v>1</v>
      </c>
      <c r="AC418" s="37">
        <v>1</v>
      </c>
      <c r="AD418" s="37">
        <v>1</v>
      </c>
      <c r="AE418" s="37">
        <v>1</v>
      </c>
      <c r="AF418" s="37">
        <v>1</v>
      </c>
      <c r="AG418" s="37">
        <v>1</v>
      </c>
      <c r="AH418" s="37">
        <v>1</v>
      </c>
      <c r="AI418" s="37">
        <v>1</v>
      </c>
      <c r="AJ418" s="52"/>
      <c r="AK418" s="52"/>
      <c r="AL418" s="10">
        <f t="shared" si="27"/>
        <v>14</v>
      </c>
      <c r="AM418" s="12">
        <v>32000</v>
      </c>
      <c r="AN418" s="12">
        <f t="shared" si="28"/>
        <v>448000</v>
      </c>
      <c r="AO418" s="1"/>
    </row>
    <row r="419" spans="1:41" ht="13.5" customHeight="1">
      <c r="A419" s="51" t="s">
        <v>62</v>
      </c>
      <c r="B419" s="35">
        <v>41</v>
      </c>
      <c r="C419" s="36" t="s">
        <v>563</v>
      </c>
      <c r="D419" s="36" t="s">
        <v>564</v>
      </c>
      <c r="E419" s="36" t="s">
        <v>229</v>
      </c>
      <c r="F419" s="35" t="s">
        <v>565</v>
      </c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37">
        <v>1</v>
      </c>
      <c r="W419" s="37">
        <v>1</v>
      </c>
      <c r="X419" s="37">
        <v>1</v>
      </c>
      <c r="Y419" s="37">
        <v>1</v>
      </c>
      <c r="Z419" s="37">
        <v>1</v>
      </c>
      <c r="AA419" s="37">
        <v>1</v>
      </c>
      <c r="AB419" s="37">
        <v>1</v>
      </c>
      <c r="AC419" s="37">
        <v>1</v>
      </c>
      <c r="AD419" s="37">
        <v>1</v>
      </c>
      <c r="AE419" s="37">
        <v>1</v>
      </c>
      <c r="AF419" s="37">
        <v>1</v>
      </c>
      <c r="AG419" s="37">
        <v>1</v>
      </c>
      <c r="AH419" s="37">
        <v>1</v>
      </c>
      <c r="AI419" s="37">
        <v>1</v>
      </c>
      <c r="AJ419" s="52"/>
      <c r="AK419" s="52"/>
      <c r="AL419" s="10">
        <f t="shared" si="27"/>
        <v>14</v>
      </c>
      <c r="AM419" s="12">
        <v>32000</v>
      </c>
      <c r="AN419" s="12">
        <f t="shared" si="28"/>
        <v>448000</v>
      </c>
      <c r="AO419" s="1"/>
    </row>
    <row r="420" spans="1:41" ht="13.5" customHeight="1">
      <c r="A420" s="51" t="s">
        <v>62</v>
      </c>
      <c r="B420" s="35">
        <v>41</v>
      </c>
      <c r="C420" s="36" t="s">
        <v>147</v>
      </c>
      <c r="D420" s="36" t="s">
        <v>72</v>
      </c>
      <c r="E420" s="36" t="s">
        <v>70</v>
      </c>
      <c r="F420" s="35" t="s">
        <v>918</v>
      </c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37">
        <v>1</v>
      </c>
      <c r="W420" s="37">
        <v>1</v>
      </c>
      <c r="X420" s="37">
        <v>1</v>
      </c>
      <c r="Y420" s="37">
        <v>1</v>
      </c>
      <c r="Z420" s="37">
        <v>1</v>
      </c>
      <c r="AA420" s="37">
        <v>1</v>
      </c>
      <c r="AB420" s="37">
        <v>1</v>
      </c>
      <c r="AC420" s="37">
        <v>1</v>
      </c>
      <c r="AD420" s="37">
        <v>1</v>
      </c>
      <c r="AE420" s="37">
        <v>1</v>
      </c>
      <c r="AF420" s="37">
        <v>1</v>
      </c>
      <c r="AG420" s="37">
        <v>1</v>
      </c>
      <c r="AH420" s="37">
        <v>1</v>
      </c>
      <c r="AI420" s="37">
        <v>1</v>
      </c>
      <c r="AJ420" s="52"/>
      <c r="AK420" s="52"/>
      <c r="AL420" s="10">
        <f t="shared" si="27"/>
        <v>14</v>
      </c>
      <c r="AM420" s="12">
        <v>32000</v>
      </c>
      <c r="AN420" s="12">
        <f t="shared" si="28"/>
        <v>448000</v>
      </c>
      <c r="AO420" s="1"/>
    </row>
    <row r="421" spans="1:41" ht="13.5" customHeight="1">
      <c r="A421" s="51" t="s">
        <v>62</v>
      </c>
      <c r="B421" s="35">
        <v>42</v>
      </c>
      <c r="C421" s="36" t="s">
        <v>892</v>
      </c>
      <c r="D421" s="36" t="s">
        <v>893</v>
      </c>
      <c r="E421" s="36" t="s">
        <v>169</v>
      </c>
      <c r="F421" s="35" t="s">
        <v>903</v>
      </c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37">
        <v>1</v>
      </c>
      <c r="W421" s="37">
        <v>1</v>
      </c>
      <c r="X421" s="37">
        <v>1</v>
      </c>
      <c r="Y421" s="37">
        <v>1</v>
      </c>
      <c r="Z421" s="37">
        <v>1</v>
      </c>
      <c r="AA421" s="37">
        <v>1</v>
      </c>
      <c r="AB421" s="37">
        <v>1</v>
      </c>
      <c r="AC421" s="37">
        <v>1</v>
      </c>
      <c r="AD421" s="37">
        <v>1</v>
      </c>
      <c r="AE421" s="37">
        <v>1</v>
      </c>
      <c r="AF421" s="37">
        <v>1</v>
      </c>
      <c r="AG421" s="37">
        <v>1</v>
      </c>
      <c r="AH421" s="37">
        <v>1</v>
      </c>
      <c r="AI421" s="37">
        <v>1</v>
      </c>
      <c r="AJ421" s="52"/>
      <c r="AK421" s="52"/>
      <c r="AL421" s="10">
        <f t="shared" si="27"/>
        <v>14</v>
      </c>
      <c r="AM421" s="12">
        <v>32000</v>
      </c>
      <c r="AN421" s="12">
        <f t="shared" si="28"/>
        <v>448000</v>
      </c>
      <c r="AO421" s="1"/>
    </row>
    <row r="422" spans="1:41" ht="13.5" customHeight="1">
      <c r="A422" s="51" t="s">
        <v>62</v>
      </c>
      <c r="B422" s="35">
        <v>42</v>
      </c>
      <c r="C422" s="36" t="s">
        <v>919</v>
      </c>
      <c r="D422" s="36" t="s">
        <v>312</v>
      </c>
      <c r="E422" s="36" t="s">
        <v>920</v>
      </c>
      <c r="F422" s="35" t="s">
        <v>921</v>
      </c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37">
        <v>1</v>
      </c>
      <c r="W422" s="37">
        <v>1</v>
      </c>
      <c r="X422" s="37">
        <v>1</v>
      </c>
      <c r="Y422" s="37">
        <v>1</v>
      </c>
      <c r="Z422" s="37">
        <v>1</v>
      </c>
      <c r="AA422" s="37">
        <v>1</v>
      </c>
      <c r="AB422" s="37">
        <v>1</v>
      </c>
      <c r="AC422" s="37">
        <v>1</v>
      </c>
      <c r="AD422" s="37">
        <v>1</v>
      </c>
      <c r="AE422" s="37">
        <v>1</v>
      </c>
      <c r="AF422" s="37">
        <v>1</v>
      </c>
      <c r="AG422" s="37">
        <v>1</v>
      </c>
      <c r="AH422" s="37">
        <v>1</v>
      </c>
      <c r="AI422" s="37">
        <v>1</v>
      </c>
      <c r="AJ422" s="52"/>
      <c r="AK422" s="52"/>
      <c r="AL422" s="10">
        <f t="shared" si="27"/>
        <v>14</v>
      </c>
      <c r="AM422" s="12">
        <v>32000</v>
      </c>
      <c r="AN422" s="12">
        <f t="shared" si="28"/>
        <v>448000</v>
      </c>
      <c r="AO422" s="1"/>
    </row>
    <row r="423" spans="1:41" ht="13.5" customHeight="1">
      <c r="A423" s="51" t="s">
        <v>62</v>
      </c>
      <c r="B423" s="35">
        <v>43</v>
      </c>
      <c r="C423" s="36" t="s">
        <v>634</v>
      </c>
      <c r="D423" s="36" t="s">
        <v>91</v>
      </c>
      <c r="E423" s="36" t="s">
        <v>22</v>
      </c>
      <c r="F423" s="35" t="s">
        <v>551</v>
      </c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37">
        <v>1</v>
      </c>
      <c r="W423" s="37">
        <v>1</v>
      </c>
      <c r="X423" s="37">
        <v>1</v>
      </c>
      <c r="Y423" s="37">
        <v>1</v>
      </c>
      <c r="Z423" s="37">
        <v>1</v>
      </c>
      <c r="AA423" s="37">
        <v>1</v>
      </c>
      <c r="AB423" s="37">
        <v>1</v>
      </c>
      <c r="AC423" s="37">
        <v>1</v>
      </c>
      <c r="AD423" s="37">
        <v>1</v>
      </c>
      <c r="AE423" s="37">
        <v>1</v>
      </c>
      <c r="AF423" s="37">
        <v>1</v>
      </c>
      <c r="AG423" s="37">
        <v>1</v>
      </c>
      <c r="AH423" s="37">
        <v>1</v>
      </c>
      <c r="AI423" s="37">
        <v>1</v>
      </c>
      <c r="AJ423" s="52"/>
      <c r="AK423" s="52"/>
      <c r="AL423" s="10">
        <f t="shared" si="27"/>
        <v>14</v>
      </c>
      <c r="AM423" s="12">
        <v>32000</v>
      </c>
      <c r="AN423" s="12">
        <f t="shared" si="28"/>
        <v>448000</v>
      </c>
      <c r="AO423" s="1"/>
    </row>
    <row r="424" spans="1:41" ht="13.5" customHeight="1">
      <c r="A424" s="51" t="s">
        <v>62</v>
      </c>
      <c r="B424" s="35">
        <v>43</v>
      </c>
      <c r="C424" s="36" t="s">
        <v>568</v>
      </c>
      <c r="D424" s="36" t="s">
        <v>335</v>
      </c>
      <c r="E424" s="36" t="s">
        <v>382</v>
      </c>
      <c r="F424" s="35" t="s">
        <v>922</v>
      </c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37">
        <v>1</v>
      </c>
      <c r="W424" s="37">
        <v>1</v>
      </c>
      <c r="X424" s="37">
        <v>1</v>
      </c>
      <c r="Y424" s="37">
        <v>1</v>
      </c>
      <c r="Z424" s="37">
        <v>1</v>
      </c>
      <c r="AA424" s="37">
        <v>1</v>
      </c>
      <c r="AB424" s="37">
        <v>1</v>
      </c>
      <c r="AC424" s="37">
        <v>1</v>
      </c>
      <c r="AD424" s="37">
        <v>1</v>
      </c>
      <c r="AE424" s="37">
        <v>1</v>
      </c>
      <c r="AF424" s="37">
        <v>1</v>
      </c>
      <c r="AG424" s="37">
        <v>1</v>
      </c>
      <c r="AH424" s="37">
        <v>1</v>
      </c>
      <c r="AI424" s="37">
        <v>1</v>
      </c>
      <c r="AJ424" s="52"/>
      <c r="AK424" s="52"/>
      <c r="AL424" s="10">
        <f t="shared" si="27"/>
        <v>14</v>
      </c>
      <c r="AM424" s="12">
        <v>32000</v>
      </c>
      <c r="AN424" s="12">
        <f t="shared" si="28"/>
        <v>448000</v>
      </c>
      <c r="AO424" s="1"/>
    </row>
    <row r="425" spans="1:41" ht="13.5" customHeight="1">
      <c r="A425" s="51" t="s">
        <v>62</v>
      </c>
      <c r="B425" s="35">
        <v>44</v>
      </c>
      <c r="C425" s="36" t="s">
        <v>161</v>
      </c>
      <c r="D425" s="36" t="s">
        <v>524</v>
      </c>
      <c r="E425" s="36" t="s">
        <v>42</v>
      </c>
      <c r="F425" s="35" t="s">
        <v>525</v>
      </c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37">
        <v>1</v>
      </c>
      <c r="W425" s="37">
        <v>1</v>
      </c>
      <c r="X425" s="37">
        <v>1</v>
      </c>
      <c r="Y425" s="37">
        <v>1</v>
      </c>
      <c r="Z425" s="37">
        <v>1</v>
      </c>
      <c r="AA425" s="37">
        <v>1</v>
      </c>
      <c r="AB425" s="37">
        <v>1</v>
      </c>
      <c r="AC425" s="37">
        <v>1</v>
      </c>
      <c r="AD425" s="37">
        <v>1</v>
      </c>
      <c r="AE425" s="37">
        <v>1</v>
      </c>
      <c r="AF425" s="37">
        <v>1</v>
      </c>
      <c r="AG425" s="37">
        <v>1</v>
      </c>
      <c r="AH425" s="37">
        <v>1</v>
      </c>
      <c r="AI425" s="37">
        <v>1</v>
      </c>
      <c r="AJ425" s="52"/>
      <c r="AK425" s="52"/>
      <c r="AL425" s="10">
        <f t="shared" si="27"/>
        <v>14</v>
      </c>
      <c r="AM425" s="12">
        <v>32000</v>
      </c>
      <c r="AN425" s="12">
        <f t="shared" si="28"/>
        <v>448000</v>
      </c>
      <c r="AO425" s="1"/>
    </row>
    <row r="426" spans="1:41" ht="13.5" customHeight="1">
      <c r="A426" s="51" t="s">
        <v>62</v>
      </c>
      <c r="B426" s="35">
        <v>44</v>
      </c>
      <c r="C426" s="36" t="s">
        <v>546</v>
      </c>
      <c r="D426" s="36" t="s">
        <v>923</v>
      </c>
      <c r="E426" s="36" t="s">
        <v>144</v>
      </c>
      <c r="F426" s="35" t="s">
        <v>924</v>
      </c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37">
        <v>1</v>
      </c>
      <c r="W426" s="37">
        <v>1</v>
      </c>
      <c r="X426" s="37">
        <v>1</v>
      </c>
      <c r="Y426" s="37">
        <v>1</v>
      </c>
      <c r="Z426" s="37">
        <v>1</v>
      </c>
      <c r="AA426" s="37">
        <v>1</v>
      </c>
      <c r="AB426" s="37">
        <v>1</v>
      </c>
      <c r="AC426" s="37">
        <v>1</v>
      </c>
      <c r="AD426" s="37">
        <v>1</v>
      </c>
      <c r="AE426" s="37">
        <v>1</v>
      </c>
      <c r="AF426" s="37">
        <v>1</v>
      </c>
      <c r="AG426" s="37">
        <v>1</v>
      </c>
      <c r="AH426" s="37">
        <v>1</v>
      </c>
      <c r="AI426" s="37">
        <v>1</v>
      </c>
      <c r="AJ426" s="52"/>
      <c r="AK426" s="52"/>
      <c r="AL426" s="10">
        <f t="shared" si="27"/>
        <v>14</v>
      </c>
      <c r="AM426" s="12">
        <v>32000</v>
      </c>
      <c r="AN426" s="12">
        <f t="shared" si="28"/>
        <v>448000</v>
      </c>
      <c r="AO426" s="1"/>
    </row>
    <row r="427" spans="1:41" ht="13.5" customHeight="1">
      <c r="A427" s="51" t="s">
        <v>62</v>
      </c>
      <c r="B427" s="35">
        <v>45</v>
      </c>
      <c r="C427" s="36" t="s">
        <v>314</v>
      </c>
      <c r="D427" s="36" t="s">
        <v>315</v>
      </c>
      <c r="E427" s="36" t="s">
        <v>316</v>
      </c>
      <c r="F427" s="35" t="s">
        <v>317</v>
      </c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37">
        <v>1</v>
      </c>
      <c r="W427" s="37">
        <v>1</v>
      </c>
      <c r="X427" s="37">
        <v>1</v>
      </c>
      <c r="Y427" s="37">
        <v>1</v>
      </c>
      <c r="Z427" s="37">
        <v>1</v>
      </c>
      <c r="AA427" s="37">
        <v>1</v>
      </c>
      <c r="AB427" s="37">
        <v>1</v>
      </c>
      <c r="AC427" s="37">
        <v>1</v>
      </c>
      <c r="AD427" s="37">
        <v>1</v>
      </c>
      <c r="AE427" s="37">
        <v>1</v>
      </c>
      <c r="AF427" s="37">
        <v>1</v>
      </c>
      <c r="AG427" s="37">
        <v>1</v>
      </c>
      <c r="AH427" s="37">
        <v>1</v>
      </c>
      <c r="AI427" s="37">
        <v>1</v>
      </c>
      <c r="AJ427" s="52"/>
      <c r="AK427" s="52"/>
      <c r="AL427" s="10">
        <f t="shared" si="27"/>
        <v>14</v>
      </c>
      <c r="AM427" s="12">
        <v>32000</v>
      </c>
      <c r="AN427" s="12">
        <f t="shared" si="28"/>
        <v>448000</v>
      </c>
      <c r="AO427" s="1"/>
    </row>
    <row r="428" spans="1:41" ht="13.5" customHeight="1">
      <c r="A428" s="51" t="s">
        <v>62</v>
      </c>
      <c r="B428" s="35">
        <v>45</v>
      </c>
      <c r="C428" s="36" t="s">
        <v>13</v>
      </c>
      <c r="D428" s="36" t="s">
        <v>38</v>
      </c>
      <c r="E428" s="36" t="s">
        <v>22</v>
      </c>
      <c r="F428" s="35" t="s">
        <v>318</v>
      </c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37">
        <v>1</v>
      </c>
      <c r="W428" s="37">
        <v>1</v>
      </c>
      <c r="X428" s="37">
        <v>1</v>
      </c>
      <c r="Y428" s="37">
        <v>1</v>
      </c>
      <c r="Z428" s="37">
        <v>1</v>
      </c>
      <c r="AA428" s="37">
        <v>1</v>
      </c>
      <c r="AB428" s="37">
        <v>1</v>
      </c>
      <c r="AC428" s="37">
        <v>1</v>
      </c>
      <c r="AD428" s="37">
        <v>1</v>
      </c>
      <c r="AE428" s="37">
        <v>1</v>
      </c>
      <c r="AF428" s="37">
        <v>1</v>
      </c>
      <c r="AG428" s="37">
        <v>1</v>
      </c>
      <c r="AH428" s="37">
        <v>1</v>
      </c>
      <c r="AI428" s="37">
        <v>1</v>
      </c>
      <c r="AJ428" s="52"/>
      <c r="AK428" s="52"/>
      <c r="AL428" s="10">
        <f t="shared" si="27"/>
        <v>14</v>
      </c>
      <c r="AM428" s="12">
        <v>32000</v>
      </c>
      <c r="AN428" s="12">
        <f t="shared" si="28"/>
        <v>448000</v>
      </c>
      <c r="AO428" s="1"/>
    </row>
    <row r="429" spans="1:41" ht="13.5" customHeight="1">
      <c r="A429" s="51" t="s">
        <v>62</v>
      </c>
      <c r="B429" s="35">
        <v>48</v>
      </c>
      <c r="C429" s="36" t="s">
        <v>200</v>
      </c>
      <c r="D429" s="36" t="s">
        <v>38</v>
      </c>
      <c r="E429" s="36" t="s">
        <v>539</v>
      </c>
      <c r="F429" s="35" t="s">
        <v>925</v>
      </c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37">
        <v>1</v>
      </c>
      <c r="W429" s="37">
        <v>1</v>
      </c>
      <c r="X429" s="37">
        <v>1</v>
      </c>
      <c r="Y429" s="37">
        <v>1</v>
      </c>
      <c r="Z429" s="37">
        <v>1</v>
      </c>
      <c r="AA429" s="37">
        <v>1</v>
      </c>
      <c r="AB429" s="37">
        <v>1</v>
      </c>
      <c r="AC429" s="37">
        <v>1</v>
      </c>
      <c r="AD429" s="37">
        <v>1</v>
      </c>
      <c r="AE429" s="37">
        <v>1</v>
      </c>
      <c r="AF429" s="37">
        <v>1</v>
      </c>
      <c r="AG429" s="37">
        <v>1</v>
      </c>
      <c r="AH429" s="37">
        <v>1</v>
      </c>
      <c r="AI429" s="37">
        <v>1</v>
      </c>
      <c r="AJ429" s="52"/>
      <c r="AK429" s="52"/>
      <c r="AL429" s="10">
        <f t="shared" si="27"/>
        <v>14</v>
      </c>
      <c r="AM429" s="12">
        <v>32000</v>
      </c>
      <c r="AN429" s="12">
        <f t="shared" si="28"/>
        <v>448000</v>
      </c>
      <c r="AO429" s="1"/>
    </row>
    <row r="430" spans="1:41" ht="13.5" customHeight="1">
      <c r="A430" s="51" t="s">
        <v>62</v>
      </c>
      <c r="B430" s="35">
        <v>48</v>
      </c>
      <c r="C430" s="36" t="s">
        <v>19</v>
      </c>
      <c r="D430" s="36" t="s">
        <v>10</v>
      </c>
      <c r="E430" s="36" t="s">
        <v>168</v>
      </c>
      <c r="F430" s="35" t="s">
        <v>926</v>
      </c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37">
        <v>1</v>
      </c>
      <c r="W430" s="37">
        <v>1</v>
      </c>
      <c r="X430" s="37">
        <v>1</v>
      </c>
      <c r="Y430" s="37">
        <v>1</v>
      </c>
      <c r="Z430" s="37">
        <v>1</v>
      </c>
      <c r="AA430" s="37">
        <v>1</v>
      </c>
      <c r="AB430" s="37">
        <v>1</v>
      </c>
      <c r="AC430" s="37">
        <v>1</v>
      </c>
      <c r="AD430" s="37">
        <v>1</v>
      </c>
      <c r="AE430" s="37">
        <v>1</v>
      </c>
      <c r="AF430" s="37">
        <v>1</v>
      </c>
      <c r="AG430" s="37">
        <v>1</v>
      </c>
      <c r="AH430" s="37">
        <v>1</v>
      </c>
      <c r="AI430" s="37">
        <v>1</v>
      </c>
      <c r="AJ430" s="52"/>
      <c r="AK430" s="52"/>
      <c r="AL430" s="10">
        <f t="shared" si="27"/>
        <v>14</v>
      </c>
      <c r="AM430" s="12">
        <v>32000</v>
      </c>
      <c r="AN430" s="12">
        <f t="shared" si="28"/>
        <v>448000</v>
      </c>
      <c r="AO430" s="1"/>
    </row>
    <row r="431" spans="1:41" ht="13.5" customHeight="1">
      <c r="A431" s="51" t="s">
        <v>62</v>
      </c>
      <c r="B431" s="35">
        <v>49</v>
      </c>
      <c r="C431" s="36" t="s">
        <v>206</v>
      </c>
      <c r="D431" s="36" t="s">
        <v>183</v>
      </c>
      <c r="E431" s="36" t="s">
        <v>927</v>
      </c>
      <c r="F431" s="35" t="s">
        <v>522</v>
      </c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37">
        <v>1</v>
      </c>
      <c r="W431" s="37">
        <v>1</v>
      </c>
      <c r="X431" s="37">
        <v>1</v>
      </c>
      <c r="Y431" s="37">
        <v>1</v>
      </c>
      <c r="Z431" s="37">
        <v>1</v>
      </c>
      <c r="AA431" s="37">
        <v>1</v>
      </c>
      <c r="AB431" s="37">
        <v>1</v>
      </c>
      <c r="AC431" s="37">
        <v>1</v>
      </c>
      <c r="AD431" s="37">
        <v>1</v>
      </c>
      <c r="AE431" s="37">
        <v>1</v>
      </c>
      <c r="AF431" s="37">
        <v>1</v>
      </c>
      <c r="AG431" s="37">
        <v>1</v>
      </c>
      <c r="AH431" s="37">
        <v>1</v>
      </c>
      <c r="AI431" s="37">
        <v>1</v>
      </c>
      <c r="AJ431" s="52"/>
      <c r="AK431" s="52"/>
      <c r="AL431" s="10">
        <f t="shared" si="27"/>
        <v>14</v>
      </c>
      <c r="AM431" s="12">
        <v>32000</v>
      </c>
      <c r="AN431" s="12">
        <f t="shared" si="28"/>
        <v>448000</v>
      </c>
      <c r="AO431" s="1"/>
    </row>
    <row r="432" spans="1:41" ht="13.5" customHeight="1">
      <c r="A432" s="51" t="s">
        <v>62</v>
      </c>
      <c r="B432" s="35">
        <v>51</v>
      </c>
      <c r="C432" s="36" t="s">
        <v>297</v>
      </c>
      <c r="D432" s="36" t="s">
        <v>928</v>
      </c>
      <c r="E432" s="36" t="s">
        <v>321</v>
      </c>
      <c r="F432" s="35" t="s">
        <v>929</v>
      </c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37">
        <v>1</v>
      </c>
      <c r="W432" s="37">
        <v>1</v>
      </c>
      <c r="X432" s="37">
        <v>1</v>
      </c>
      <c r="Y432" s="37">
        <v>1</v>
      </c>
      <c r="Z432" s="37">
        <v>1</v>
      </c>
      <c r="AA432" s="37">
        <v>1</v>
      </c>
      <c r="AB432" s="37">
        <v>1</v>
      </c>
      <c r="AC432" s="37">
        <v>1</v>
      </c>
      <c r="AD432" s="37">
        <v>1</v>
      </c>
      <c r="AE432" s="37">
        <v>1</v>
      </c>
      <c r="AF432" s="37">
        <v>1</v>
      </c>
      <c r="AG432" s="37">
        <v>1</v>
      </c>
      <c r="AH432" s="37">
        <v>1</v>
      </c>
      <c r="AI432" s="37">
        <v>1</v>
      </c>
      <c r="AJ432" s="52"/>
      <c r="AK432" s="52"/>
      <c r="AL432" s="10">
        <f t="shared" si="27"/>
        <v>14</v>
      </c>
      <c r="AM432" s="12">
        <v>32000</v>
      </c>
      <c r="AN432" s="12">
        <f t="shared" si="28"/>
        <v>448000</v>
      </c>
      <c r="AO432" s="1"/>
    </row>
    <row r="433" spans="1:41" ht="13.5" customHeight="1">
      <c r="A433" s="51" t="s">
        <v>62</v>
      </c>
      <c r="B433" s="35">
        <v>51</v>
      </c>
      <c r="C433" s="36" t="s">
        <v>702</v>
      </c>
      <c r="D433" s="36" t="s">
        <v>930</v>
      </c>
      <c r="E433" s="36" t="s">
        <v>9</v>
      </c>
      <c r="F433" s="35" t="s">
        <v>931</v>
      </c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37">
        <v>1</v>
      </c>
      <c r="W433" s="37">
        <v>1</v>
      </c>
      <c r="X433" s="37">
        <v>1</v>
      </c>
      <c r="Y433" s="37">
        <v>1</v>
      </c>
      <c r="Z433" s="37">
        <v>1</v>
      </c>
      <c r="AA433" s="37">
        <v>1</v>
      </c>
      <c r="AB433" s="37">
        <v>1</v>
      </c>
      <c r="AC433" s="37">
        <v>1</v>
      </c>
      <c r="AD433" s="37">
        <v>1</v>
      </c>
      <c r="AE433" s="37">
        <v>1</v>
      </c>
      <c r="AF433" s="37">
        <v>1</v>
      </c>
      <c r="AG433" s="37">
        <v>1</v>
      </c>
      <c r="AH433" s="37">
        <v>1</v>
      </c>
      <c r="AI433" s="37">
        <v>1</v>
      </c>
      <c r="AJ433" s="52"/>
      <c r="AK433" s="52"/>
      <c r="AL433" s="10">
        <f t="shared" si="27"/>
        <v>14</v>
      </c>
      <c r="AM433" s="12">
        <v>32000</v>
      </c>
      <c r="AN433" s="12">
        <f t="shared" si="28"/>
        <v>448000</v>
      </c>
      <c r="AO433" s="1"/>
    </row>
    <row r="434" spans="1:41" ht="13.5" customHeight="1">
      <c r="A434" s="51" t="s">
        <v>62</v>
      </c>
      <c r="B434" s="35">
        <v>52</v>
      </c>
      <c r="C434" s="36" t="s">
        <v>223</v>
      </c>
      <c r="D434" s="36" t="s">
        <v>139</v>
      </c>
      <c r="E434" s="36" t="s">
        <v>21</v>
      </c>
      <c r="F434" s="35" t="s">
        <v>932</v>
      </c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37">
        <v>1</v>
      </c>
      <c r="W434" s="37">
        <v>1</v>
      </c>
      <c r="X434" s="37">
        <v>1</v>
      </c>
      <c r="Y434" s="37">
        <v>1</v>
      </c>
      <c r="Z434" s="37">
        <v>1</v>
      </c>
      <c r="AA434" s="37">
        <v>1</v>
      </c>
      <c r="AB434" s="37">
        <v>1</v>
      </c>
      <c r="AC434" s="37">
        <v>1</v>
      </c>
      <c r="AD434" s="37">
        <v>1</v>
      </c>
      <c r="AE434" s="37">
        <v>1</v>
      </c>
      <c r="AF434" s="37">
        <v>1</v>
      </c>
      <c r="AG434" s="37">
        <v>1</v>
      </c>
      <c r="AH434" s="37">
        <v>1</v>
      </c>
      <c r="AI434" s="37">
        <v>1</v>
      </c>
      <c r="AJ434" s="52"/>
      <c r="AK434" s="52"/>
      <c r="AL434" s="10">
        <f t="shared" si="27"/>
        <v>14</v>
      </c>
      <c r="AM434" s="12">
        <v>32000</v>
      </c>
      <c r="AN434" s="12">
        <f t="shared" si="28"/>
        <v>448000</v>
      </c>
      <c r="AO434" s="1"/>
    </row>
    <row r="435" spans="1:41" ht="13.5" customHeight="1">
      <c r="A435" s="51" t="s">
        <v>62</v>
      </c>
      <c r="B435" s="35">
        <v>52</v>
      </c>
      <c r="C435" s="36" t="s">
        <v>162</v>
      </c>
      <c r="D435" s="36" t="s">
        <v>928</v>
      </c>
      <c r="E435" s="36" t="s">
        <v>37</v>
      </c>
      <c r="F435" s="35" t="s">
        <v>933</v>
      </c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37">
        <v>1</v>
      </c>
      <c r="W435" s="37">
        <v>1</v>
      </c>
      <c r="X435" s="37">
        <v>1</v>
      </c>
      <c r="Y435" s="37">
        <v>1</v>
      </c>
      <c r="Z435" s="37">
        <v>1</v>
      </c>
      <c r="AA435" s="37">
        <v>1</v>
      </c>
      <c r="AB435" s="37">
        <v>1</v>
      </c>
      <c r="AC435" s="37">
        <v>1</v>
      </c>
      <c r="AD435" s="37">
        <v>1</v>
      </c>
      <c r="AE435" s="37">
        <v>1</v>
      </c>
      <c r="AF435" s="37">
        <v>1</v>
      </c>
      <c r="AG435" s="37">
        <v>1</v>
      </c>
      <c r="AH435" s="37">
        <v>1</v>
      </c>
      <c r="AI435" s="37">
        <v>1</v>
      </c>
      <c r="AJ435" s="52"/>
      <c r="AK435" s="52"/>
      <c r="AL435" s="10">
        <f t="shared" si="27"/>
        <v>14</v>
      </c>
      <c r="AM435" s="12">
        <v>32000</v>
      </c>
      <c r="AN435" s="12">
        <f t="shared" si="28"/>
        <v>448000</v>
      </c>
      <c r="AO435" s="1"/>
    </row>
    <row r="436" spans="1:41" ht="13.5" customHeight="1">
      <c r="A436" s="51" t="s">
        <v>62</v>
      </c>
      <c r="B436" s="35">
        <v>56</v>
      </c>
      <c r="C436" s="36" t="s">
        <v>890</v>
      </c>
      <c r="D436" s="36" t="s">
        <v>769</v>
      </c>
      <c r="E436" s="36" t="s">
        <v>21</v>
      </c>
      <c r="F436" s="35" t="s">
        <v>905</v>
      </c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37">
        <v>1</v>
      </c>
      <c r="W436" s="37">
        <v>1</v>
      </c>
      <c r="X436" s="37">
        <v>1</v>
      </c>
      <c r="Y436" s="37">
        <v>1</v>
      </c>
      <c r="Z436" s="37">
        <v>1</v>
      </c>
      <c r="AA436" s="37">
        <v>1</v>
      </c>
      <c r="AB436" s="37">
        <v>1</v>
      </c>
      <c r="AC436" s="37">
        <v>1</v>
      </c>
      <c r="AD436" s="37">
        <v>1</v>
      </c>
      <c r="AE436" s="37">
        <v>1</v>
      </c>
      <c r="AF436" s="37">
        <v>1</v>
      </c>
      <c r="AG436" s="37">
        <v>1</v>
      </c>
      <c r="AH436" s="37">
        <v>1</v>
      </c>
      <c r="AI436" s="37">
        <v>1</v>
      </c>
      <c r="AJ436" s="52"/>
      <c r="AK436" s="52"/>
      <c r="AL436" s="10">
        <f t="shared" si="27"/>
        <v>14</v>
      </c>
      <c r="AM436" s="12">
        <v>32000</v>
      </c>
      <c r="AN436" s="12">
        <f t="shared" si="28"/>
        <v>448000</v>
      </c>
      <c r="AO436" s="1"/>
    </row>
    <row r="437" spans="1:41" ht="13.5" customHeight="1">
      <c r="A437" s="51" t="s">
        <v>62</v>
      </c>
      <c r="B437" s="35">
        <v>56</v>
      </c>
      <c r="C437" s="36" t="s">
        <v>894</v>
      </c>
      <c r="D437" s="36" t="s">
        <v>668</v>
      </c>
      <c r="E437" s="36" t="s">
        <v>895</v>
      </c>
      <c r="F437" s="35" t="s">
        <v>902</v>
      </c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37">
        <v>1</v>
      </c>
      <c r="W437" s="37">
        <v>1</v>
      </c>
      <c r="X437" s="37">
        <v>1</v>
      </c>
      <c r="Y437" s="37">
        <v>1</v>
      </c>
      <c r="Z437" s="37">
        <v>1</v>
      </c>
      <c r="AA437" s="37">
        <v>1</v>
      </c>
      <c r="AB437" s="37">
        <v>1</v>
      </c>
      <c r="AC437" s="37">
        <v>1</v>
      </c>
      <c r="AD437" s="37">
        <v>1</v>
      </c>
      <c r="AE437" s="37">
        <v>1</v>
      </c>
      <c r="AF437" s="37">
        <v>1</v>
      </c>
      <c r="AG437" s="37">
        <v>1</v>
      </c>
      <c r="AH437" s="37">
        <v>1</v>
      </c>
      <c r="AI437" s="37">
        <v>1</v>
      </c>
      <c r="AJ437" s="52"/>
      <c r="AK437" s="52"/>
      <c r="AL437" s="10">
        <f t="shared" si="27"/>
        <v>14</v>
      </c>
      <c r="AM437" s="12">
        <v>32000</v>
      </c>
      <c r="AN437" s="12">
        <f t="shared" si="28"/>
        <v>448000</v>
      </c>
      <c r="AO437" s="1"/>
    </row>
    <row r="438" spans="1:41" ht="13.5" customHeight="1">
      <c r="A438" s="51" t="s">
        <v>62</v>
      </c>
      <c r="B438" s="35">
        <v>57</v>
      </c>
      <c r="C438" s="36" t="s">
        <v>768</v>
      </c>
      <c r="D438" s="36" t="s">
        <v>67</v>
      </c>
      <c r="E438" s="36" t="s">
        <v>21</v>
      </c>
      <c r="F438" s="35" t="s">
        <v>934</v>
      </c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37">
        <v>1</v>
      </c>
      <c r="W438" s="37">
        <v>1</v>
      </c>
      <c r="X438" s="37">
        <v>1</v>
      </c>
      <c r="Y438" s="37">
        <v>1</v>
      </c>
      <c r="Z438" s="37">
        <v>1</v>
      </c>
      <c r="AA438" s="37">
        <v>1</v>
      </c>
      <c r="AB438" s="37">
        <v>1</v>
      </c>
      <c r="AC438" s="37">
        <v>1</v>
      </c>
      <c r="AD438" s="37">
        <v>1</v>
      </c>
      <c r="AE438" s="37">
        <v>1</v>
      </c>
      <c r="AF438" s="37">
        <v>1</v>
      </c>
      <c r="AG438" s="37">
        <v>1</v>
      </c>
      <c r="AH438" s="37">
        <v>1</v>
      </c>
      <c r="AI438" s="37">
        <v>1</v>
      </c>
      <c r="AJ438" s="52"/>
      <c r="AK438" s="52"/>
      <c r="AL438" s="10">
        <f t="shared" si="27"/>
        <v>14</v>
      </c>
      <c r="AM438" s="12">
        <v>32000</v>
      </c>
      <c r="AN438" s="12">
        <f t="shared" si="28"/>
        <v>448000</v>
      </c>
      <c r="AO438" s="1"/>
    </row>
    <row r="439" spans="1:41" ht="13.5" customHeight="1">
      <c r="A439" s="51" t="s">
        <v>62</v>
      </c>
      <c r="B439" s="35">
        <v>57</v>
      </c>
      <c r="C439" s="36" t="s">
        <v>123</v>
      </c>
      <c r="D439" s="36" t="s">
        <v>935</v>
      </c>
      <c r="E439" s="36" t="s">
        <v>725</v>
      </c>
      <c r="F439" s="35" t="s">
        <v>936</v>
      </c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37">
        <v>1</v>
      </c>
      <c r="W439" s="37">
        <v>1</v>
      </c>
      <c r="X439" s="37">
        <v>1</v>
      </c>
      <c r="Y439" s="37">
        <v>1</v>
      </c>
      <c r="Z439" s="37">
        <v>1</v>
      </c>
      <c r="AA439" s="37">
        <v>1</v>
      </c>
      <c r="AB439" s="37">
        <v>1</v>
      </c>
      <c r="AC439" s="37">
        <v>1</v>
      </c>
      <c r="AD439" s="37">
        <v>1</v>
      </c>
      <c r="AE439" s="37">
        <v>1</v>
      </c>
      <c r="AF439" s="37">
        <v>1</v>
      </c>
      <c r="AG439" s="37">
        <v>1</v>
      </c>
      <c r="AH439" s="37">
        <v>1</v>
      </c>
      <c r="AI439" s="37">
        <v>1</v>
      </c>
      <c r="AJ439" s="52"/>
      <c r="AK439" s="52"/>
      <c r="AL439" s="10">
        <f t="shared" si="27"/>
        <v>14</v>
      </c>
      <c r="AM439" s="12">
        <v>32000</v>
      </c>
      <c r="AN439" s="12">
        <f t="shared" si="28"/>
        <v>448000</v>
      </c>
      <c r="AO439" s="1"/>
    </row>
    <row r="440" spans="1:41" ht="13.5" customHeight="1">
      <c r="A440" s="51" t="s">
        <v>62</v>
      </c>
      <c r="B440" s="35">
        <v>58</v>
      </c>
      <c r="C440" s="36" t="s">
        <v>302</v>
      </c>
      <c r="D440" s="36" t="s">
        <v>303</v>
      </c>
      <c r="E440" s="36" t="s">
        <v>43</v>
      </c>
      <c r="F440" s="35" t="s">
        <v>304</v>
      </c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37">
        <v>1</v>
      </c>
      <c r="W440" s="37">
        <v>1</v>
      </c>
      <c r="X440" s="37">
        <v>1</v>
      </c>
      <c r="Y440" s="37">
        <v>1</v>
      </c>
      <c r="Z440" s="37">
        <v>1</v>
      </c>
      <c r="AA440" s="37">
        <v>1</v>
      </c>
      <c r="AB440" s="37">
        <v>1</v>
      </c>
      <c r="AC440" s="37">
        <v>1</v>
      </c>
      <c r="AD440" s="37">
        <v>1</v>
      </c>
      <c r="AE440" s="37">
        <v>1</v>
      </c>
      <c r="AF440" s="37">
        <v>1</v>
      </c>
      <c r="AG440" s="37">
        <v>1</v>
      </c>
      <c r="AH440" s="37">
        <v>1</v>
      </c>
      <c r="AI440" s="37">
        <v>1</v>
      </c>
      <c r="AJ440" s="52"/>
      <c r="AK440" s="52"/>
      <c r="AL440" s="10">
        <f t="shared" si="27"/>
        <v>14</v>
      </c>
      <c r="AM440" s="12">
        <v>32000</v>
      </c>
      <c r="AN440" s="12">
        <f t="shared" si="28"/>
        <v>448000</v>
      </c>
      <c r="AO440" s="1"/>
    </row>
    <row r="441" spans="1:41" ht="13.5" customHeight="1">
      <c r="A441" s="51" t="s">
        <v>62</v>
      </c>
      <c r="B441" s="35">
        <v>58</v>
      </c>
      <c r="C441" s="36" t="s">
        <v>145</v>
      </c>
      <c r="D441" s="36" t="s">
        <v>17</v>
      </c>
      <c r="E441" s="36" t="s">
        <v>305</v>
      </c>
      <c r="F441" s="35" t="s">
        <v>306</v>
      </c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37">
        <v>1</v>
      </c>
      <c r="W441" s="37">
        <v>1</v>
      </c>
      <c r="X441" s="37">
        <v>1</v>
      </c>
      <c r="Y441" s="37">
        <v>1</v>
      </c>
      <c r="Z441" s="37">
        <v>1</v>
      </c>
      <c r="AA441" s="37">
        <v>1</v>
      </c>
      <c r="AB441" s="37">
        <v>1</v>
      </c>
      <c r="AC441" s="37">
        <v>1</v>
      </c>
      <c r="AD441" s="37">
        <v>1</v>
      </c>
      <c r="AE441" s="37">
        <v>1</v>
      </c>
      <c r="AF441" s="37">
        <v>1</v>
      </c>
      <c r="AG441" s="37">
        <v>1</v>
      </c>
      <c r="AH441" s="37">
        <v>1</v>
      </c>
      <c r="AI441" s="37">
        <v>1</v>
      </c>
      <c r="AJ441" s="52"/>
      <c r="AK441" s="52"/>
      <c r="AL441" s="10">
        <f t="shared" si="27"/>
        <v>14</v>
      </c>
      <c r="AM441" s="12">
        <v>32000</v>
      </c>
      <c r="AN441" s="12">
        <f t="shared" si="28"/>
        <v>448000</v>
      </c>
      <c r="AO441" s="1"/>
    </row>
    <row r="442" spans="1:41" ht="13.5" customHeight="1">
      <c r="A442" s="51" t="s">
        <v>62</v>
      </c>
      <c r="B442" s="35">
        <v>59</v>
      </c>
      <c r="C442" s="36" t="s">
        <v>251</v>
      </c>
      <c r="D442" s="36" t="s">
        <v>252</v>
      </c>
      <c r="E442" s="36" t="s">
        <v>70</v>
      </c>
      <c r="F442" s="35" t="s">
        <v>253</v>
      </c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37">
        <v>1</v>
      </c>
      <c r="W442" s="37">
        <v>1</v>
      </c>
      <c r="X442" s="37">
        <v>1</v>
      </c>
      <c r="Y442" s="37">
        <v>1</v>
      </c>
      <c r="Z442" s="37">
        <v>1</v>
      </c>
      <c r="AA442" s="37">
        <v>1</v>
      </c>
      <c r="AB442" s="37">
        <v>1</v>
      </c>
      <c r="AC442" s="37">
        <v>1</v>
      </c>
      <c r="AD442" s="37">
        <v>1</v>
      </c>
      <c r="AE442" s="37">
        <v>1</v>
      </c>
      <c r="AF442" s="37">
        <v>1</v>
      </c>
      <c r="AG442" s="37">
        <v>1</v>
      </c>
      <c r="AH442" s="37">
        <v>1</v>
      </c>
      <c r="AI442" s="37">
        <v>1</v>
      </c>
      <c r="AJ442" s="52"/>
      <c r="AK442" s="52"/>
      <c r="AL442" s="10">
        <f t="shared" si="27"/>
        <v>14</v>
      </c>
      <c r="AM442" s="12">
        <v>32000</v>
      </c>
      <c r="AN442" s="12">
        <f t="shared" si="28"/>
        <v>448000</v>
      </c>
      <c r="AO442" s="1"/>
    </row>
    <row r="443" spans="1:41" ht="13.5" customHeight="1">
      <c r="A443" s="51" t="s">
        <v>62</v>
      </c>
      <c r="B443" s="35">
        <v>59</v>
      </c>
      <c r="C443" s="36" t="s">
        <v>254</v>
      </c>
      <c r="D443" s="36" t="s">
        <v>255</v>
      </c>
      <c r="E443" s="36" t="s">
        <v>135</v>
      </c>
      <c r="F443" s="35" t="s">
        <v>256</v>
      </c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37">
        <v>1</v>
      </c>
      <c r="W443" s="37">
        <v>1</v>
      </c>
      <c r="X443" s="37">
        <v>1</v>
      </c>
      <c r="Y443" s="37">
        <v>1</v>
      </c>
      <c r="Z443" s="37">
        <v>1</v>
      </c>
      <c r="AA443" s="37">
        <v>1</v>
      </c>
      <c r="AB443" s="37">
        <v>1</v>
      </c>
      <c r="AC443" s="37">
        <v>1</v>
      </c>
      <c r="AD443" s="37">
        <v>1</v>
      </c>
      <c r="AE443" s="37">
        <v>1</v>
      </c>
      <c r="AF443" s="37">
        <v>1</v>
      </c>
      <c r="AG443" s="37">
        <v>1</v>
      </c>
      <c r="AH443" s="37">
        <v>1</v>
      </c>
      <c r="AI443" s="37">
        <v>1</v>
      </c>
      <c r="AJ443" s="52"/>
      <c r="AK443" s="52"/>
      <c r="AL443" s="10">
        <f t="shared" si="27"/>
        <v>14</v>
      </c>
      <c r="AM443" s="12">
        <v>32000</v>
      </c>
      <c r="AN443" s="12">
        <f t="shared" si="28"/>
        <v>448000</v>
      </c>
      <c r="AO443" s="1"/>
    </row>
    <row r="444" spans="1:41" ht="13.5" customHeight="1">
      <c r="A444" s="51" t="s">
        <v>62</v>
      </c>
      <c r="B444" s="35">
        <v>61</v>
      </c>
      <c r="C444" s="36" t="s">
        <v>264</v>
      </c>
      <c r="D444" s="36" t="s">
        <v>265</v>
      </c>
      <c r="E444" s="36" t="s">
        <v>266</v>
      </c>
      <c r="F444" s="35" t="s">
        <v>267</v>
      </c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37">
        <v>1</v>
      </c>
      <c r="W444" s="37">
        <v>1</v>
      </c>
      <c r="X444" s="37">
        <v>1</v>
      </c>
      <c r="Y444" s="37">
        <v>1</v>
      </c>
      <c r="Z444" s="37">
        <v>1</v>
      </c>
      <c r="AA444" s="37">
        <v>1</v>
      </c>
      <c r="AB444" s="37">
        <v>1</v>
      </c>
      <c r="AC444" s="37">
        <v>1</v>
      </c>
      <c r="AD444" s="37">
        <v>1</v>
      </c>
      <c r="AE444" s="37">
        <v>1</v>
      </c>
      <c r="AF444" s="37">
        <v>1</v>
      </c>
      <c r="AG444" s="37">
        <v>1</v>
      </c>
      <c r="AH444" s="37">
        <v>1</v>
      </c>
      <c r="AI444" s="37">
        <v>1</v>
      </c>
      <c r="AJ444" s="52"/>
      <c r="AK444" s="52"/>
      <c r="AL444" s="10">
        <f t="shared" si="27"/>
        <v>14</v>
      </c>
      <c r="AM444" s="12">
        <v>32000</v>
      </c>
      <c r="AN444" s="12">
        <f t="shared" si="28"/>
        <v>448000</v>
      </c>
      <c r="AO444" s="1"/>
    </row>
    <row r="445" spans="1:41" ht="13.5" customHeight="1">
      <c r="A445" s="51" t="s">
        <v>62</v>
      </c>
      <c r="B445" s="35">
        <v>61</v>
      </c>
      <c r="C445" s="36" t="s">
        <v>262</v>
      </c>
      <c r="D445" s="36" t="s">
        <v>494</v>
      </c>
      <c r="E445" s="36" t="s">
        <v>53</v>
      </c>
      <c r="F445" s="35" t="s">
        <v>263</v>
      </c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37">
        <v>1</v>
      </c>
      <c r="W445" s="37">
        <v>1</v>
      </c>
      <c r="X445" s="37">
        <v>1</v>
      </c>
      <c r="Y445" s="37">
        <v>1</v>
      </c>
      <c r="Z445" s="37">
        <v>1</v>
      </c>
      <c r="AA445" s="37">
        <v>1</v>
      </c>
      <c r="AB445" s="37">
        <v>1</v>
      </c>
      <c r="AC445" s="37">
        <v>1</v>
      </c>
      <c r="AD445" s="37">
        <v>1</v>
      </c>
      <c r="AE445" s="37">
        <v>1</v>
      </c>
      <c r="AF445" s="37">
        <v>1</v>
      </c>
      <c r="AG445" s="37">
        <v>1</v>
      </c>
      <c r="AH445" s="37">
        <v>1</v>
      </c>
      <c r="AI445" s="37">
        <v>1</v>
      </c>
      <c r="AJ445" s="52"/>
      <c r="AK445" s="52"/>
      <c r="AL445" s="10">
        <f t="shared" si="27"/>
        <v>14</v>
      </c>
      <c r="AM445" s="12">
        <v>32000</v>
      </c>
      <c r="AN445" s="12">
        <f t="shared" si="28"/>
        <v>448000</v>
      </c>
      <c r="AO445" s="1"/>
    </row>
    <row r="446" spans="1:41" ht="13.5" customHeight="1">
      <c r="A446" s="51" t="s">
        <v>62</v>
      </c>
      <c r="B446" s="35">
        <v>63</v>
      </c>
      <c r="C446" s="36" t="s">
        <v>268</v>
      </c>
      <c r="D446" s="36" t="s">
        <v>183</v>
      </c>
      <c r="E446" s="36" t="s">
        <v>37</v>
      </c>
      <c r="F446" s="35" t="s">
        <v>269</v>
      </c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37">
        <v>1</v>
      </c>
      <c r="W446" s="37">
        <v>1</v>
      </c>
      <c r="X446" s="37">
        <v>1</v>
      </c>
      <c r="Y446" s="37">
        <v>1</v>
      </c>
      <c r="Z446" s="37">
        <v>1</v>
      </c>
      <c r="AA446" s="37">
        <v>1</v>
      </c>
      <c r="AB446" s="37">
        <v>1</v>
      </c>
      <c r="AC446" s="37">
        <v>1</v>
      </c>
      <c r="AD446" s="37">
        <v>1</v>
      </c>
      <c r="AE446" s="37">
        <v>1</v>
      </c>
      <c r="AF446" s="37">
        <v>1</v>
      </c>
      <c r="AG446" s="37">
        <v>1</v>
      </c>
      <c r="AH446" s="37">
        <v>1</v>
      </c>
      <c r="AI446" s="37">
        <v>1</v>
      </c>
      <c r="AJ446" s="52"/>
      <c r="AK446" s="52"/>
      <c r="AL446" s="10">
        <f t="shared" si="27"/>
        <v>14</v>
      </c>
      <c r="AM446" s="12">
        <v>32000</v>
      </c>
      <c r="AN446" s="12">
        <f t="shared" si="28"/>
        <v>448000</v>
      </c>
      <c r="AO446" s="1"/>
    </row>
    <row r="447" spans="1:41" ht="13.5" customHeight="1">
      <c r="A447" s="51" t="s">
        <v>62</v>
      </c>
      <c r="B447" s="35">
        <v>63</v>
      </c>
      <c r="C447" s="36" t="s">
        <v>82</v>
      </c>
      <c r="D447" s="36" t="s">
        <v>50</v>
      </c>
      <c r="E447" s="36" t="s">
        <v>95</v>
      </c>
      <c r="F447" s="35" t="s">
        <v>270</v>
      </c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37">
        <v>1</v>
      </c>
      <c r="W447" s="37">
        <v>1</v>
      </c>
      <c r="X447" s="37">
        <v>1</v>
      </c>
      <c r="Y447" s="37">
        <v>1</v>
      </c>
      <c r="Z447" s="37">
        <v>1</v>
      </c>
      <c r="AA447" s="37">
        <v>1</v>
      </c>
      <c r="AB447" s="37">
        <v>1</v>
      </c>
      <c r="AC447" s="37">
        <v>1</v>
      </c>
      <c r="AD447" s="37">
        <v>1</v>
      </c>
      <c r="AE447" s="37">
        <v>1</v>
      </c>
      <c r="AF447" s="37">
        <v>1</v>
      </c>
      <c r="AG447" s="37">
        <v>1</v>
      </c>
      <c r="AH447" s="37">
        <v>1</v>
      </c>
      <c r="AI447" s="37">
        <v>1</v>
      </c>
      <c r="AJ447" s="52"/>
      <c r="AK447" s="52"/>
      <c r="AL447" s="10">
        <f t="shared" si="27"/>
        <v>14</v>
      </c>
      <c r="AM447" s="12">
        <v>32000</v>
      </c>
      <c r="AN447" s="12">
        <f t="shared" si="28"/>
        <v>448000</v>
      </c>
      <c r="AO447" s="1"/>
    </row>
    <row r="448" spans="1:41" ht="13.5" customHeight="1">
      <c r="A448" s="51" t="s">
        <v>62</v>
      </c>
      <c r="B448" s="35">
        <v>67</v>
      </c>
      <c r="C448" s="36" t="s">
        <v>19</v>
      </c>
      <c r="D448" s="36" t="s">
        <v>937</v>
      </c>
      <c r="E448" s="36" t="s">
        <v>321</v>
      </c>
      <c r="F448" s="35" t="s">
        <v>322</v>
      </c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37">
        <v>1</v>
      </c>
      <c r="W448" s="37">
        <v>1</v>
      </c>
      <c r="X448" s="37">
        <v>1</v>
      </c>
      <c r="Y448" s="37">
        <v>1</v>
      </c>
      <c r="Z448" s="37">
        <v>1</v>
      </c>
      <c r="AA448" s="37">
        <v>1</v>
      </c>
      <c r="AB448" s="37">
        <v>1</v>
      </c>
      <c r="AC448" s="37">
        <v>1</v>
      </c>
      <c r="AD448" s="37">
        <v>1</v>
      </c>
      <c r="AE448" s="37">
        <v>1</v>
      </c>
      <c r="AF448" s="37">
        <v>1</v>
      </c>
      <c r="AG448" s="37">
        <v>1</v>
      </c>
      <c r="AH448" s="37">
        <v>1</v>
      </c>
      <c r="AI448" s="37">
        <v>1</v>
      </c>
      <c r="AJ448" s="52"/>
      <c r="AK448" s="52"/>
      <c r="AL448" s="10">
        <f t="shared" si="27"/>
        <v>14</v>
      </c>
      <c r="AM448" s="12">
        <v>32000</v>
      </c>
      <c r="AN448" s="12">
        <f t="shared" si="28"/>
        <v>448000</v>
      </c>
      <c r="AO448" s="1"/>
    </row>
    <row r="449" spans="1:41" ht="13.5" customHeight="1">
      <c r="A449" s="51" t="s">
        <v>62</v>
      </c>
      <c r="B449" s="35">
        <v>67</v>
      </c>
      <c r="C449" s="36" t="s">
        <v>368</v>
      </c>
      <c r="D449" s="36" t="s">
        <v>146</v>
      </c>
      <c r="E449" s="36" t="s">
        <v>25</v>
      </c>
      <c r="F449" s="35" t="s">
        <v>516</v>
      </c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37">
        <v>1</v>
      </c>
      <c r="W449" s="37">
        <v>1</v>
      </c>
      <c r="X449" s="37">
        <v>1</v>
      </c>
      <c r="Y449" s="37">
        <v>1</v>
      </c>
      <c r="Z449" s="37">
        <v>1</v>
      </c>
      <c r="AA449" s="37">
        <v>1</v>
      </c>
      <c r="AB449" s="37">
        <v>1</v>
      </c>
      <c r="AC449" s="37">
        <v>1</v>
      </c>
      <c r="AD449" s="37">
        <v>1</v>
      </c>
      <c r="AE449" s="37">
        <v>1</v>
      </c>
      <c r="AF449" s="37">
        <v>1</v>
      </c>
      <c r="AG449" s="37">
        <v>1</v>
      </c>
      <c r="AH449" s="37">
        <v>1</v>
      </c>
      <c r="AI449" s="37">
        <v>1</v>
      </c>
      <c r="AJ449" s="52"/>
      <c r="AK449" s="52"/>
      <c r="AL449" s="10">
        <f t="shared" si="27"/>
        <v>14</v>
      </c>
      <c r="AM449" s="12">
        <v>32000</v>
      </c>
      <c r="AN449" s="12">
        <f t="shared" si="28"/>
        <v>448000</v>
      </c>
      <c r="AO449" s="1"/>
    </row>
    <row r="450" spans="1:41" ht="13.5" customHeight="1">
      <c r="A450" s="51" t="s">
        <v>62</v>
      </c>
      <c r="B450" s="35">
        <v>68</v>
      </c>
      <c r="C450" s="36" t="s">
        <v>187</v>
      </c>
      <c r="D450" s="36" t="s">
        <v>399</v>
      </c>
      <c r="E450" s="36" t="s">
        <v>75</v>
      </c>
      <c r="F450" s="35" t="s">
        <v>406</v>
      </c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37">
        <v>1</v>
      </c>
      <c r="W450" s="37">
        <v>1</v>
      </c>
      <c r="X450" s="37">
        <v>1</v>
      </c>
      <c r="Y450" s="37">
        <v>1</v>
      </c>
      <c r="Z450" s="37">
        <v>1</v>
      </c>
      <c r="AA450" s="37">
        <v>1</v>
      </c>
      <c r="AB450" s="37">
        <v>1</v>
      </c>
      <c r="AC450" s="37">
        <v>1</v>
      </c>
      <c r="AD450" s="37">
        <v>1</v>
      </c>
      <c r="AE450" s="37">
        <v>1</v>
      </c>
      <c r="AF450" s="37">
        <v>1</v>
      </c>
      <c r="AG450" s="37">
        <v>1</v>
      </c>
      <c r="AH450" s="37">
        <v>1</v>
      </c>
      <c r="AI450" s="37">
        <v>1</v>
      </c>
      <c r="AJ450" s="52"/>
      <c r="AK450" s="52"/>
      <c r="AL450" s="10">
        <f t="shared" si="27"/>
        <v>14</v>
      </c>
      <c r="AM450" s="12">
        <v>32000</v>
      </c>
      <c r="AN450" s="12">
        <f t="shared" si="28"/>
        <v>448000</v>
      </c>
      <c r="AO450" s="1"/>
    </row>
    <row r="451" spans="1:41" ht="13.5" customHeight="1">
      <c r="A451" s="51" t="s">
        <v>62</v>
      </c>
      <c r="B451" s="35">
        <v>68</v>
      </c>
      <c r="C451" s="36" t="s">
        <v>400</v>
      </c>
      <c r="D451" s="36" t="s">
        <v>401</v>
      </c>
      <c r="E451" s="36" t="s">
        <v>229</v>
      </c>
      <c r="F451" s="35" t="s">
        <v>453</v>
      </c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37">
        <v>1</v>
      </c>
      <c r="W451" s="37">
        <v>1</v>
      </c>
      <c r="X451" s="37">
        <v>1</v>
      </c>
      <c r="Y451" s="37">
        <v>1</v>
      </c>
      <c r="Z451" s="37">
        <v>1</v>
      </c>
      <c r="AA451" s="37">
        <v>1</v>
      </c>
      <c r="AB451" s="37">
        <v>1</v>
      </c>
      <c r="AC451" s="37">
        <v>1</v>
      </c>
      <c r="AD451" s="37">
        <v>1</v>
      </c>
      <c r="AE451" s="37">
        <v>1</v>
      </c>
      <c r="AF451" s="37">
        <v>1</v>
      </c>
      <c r="AG451" s="37">
        <v>1</v>
      </c>
      <c r="AH451" s="37">
        <v>1</v>
      </c>
      <c r="AI451" s="37">
        <v>1</v>
      </c>
      <c r="AJ451" s="52"/>
      <c r="AK451" s="52"/>
      <c r="AL451" s="10">
        <f t="shared" si="27"/>
        <v>14</v>
      </c>
      <c r="AM451" s="12">
        <v>32000</v>
      </c>
      <c r="AN451" s="12">
        <f t="shared" si="28"/>
        <v>448000</v>
      </c>
      <c r="AO451" s="1"/>
    </row>
    <row r="452" spans="1:41" ht="13.5" customHeight="1">
      <c r="A452" s="51" t="s">
        <v>62</v>
      </c>
      <c r="B452" s="35">
        <v>70</v>
      </c>
      <c r="C452" s="36" t="s">
        <v>335</v>
      </c>
      <c r="D452" s="36" t="s">
        <v>157</v>
      </c>
      <c r="E452" s="36" t="s">
        <v>560</v>
      </c>
      <c r="F452" s="35" t="s">
        <v>561</v>
      </c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37">
        <v>1</v>
      </c>
      <c r="W452" s="37">
        <v>1</v>
      </c>
      <c r="X452" s="37">
        <v>1</v>
      </c>
      <c r="Y452" s="37">
        <v>1</v>
      </c>
      <c r="Z452" s="37">
        <v>1</v>
      </c>
      <c r="AA452" s="37">
        <v>1</v>
      </c>
      <c r="AB452" s="37">
        <v>1</v>
      </c>
      <c r="AC452" s="37">
        <v>1</v>
      </c>
      <c r="AD452" s="37">
        <v>1</v>
      </c>
      <c r="AE452" s="37">
        <v>1</v>
      </c>
      <c r="AF452" s="37">
        <v>1</v>
      </c>
      <c r="AG452" s="37">
        <v>1</v>
      </c>
      <c r="AH452" s="37">
        <v>1</v>
      </c>
      <c r="AI452" s="37">
        <v>1</v>
      </c>
      <c r="AJ452" s="52"/>
      <c r="AK452" s="52"/>
      <c r="AL452" s="10">
        <f t="shared" si="27"/>
        <v>14</v>
      </c>
      <c r="AM452" s="12">
        <v>32000</v>
      </c>
      <c r="AN452" s="12">
        <f t="shared" si="28"/>
        <v>448000</v>
      </c>
      <c r="AO452" s="1"/>
    </row>
    <row r="453" spans="1:41" ht="13.5" customHeight="1">
      <c r="A453" s="51" t="s">
        <v>62</v>
      </c>
      <c r="B453" s="35">
        <v>70</v>
      </c>
      <c r="C453" s="36" t="s">
        <v>162</v>
      </c>
      <c r="D453" s="36" t="s">
        <v>526</v>
      </c>
      <c r="E453" s="36" t="s">
        <v>160</v>
      </c>
      <c r="F453" s="35" t="s">
        <v>562</v>
      </c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37">
        <v>1</v>
      </c>
      <c r="W453" s="37">
        <v>1</v>
      </c>
      <c r="X453" s="37">
        <v>1</v>
      </c>
      <c r="Y453" s="37">
        <v>1</v>
      </c>
      <c r="Z453" s="37">
        <v>1</v>
      </c>
      <c r="AA453" s="37">
        <v>1</v>
      </c>
      <c r="AB453" s="37">
        <v>1</v>
      </c>
      <c r="AC453" s="37">
        <v>1</v>
      </c>
      <c r="AD453" s="37">
        <v>1</v>
      </c>
      <c r="AE453" s="37">
        <v>1</v>
      </c>
      <c r="AF453" s="37">
        <v>1</v>
      </c>
      <c r="AG453" s="37">
        <v>1</v>
      </c>
      <c r="AH453" s="37">
        <v>1</v>
      </c>
      <c r="AI453" s="37">
        <v>1</v>
      </c>
      <c r="AJ453" s="52"/>
      <c r="AK453" s="52"/>
      <c r="AL453" s="10">
        <f t="shared" si="27"/>
        <v>14</v>
      </c>
      <c r="AM453" s="12">
        <v>32000</v>
      </c>
      <c r="AN453" s="12">
        <f t="shared" si="28"/>
        <v>448000</v>
      </c>
      <c r="AO453" s="1"/>
    </row>
    <row r="454" spans="1:41" ht="13.5" customHeight="1">
      <c r="A454" s="51" t="s">
        <v>62</v>
      </c>
      <c r="B454" s="35">
        <v>71</v>
      </c>
      <c r="C454" s="36" t="s">
        <v>403</v>
      </c>
      <c r="D454" s="36" t="s">
        <v>162</v>
      </c>
      <c r="E454" s="36" t="s">
        <v>321</v>
      </c>
      <c r="F454" s="35" t="s">
        <v>404</v>
      </c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37">
        <v>1</v>
      </c>
      <c r="W454" s="37">
        <v>1</v>
      </c>
      <c r="X454" s="37">
        <v>1</v>
      </c>
      <c r="Y454" s="37">
        <v>1</v>
      </c>
      <c r="Z454" s="37">
        <v>1</v>
      </c>
      <c r="AA454" s="37">
        <v>1</v>
      </c>
      <c r="AB454" s="37">
        <v>1</v>
      </c>
      <c r="AC454" s="37">
        <v>1</v>
      </c>
      <c r="AD454" s="37">
        <v>1</v>
      </c>
      <c r="AE454" s="37">
        <v>1</v>
      </c>
      <c r="AF454" s="37">
        <v>1</v>
      </c>
      <c r="AG454" s="37">
        <v>1</v>
      </c>
      <c r="AH454" s="37">
        <v>1</v>
      </c>
      <c r="AI454" s="37">
        <v>1</v>
      </c>
      <c r="AJ454" s="52"/>
      <c r="AK454" s="52"/>
      <c r="AL454" s="10">
        <f t="shared" si="27"/>
        <v>14</v>
      </c>
      <c r="AM454" s="12">
        <v>32000</v>
      </c>
      <c r="AN454" s="12">
        <f t="shared" si="28"/>
        <v>448000</v>
      </c>
      <c r="AO454" s="1"/>
    </row>
    <row r="455" spans="1:41" ht="13.5" customHeight="1">
      <c r="A455" s="51" t="s">
        <v>62</v>
      </c>
      <c r="B455" s="35">
        <v>71</v>
      </c>
      <c r="C455" s="36" t="s">
        <v>402</v>
      </c>
      <c r="D455" s="36" t="s">
        <v>41</v>
      </c>
      <c r="E455" s="36" t="s">
        <v>20</v>
      </c>
      <c r="F455" s="35" t="s">
        <v>405</v>
      </c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37">
        <v>1</v>
      </c>
      <c r="W455" s="37">
        <v>1</v>
      </c>
      <c r="X455" s="37">
        <v>1</v>
      </c>
      <c r="Y455" s="37">
        <v>1</v>
      </c>
      <c r="Z455" s="37">
        <v>1</v>
      </c>
      <c r="AA455" s="37">
        <v>1</v>
      </c>
      <c r="AB455" s="37">
        <v>1</v>
      </c>
      <c r="AC455" s="37">
        <v>1</v>
      </c>
      <c r="AD455" s="37">
        <v>1</v>
      </c>
      <c r="AE455" s="37">
        <v>1</v>
      </c>
      <c r="AF455" s="37">
        <v>1</v>
      </c>
      <c r="AG455" s="37">
        <v>1</v>
      </c>
      <c r="AH455" s="37">
        <v>1</v>
      </c>
      <c r="AI455" s="37">
        <v>1</v>
      </c>
      <c r="AJ455" s="52"/>
      <c r="AK455" s="52"/>
      <c r="AL455" s="10">
        <f t="shared" si="27"/>
        <v>14</v>
      </c>
      <c r="AM455" s="12">
        <v>32000</v>
      </c>
      <c r="AN455" s="12">
        <f t="shared" si="28"/>
        <v>448000</v>
      </c>
      <c r="AO455" s="1"/>
    </row>
    <row r="456" spans="1:41" ht="13.5" customHeight="1">
      <c r="A456" s="51" t="s">
        <v>62</v>
      </c>
      <c r="B456" s="35">
        <v>72</v>
      </c>
      <c r="C456" s="36" t="s">
        <v>237</v>
      </c>
      <c r="D456" s="36" t="s">
        <v>497</v>
      </c>
      <c r="E456" s="36" t="s">
        <v>194</v>
      </c>
      <c r="F456" s="35" t="s">
        <v>274</v>
      </c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37">
        <v>1</v>
      </c>
      <c r="W456" s="37">
        <v>1</v>
      </c>
      <c r="X456" s="37">
        <v>1</v>
      </c>
      <c r="Y456" s="37">
        <v>1</v>
      </c>
      <c r="Z456" s="37">
        <v>1</v>
      </c>
      <c r="AA456" s="37">
        <v>1</v>
      </c>
      <c r="AB456" s="37">
        <v>1</v>
      </c>
      <c r="AC456" s="37">
        <v>1</v>
      </c>
      <c r="AD456" s="37">
        <v>1</v>
      </c>
      <c r="AE456" s="37">
        <v>1</v>
      </c>
      <c r="AF456" s="37">
        <v>1</v>
      </c>
      <c r="AG456" s="37">
        <v>1</v>
      </c>
      <c r="AH456" s="37">
        <v>1</v>
      </c>
      <c r="AI456" s="37">
        <v>1</v>
      </c>
      <c r="AJ456" s="52"/>
      <c r="AK456" s="52"/>
      <c r="AL456" s="10">
        <f t="shared" si="27"/>
        <v>14</v>
      </c>
      <c r="AM456" s="12">
        <v>32000</v>
      </c>
      <c r="AN456" s="12">
        <f t="shared" si="28"/>
        <v>448000</v>
      </c>
      <c r="AO456" s="1"/>
    </row>
    <row r="457" spans="1:41" ht="13.5" customHeight="1">
      <c r="A457" s="51" t="s">
        <v>62</v>
      </c>
      <c r="B457" s="35">
        <v>72</v>
      </c>
      <c r="C457" s="36" t="s">
        <v>78</v>
      </c>
      <c r="D457" s="36" t="s">
        <v>275</v>
      </c>
      <c r="E457" s="36" t="s">
        <v>276</v>
      </c>
      <c r="F457" s="35" t="s">
        <v>498</v>
      </c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37">
        <v>1</v>
      </c>
      <c r="W457" s="37">
        <v>1</v>
      </c>
      <c r="X457" s="37">
        <v>1</v>
      </c>
      <c r="Y457" s="37">
        <v>1</v>
      </c>
      <c r="Z457" s="37">
        <v>1</v>
      </c>
      <c r="AA457" s="37">
        <v>1</v>
      </c>
      <c r="AB457" s="37">
        <v>1</v>
      </c>
      <c r="AC457" s="37">
        <v>1</v>
      </c>
      <c r="AD457" s="37">
        <v>1</v>
      </c>
      <c r="AE457" s="37">
        <v>1</v>
      </c>
      <c r="AF457" s="37">
        <v>1</v>
      </c>
      <c r="AG457" s="37">
        <v>1</v>
      </c>
      <c r="AH457" s="37">
        <v>1</v>
      </c>
      <c r="AI457" s="37">
        <v>1</v>
      </c>
      <c r="AJ457" s="52"/>
      <c r="AK457" s="52"/>
      <c r="AL457" s="10">
        <f t="shared" si="27"/>
        <v>14</v>
      </c>
      <c r="AM457" s="12">
        <v>32000</v>
      </c>
      <c r="AN457" s="12">
        <f t="shared" si="28"/>
        <v>448000</v>
      </c>
      <c r="AO457" s="1"/>
    </row>
    <row r="458" spans="1:41" ht="13.5" customHeight="1">
      <c r="A458" s="51" t="s">
        <v>62</v>
      </c>
      <c r="B458" s="35">
        <v>73</v>
      </c>
      <c r="C458" s="36" t="s">
        <v>192</v>
      </c>
      <c r="D458" s="36" t="s">
        <v>241</v>
      </c>
      <c r="E458" s="36" t="s">
        <v>194</v>
      </c>
      <c r="F458" s="35" t="s">
        <v>195</v>
      </c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37">
        <v>1</v>
      </c>
      <c r="W458" s="37">
        <v>1</v>
      </c>
      <c r="X458" s="37">
        <v>1</v>
      </c>
      <c r="Y458" s="37">
        <v>1</v>
      </c>
      <c r="Z458" s="37">
        <v>1</v>
      </c>
      <c r="AA458" s="37">
        <v>1</v>
      </c>
      <c r="AB458" s="37">
        <v>1</v>
      </c>
      <c r="AC458" s="37">
        <v>1</v>
      </c>
      <c r="AD458" s="37">
        <v>1</v>
      </c>
      <c r="AE458" s="37">
        <v>1</v>
      </c>
      <c r="AF458" s="37">
        <v>1</v>
      </c>
      <c r="AG458" s="37">
        <v>1</v>
      </c>
      <c r="AH458" s="37">
        <v>1</v>
      </c>
      <c r="AI458" s="37">
        <v>1</v>
      </c>
      <c r="AJ458" s="52"/>
      <c r="AK458" s="52"/>
      <c r="AL458" s="10">
        <f t="shared" si="27"/>
        <v>14</v>
      </c>
      <c r="AM458" s="12">
        <v>32000</v>
      </c>
      <c r="AN458" s="12">
        <f t="shared" si="28"/>
        <v>448000</v>
      </c>
      <c r="AO458" s="1"/>
    </row>
    <row r="459" spans="1:41" ht="13.5" customHeight="1">
      <c r="A459" s="51" t="s">
        <v>62</v>
      </c>
      <c r="B459" s="35">
        <v>73</v>
      </c>
      <c r="C459" s="36" t="s">
        <v>192</v>
      </c>
      <c r="D459" s="36" t="s">
        <v>241</v>
      </c>
      <c r="E459" s="36" t="s">
        <v>24</v>
      </c>
      <c r="F459" s="35" t="s">
        <v>193</v>
      </c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37">
        <v>1</v>
      </c>
      <c r="W459" s="37">
        <v>1</v>
      </c>
      <c r="X459" s="37">
        <v>1</v>
      </c>
      <c r="Y459" s="37">
        <v>1</v>
      </c>
      <c r="Z459" s="37">
        <v>1</v>
      </c>
      <c r="AA459" s="37">
        <v>1</v>
      </c>
      <c r="AB459" s="37">
        <v>1</v>
      </c>
      <c r="AC459" s="37">
        <v>1</v>
      </c>
      <c r="AD459" s="37">
        <v>1</v>
      </c>
      <c r="AE459" s="37">
        <v>1</v>
      </c>
      <c r="AF459" s="37">
        <v>1</v>
      </c>
      <c r="AG459" s="37">
        <v>1</v>
      </c>
      <c r="AH459" s="37">
        <v>1</v>
      </c>
      <c r="AI459" s="37">
        <v>1</v>
      </c>
      <c r="AJ459" s="52"/>
      <c r="AK459" s="52"/>
      <c r="AL459" s="10">
        <f t="shared" si="27"/>
        <v>14</v>
      </c>
      <c r="AM459" s="12">
        <v>32000</v>
      </c>
      <c r="AN459" s="12">
        <f t="shared" si="28"/>
        <v>448000</v>
      </c>
      <c r="AO459" s="1"/>
    </row>
    <row r="460" spans="1:41" ht="13.5" customHeight="1">
      <c r="A460" s="51" t="s">
        <v>62</v>
      </c>
      <c r="B460" s="35">
        <v>74</v>
      </c>
      <c r="C460" s="36" t="s">
        <v>237</v>
      </c>
      <c r="D460" s="36" t="s">
        <v>513</v>
      </c>
      <c r="E460" s="36" t="s">
        <v>138</v>
      </c>
      <c r="F460" s="35" t="s">
        <v>337</v>
      </c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37">
        <v>1</v>
      </c>
      <c r="W460" s="37">
        <v>1</v>
      </c>
      <c r="X460" s="37">
        <v>1</v>
      </c>
      <c r="Y460" s="37">
        <v>1</v>
      </c>
      <c r="Z460" s="37">
        <v>1</v>
      </c>
      <c r="AA460" s="37">
        <v>1</v>
      </c>
      <c r="AB460" s="37">
        <v>1</v>
      </c>
      <c r="AC460" s="37">
        <v>1</v>
      </c>
      <c r="AD460" s="37">
        <v>1</v>
      </c>
      <c r="AE460" s="37">
        <v>1</v>
      </c>
      <c r="AF460" s="37">
        <v>1</v>
      </c>
      <c r="AG460" s="37">
        <v>1</v>
      </c>
      <c r="AH460" s="37">
        <v>1</v>
      </c>
      <c r="AI460" s="37">
        <v>1</v>
      </c>
      <c r="AJ460" s="52"/>
      <c r="AK460" s="52"/>
      <c r="AL460" s="10">
        <f t="shared" si="27"/>
        <v>14</v>
      </c>
      <c r="AM460" s="12">
        <v>32000</v>
      </c>
      <c r="AN460" s="12">
        <f t="shared" si="28"/>
        <v>448000</v>
      </c>
      <c r="AO460" s="1"/>
    </row>
    <row r="461" spans="1:41" ht="13.5" customHeight="1">
      <c r="A461" s="51" t="s">
        <v>62</v>
      </c>
      <c r="B461" s="35">
        <v>74</v>
      </c>
      <c r="C461" s="36" t="s">
        <v>79</v>
      </c>
      <c r="D461" s="36" t="s">
        <v>80</v>
      </c>
      <c r="E461" s="36" t="s">
        <v>11</v>
      </c>
      <c r="F461" s="35" t="s">
        <v>81</v>
      </c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37">
        <v>1</v>
      </c>
      <c r="W461" s="37">
        <v>1</v>
      </c>
      <c r="X461" s="37">
        <v>1</v>
      </c>
      <c r="Y461" s="37">
        <v>1</v>
      </c>
      <c r="Z461" s="37">
        <v>1</v>
      </c>
      <c r="AA461" s="37">
        <v>1</v>
      </c>
      <c r="AB461" s="37">
        <v>1</v>
      </c>
      <c r="AC461" s="37">
        <v>1</v>
      </c>
      <c r="AD461" s="37">
        <v>1</v>
      </c>
      <c r="AE461" s="37">
        <v>1</v>
      </c>
      <c r="AF461" s="37">
        <v>1</v>
      </c>
      <c r="AG461" s="37">
        <v>1</v>
      </c>
      <c r="AH461" s="37">
        <v>1</v>
      </c>
      <c r="AI461" s="37">
        <v>1</v>
      </c>
      <c r="AJ461" s="52"/>
      <c r="AK461" s="52"/>
      <c r="AL461" s="10">
        <f t="shared" si="27"/>
        <v>14</v>
      </c>
      <c r="AM461" s="12">
        <v>32000</v>
      </c>
      <c r="AN461" s="12">
        <f t="shared" si="28"/>
        <v>448000</v>
      </c>
      <c r="AO461" s="1"/>
    </row>
    <row r="462" spans="1:41" ht="13.5" customHeight="1">
      <c r="A462" s="51" t="s">
        <v>62</v>
      </c>
      <c r="B462" s="35">
        <v>76</v>
      </c>
      <c r="C462" s="36" t="s">
        <v>84</v>
      </c>
      <c r="D462" s="36" t="s">
        <v>84</v>
      </c>
      <c r="E462" s="36" t="s">
        <v>85</v>
      </c>
      <c r="F462" s="35" t="s">
        <v>86</v>
      </c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37">
        <v>1</v>
      </c>
      <c r="W462" s="37">
        <v>1</v>
      </c>
      <c r="X462" s="37">
        <v>1</v>
      </c>
      <c r="Y462" s="37">
        <v>1</v>
      </c>
      <c r="Z462" s="37">
        <v>1</v>
      </c>
      <c r="AA462" s="37">
        <v>1</v>
      </c>
      <c r="AB462" s="37">
        <v>1</v>
      </c>
      <c r="AC462" s="37">
        <v>1</v>
      </c>
      <c r="AD462" s="37">
        <v>1</v>
      </c>
      <c r="AE462" s="37">
        <v>1</v>
      </c>
      <c r="AF462" s="37">
        <v>1</v>
      </c>
      <c r="AG462" s="37">
        <v>1</v>
      </c>
      <c r="AH462" s="37">
        <v>1</v>
      </c>
      <c r="AI462" s="37">
        <v>1</v>
      </c>
      <c r="AJ462" s="52"/>
      <c r="AK462" s="52"/>
      <c r="AL462" s="10">
        <f t="shared" si="27"/>
        <v>14</v>
      </c>
      <c r="AM462" s="12">
        <v>32000</v>
      </c>
      <c r="AN462" s="12">
        <f t="shared" si="28"/>
        <v>448000</v>
      </c>
      <c r="AO462" s="1"/>
    </row>
    <row r="463" spans="1:41" ht="13.5" customHeight="1">
      <c r="A463" s="51" t="s">
        <v>62</v>
      </c>
      <c r="B463" s="35">
        <v>76</v>
      </c>
      <c r="C463" s="36" t="s">
        <v>496</v>
      </c>
      <c r="D463" s="36" t="s">
        <v>39</v>
      </c>
      <c r="E463" s="36" t="s">
        <v>22</v>
      </c>
      <c r="F463" s="35" t="s">
        <v>83</v>
      </c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37">
        <v>1</v>
      </c>
      <c r="W463" s="37">
        <v>1</v>
      </c>
      <c r="X463" s="37">
        <v>1</v>
      </c>
      <c r="Y463" s="37">
        <v>1</v>
      </c>
      <c r="Z463" s="37">
        <v>1</v>
      </c>
      <c r="AA463" s="37">
        <v>1</v>
      </c>
      <c r="AB463" s="37">
        <v>1</v>
      </c>
      <c r="AC463" s="37">
        <v>1</v>
      </c>
      <c r="AD463" s="37">
        <v>1</v>
      </c>
      <c r="AE463" s="37">
        <v>1</v>
      </c>
      <c r="AF463" s="37">
        <v>1</v>
      </c>
      <c r="AG463" s="37">
        <v>1</v>
      </c>
      <c r="AH463" s="37">
        <v>1</v>
      </c>
      <c r="AI463" s="37">
        <v>1</v>
      </c>
      <c r="AJ463" s="52"/>
      <c r="AK463" s="52"/>
      <c r="AL463" s="10">
        <f t="shared" si="27"/>
        <v>14</v>
      </c>
      <c r="AM463" s="12">
        <v>32000</v>
      </c>
      <c r="AN463" s="12">
        <f t="shared" si="28"/>
        <v>448000</v>
      </c>
      <c r="AO463" s="1"/>
    </row>
    <row r="464" spans="1:41" ht="13.5" customHeight="1">
      <c r="A464" s="51" t="s">
        <v>62</v>
      </c>
      <c r="B464" s="35">
        <v>77</v>
      </c>
      <c r="C464" s="36" t="s">
        <v>414</v>
      </c>
      <c r="D464" s="36" t="s">
        <v>67</v>
      </c>
      <c r="E464" s="36" t="s">
        <v>75</v>
      </c>
      <c r="F464" s="35" t="s">
        <v>420</v>
      </c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37">
        <v>1</v>
      </c>
      <c r="W464" s="37">
        <v>1</v>
      </c>
      <c r="X464" s="37">
        <v>1</v>
      </c>
      <c r="Y464" s="37">
        <v>1</v>
      </c>
      <c r="Z464" s="37">
        <v>1</v>
      </c>
      <c r="AA464" s="37">
        <v>1</v>
      </c>
      <c r="AB464" s="37">
        <v>1</v>
      </c>
      <c r="AC464" s="37">
        <v>1</v>
      </c>
      <c r="AD464" s="37">
        <v>1</v>
      </c>
      <c r="AE464" s="37">
        <v>1</v>
      </c>
      <c r="AF464" s="37">
        <v>1</v>
      </c>
      <c r="AG464" s="37">
        <v>1</v>
      </c>
      <c r="AH464" s="37">
        <v>1</v>
      </c>
      <c r="AI464" s="37">
        <v>1</v>
      </c>
      <c r="AJ464" s="52"/>
      <c r="AK464" s="52"/>
      <c r="AL464" s="10">
        <f t="shared" si="27"/>
        <v>14</v>
      </c>
      <c r="AM464" s="12">
        <v>32000</v>
      </c>
      <c r="AN464" s="12">
        <f t="shared" si="28"/>
        <v>448000</v>
      </c>
      <c r="AO464" s="1"/>
    </row>
    <row r="465" spans="1:41" ht="13.5" customHeight="1">
      <c r="A465" s="51" t="s">
        <v>62</v>
      </c>
      <c r="B465" s="35">
        <v>77</v>
      </c>
      <c r="C465" s="36" t="s">
        <v>938</v>
      </c>
      <c r="D465" s="36" t="s">
        <v>897</v>
      </c>
      <c r="E465" s="36" t="s">
        <v>898</v>
      </c>
      <c r="F465" s="35" t="s">
        <v>901</v>
      </c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37">
        <v>1</v>
      </c>
      <c r="W465" s="37">
        <v>1</v>
      </c>
      <c r="X465" s="37">
        <v>1</v>
      </c>
      <c r="Y465" s="37">
        <v>1</v>
      </c>
      <c r="Z465" s="37">
        <v>1</v>
      </c>
      <c r="AA465" s="37">
        <v>1</v>
      </c>
      <c r="AB465" s="37">
        <v>1</v>
      </c>
      <c r="AC465" s="37">
        <v>1</v>
      </c>
      <c r="AD465" s="37">
        <v>1</v>
      </c>
      <c r="AE465" s="37">
        <v>1</v>
      </c>
      <c r="AF465" s="37">
        <v>1</v>
      </c>
      <c r="AG465" s="37">
        <v>1</v>
      </c>
      <c r="AH465" s="37">
        <v>1</v>
      </c>
      <c r="AI465" s="37">
        <v>1</v>
      </c>
      <c r="AJ465" s="52"/>
      <c r="AK465" s="52"/>
      <c r="AL465" s="10">
        <f t="shared" si="27"/>
        <v>14</v>
      </c>
      <c r="AM465" s="12">
        <v>32000</v>
      </c>
      <c r="AN465" s="12">
        <f t="shared" si="28"/>
        <v>448000</v>
      </c>
      <c r="AO465" s="1"/>
    </row>
    <row r="466" spans="1:41" ht="13.5" customHeight="1">
      <c r="A466" s="51" t="s">
        <v>62</v>
      </c>
      <c r="B466" s="35">
        <v>78</v>
      </c>
      <c r="C466" s="36" t="s">
        <v>332</v>
      </c>
      <c r="D466" s="36" t="s">
        <v>361</v>
      </c>
      <c r="E466" s="36" t="s">
        <v>184</v>
      </c>
      <c r="F466" s="35" t="s">
        <v>939</v>
      </c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37">
        <v>1</v>
      </c>
      <c r="W466" s="37">
        <v>1</v>
      </c>
      <c r="X466" s="37">
        <v>1</v>
      </c>
      <c r="Y466" s="37">
        <v>1</v>
      </c>
      <c r="Z466" s="37">
        <v>1</v>
      </c>
      <c r="AA466" s="37">
        <v>1</v>
      </c>
      <c r="AB466" s="37">
        <v>1</v>
      </c>
      <c r="AC466" s="37">
        <v>1</v>
      </c>
      <c r="AD466" s="37">
        <v>1</v>
      </c>
      <c r="AE466" s="37">
        <v>1</v>
      </c>
      <c r="AF466" s="37">
        <v>1</v>
      </c>
      <c r="AG466" s="37">
        <v>1</v>
      </c>
      <c r="AH466" s="37">
        <v>1</v>
      </c>
      <c r="AI466" s="37">
        <v>1</v>
      </c>
      <c r="AJ466" s="52"/>
      <c r="AK466" s="52"/>
      <c r="AL466" s="10">
        <f t="shared" si="27"/>
        <v>14</v>
      </c>
      <c r="AM466" s="12">
        <v>32000</v>
      </c>
      <c r="AN466" s="12">
        <f t="shared" si="28"/>
        <v>448000</v>
      </c>
      <c r="AO466" s="1"/>
    </row>
    <row r="467" spans="1:41" ht="13.5" customHeight="1">
      <c r="A467" s="51" t="s">
        <v>62</v>
      </c>
      <c r="B467" s="35">
        <v>78</v>
      </c>
      <c r="C467" s="36" t="s">
        <v>940</v>
      </c>
      <c r="D467" s="36" t="s">
        <v>941</v>
      </c>
      <c r="E467" s="36" t="s">
        <v>135</v>
      </c>
      <c r="F467" s="35" t="s">
        <v>942</v>
      </c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37">
        <v>1</v>
      </c>
      <c r="W467" s="37">
        <v>1</v>
      </c>
      <c r="X467" s="37">
        <v>1</v>
      </c>
      <c r="Y467" s="37">
        <v>1</v>
      </c>
      <c r="Z467" s="37">
        <v>1</v>
      </c>
      <c r="AA467" s="37">
        <v>1</v>
      </c>
      <c r="AB467" s="37">
        <v>1</v>
      </c>
      <c r="AC467" s="37">
        <v>1</v>
      </c>
      <c r="AD467" s="37">
        <v>1</v>
      </c>
      <c r="AE467" s="37">
        <v>1</v>
      </c>
      <c r="AF467" s="37">
        <v>1</v>
      </c>
      <c r="AG467" s="37">
        <v>1</v>
      </c>
      <c r="AH467" s="37">
        <v>1</v>
      </c>
      <c r="AI467" s="37">
        <v>1</v>
      </c>
      <c r="AJ467" s="52"/>
      <c r="AK467" s="52"/>
      <c r="AL467" s="10">
        <f t="shared" si="27"/>
        <v>14</v>
      </c>
      <c r="AM467" s="12">
        <v>32000</v>
      </c>
      <c r="AN467" s="12">
        <f t="shared" si="28"/>
        <v>448000</v>
      </c>
      <c r="AO467" s="1"/>
    </row>
    <row r="468" spans="1:41" ht="13.5" customHeight="1">
      <c r="A468" s="51" t="s">
        <v>62</v>
      </c>
      <c r="B468" s="35">
        <v>79</v>
      </c>
      <c r="C468" s="36" t="s">
        <v>292</v>
      </c>
      <c r="D468" s="36" t="s">
        <v>293</v>
      </c>
      <c r="E468" s="36" t="s">
        <v>46</v>
      </c>
      <c r="F468" s="35" t="s">
        <v>294</v>
      </c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37">
        <v>1</v>
      </c>
      <c r="W468" s="37">
        <v>1</v>
      </c>
      <c r="X468" s="37">
        <v>1</v>
      </c>
      <c r="Y468" s="37">
        <v>1</v>
      </c>
      <c r="Z468" s="37">
        <v>1</v>
      </c>
      <c r="AA468" s="37">
        <v>1</v>
      </c>
      <c r="AB468" s="37">
        <v>1</v>
      </c>
      <c r="AC468" s="37">
        <v>1</v>
      </c>
      <c r="AD468" s="37">
        <v>1</v>
      </c>
      <c r="AE468" s="37">
        <v>1</v>
      </c>
      <c r="AF468" s="37">
        <v>1</v>
      </c>
      <c r="AG468" s="37">
        <v>1</v>
      </c>
      <c r="AH468" s="37">
        <v>1</v>
      </c>
      <c r="AI468" s="37">
        <v>1</v>
      </c>
      <c r="AJ468" s="52"/>
      <c r="AK468" s="52"/>
      <c r="AL468" s="10">
        <f t="shared" si="27"/>
        <v>14</v>
      </c>
      <c r="AM468" s="12">
        <v>32000</v>
      </c>
      <c r="AN468" s="12">
        <f t="shared" si="28"/>
        <v>448000</v>
      </c>
      <c r="AO468" s="1"/>
    </row>
    <row r="469" spans="1:41" ht="13.5" customHeight="1">
      <c r="A469" s="51" t="s">
        <v>62</v>
      </c>
      <c r="B469" s="35">
        <v>79</v>
      </c>
      <c r="C469" s="36" t="s">
        <v>166</v>
      </c>
      <c r="D469" s="36" t="s">
        <v>295</v>
      </c>
      <c r="E469" s="36" t="s">
        <v>168</v>
      </c>
      <c r="F469" s="35" t="s">
        <v>296</v>
      </c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37">
        <v>1</v>
      </c>
      <c r="W469" s="37">
        <v>1</v>
      </c>
      <c r="X469" s="37">
        <v>1</v>
      </c>
      <c r="Y469" s="37">
        <v>1</v>
      </c>
      <c r="Z469" s="37">
        <v>1</v>
      </c>
      <c r="AA469" s="37">
        <v>1</v>
      </c>
      <c r="AB469" s="37">
        <v>1</v>
      </c>
      <c r="AC469" s="37">
        <v>1</v>
      </c>
      <c r="AD469" s="37">
        <v>1</v>
      </c>
      <c r="AE469" s="37">
        <v>1</v>
      </c>
      <c r="AF469" s="37">
        <v>1</v>
      </c>
      <c r="AG469" s="37">
        <v>1</v>
      </c>
      <c r="AH469" s="37">
        <v>1</v>
      </c>
      <c r="AI469" s="37">
        <v>1</v>
      </c>
      <c r="AJ469" s="52"/>
      <c r="AK469" s="52"/>
      <c r="AL469" s="10">
        <f t="shared" si="27"/>
        <v>14</v>
      </c>
      <c r="AM469" s="12">
        <v>32000</v>
      </c>
      <c r="AN469" s="12">
        <f t="shared" si="28"/>
        <v>448000</v>
      </c>
      <c r="AO469" s="1"/>
    </row>
    <row r="470" spans="1:41" ht="13.5" customHeight="1">
      <c r="A470" s="51" t="s">
        <v>62</v>
      </c>
      <c r="B470" s="35">
        <v>80</v>
      </c>
      <c r="C470" s="36" t="s">
        <v>283</v>
      </c>
      <c r="D470" s="36" t="s">
        <v>284</v>
      </c>
      <c r="E470" s="36" t="s">
        <v>9</v>
      </c>
      <c r="F470" s="35" t="s">
        <v>285</v>
      </c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37">
        <v>1</v>
      </c>
      <c r="W470" s="37">
        <v>1</v>
      </c>
      <c r="X470" s="37">
        <v>1</v>
      </c>
      <c r="Y470" s="37">
        <v>1</v>
      </c>
      <c r="Z470" s="37">
        <v>1</v>
      </c>
      <c r="AA470" s="37">
        <v>1</v>
      </c>
      <c r="AB470" s="37">
        <v>1</v>
      </c>
      <c r="AC470" s="37">
        <v>1</v>
      </c>
      <c r="AD470" s="37">
        <v>1</v>
      </c>
      <c r="AE470" s="37">
        <v>1</v>
      </c>
      <c r="AF470" s="37">
        <v>1</v>
      </c>
      <c r="AG470" s="37">
        <v>1</v>
      </c>
      <c r="AH470" s="37">
        <v>1</v>
      </c>
      <c r="AI470" s="37">
        <v>1</v>
      </c>
      <c r="AJ470" s="52"/>
      <c r="AK470" s="52"/>
      <c r="AL470" s="10">
        <f t="shared" si="27"/>
        <v>14</v>
      </c>
      <c r="AM470" s="12">
        <v>32000</v>
      </c>
      <c r="AN470" s="12">
        <f t="shared" si="28"/>
        <v>448000</v>
      </c>
      <c r="AO470" s="1"/>
    </row>
    <row r="471" spans="1:41" ht="13.5" customHeight="1">
      <c r="A471" s="51" t="s">
        <v>62</v>
      </c>
      <c r="B471" s="35">
        <v>80</v>
      </c>
      <c r="C471" s="36" t="s">
        <v>63</v>
      </c>
      <c r="D471" s="36" t="s">
        <v>93</v>
      </c>
      <c r="E471" s="36" t="s">
        <v>77</v>
      </c>
      <c r="F471" s="35" t="s">
        <v>286</v>
      </c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37">
        <v>1</v>
      </c>
      <c r="W471" s="37">
        <v>1</v>
      </c>
      <c r="X471" s="37">
        <v>1</v>
      </c>
      <c r="Y471" s="37">
        <v>1</v>
      </c>
      <c r="Z471" s="37">
        <v>1</v>
      </c>
      <c r="AA471" s="37">
        <v>1</v>
      </c>
      <c r="AB471" s="37">
        <v>1</v>
      </c>
      <c r="AC471" s="37">
        <v>1</v>
      </c>
      <c r="AD471" s="37">
        <v>1</v>
      </c>
      <c r="AE471" s="37">
        <v>1</v>
      </c>
      <c r="AF471" s="37">
        <v>1</v>
      </c>
      <c r="AG471" s="37">
        <v>1</v>
      </c>
      <c r="AH471" s="37">
        <v>1</v>
      </c>
      <c r="AI471" s="37">
        <v>1</v>
      </c>
      <c r="AJ471" s="52"/>
      <c r="AK471" s="52"/>
      <c r="AL471" s="10">
        <f t="shared" si="27"/>
        <v>14</v>
      </c>
      <c r="AM471" s="12">
        <v>32000</v>
      </c>
      <c r="AN471" s="12">
        <f t="shared" si="28"/>
        <v>448000</v>
      </c>
      <c r="AO471" s="1"/>
    </row>
    <row r="472" spans="1:41" ht="13.5" customHeight="1">
      <c r="A472" s="51" t="s">
        <v>62</v>
      </c>
      <c r="B472" s="35">
        <v>81</v>
      </c>
      <c r="C472" s="36" t="s">
        <v>67</v>
      </c>
      <c r="D472" s="36" t="s">
        <v>136</v>
      </c>
      <c r="E472" s="36" t="s">
        <v>943</v>
      </c>
      <c r="F472" s="35" t="s">
        <v>352</v>
      </c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37">
        <v>1</v>
      </c>
      <c r="W472" s="37">
        <v>1</v>
      </c>
      <c r="X472" s="37">
        <v>1</v>
      </c>
      <c r="Y472" s="37">
        <v>1</v>
      </c>
      <c r="Z472" s="37">
        <v>1</v>
      </c>
      <c r="AA472" s="37">
        <v>1</v>
      </c>
      <c r="AB472" s="37">
        <v>1</v>
      </c>
      <c r="AC472" s="37">
        <v>1</v>
      </c>
      <c r="AD472" s="37">
        <v>1</v>
      </c>
      <c r="AE472" s="37">
        <v>1</v>
      </c>
      <c r="AF472" s="37">
        <v>1</v>
      </c>
      <c r="AG472" s="37">
        <v>1</v>
      </c>
      <c r="AH472" s="37">
        <v>1</v>
      </c>
      <c r="AI472" s="37">
        <v>1</v>
      </c>
      <c r="AJ472" s="52"/>
      <c r="AK472" s="52"/>
      <c r="AL472" s="10">
        <f t="shared" si="27"/>
        <v>14</v>
      </c>
      <c r="AM472" s="12">
        <v>32000</v>
      </c>
      <c r="AN472" s="12">
        <f t="shared" si="28"/>
        <v>448000</v>
      </c>
      <c r="AO472" s="1"/>
    </row>
    <row r="473" spans="1:41" ht="13.5" customHeight="1">
      <c r="A473" s="51" t="s">
        <v>62</v>
      </c>
      <c r="B473" s="35">
        <v>81</v>
      </c>
      <c r="C473" s="36" t="s">
        <v>944</v>
      </c>
      <c r="D473" s="36" t="s">
        <v>159</v>
      </c>
      <c r="E473" s="36" t="s">
        <v>24</v>
      </c>
      <c r="F473" s="35" t="s">
        <v>945</v>
      </c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37">
        <v>1</v>
      </c>
      <c r="W473" s="37">
        <v>1</v>
      </c>
      <c r="X473" s="37">
        <v>1</v>
      </c>
      <c r="Y473" s="37">
        <v>1</v>
      </c>
      <c r="Z473" s="37">
        <v>1</v>
      </c>
      <c r="AA473" s="37">
        <v>1</v>
      </c>
      <c r="AB473" s="37">
        <v>1</v>
      </c>
      <c r="AC473" s="37">
        <v>1</v>
      </c>
      <c r="AD473" s="37">
        <v>1</v>
      </c>
      <c r="AE473" s="37">
        <v>1</v>
      </c>
      <c r="AF473" s="37">
        <v>1</v>
      </c>
      <c r="AG473" s="37">
        <v>1</v>
      </c>
      <c r="AH473" s="37">
        <v>1</v>
      </c>
      <c r="AI473" s="37">
        <v>1</v>
      </c>
      <c r="AJ473" s="52"/>
      <c r="AK473" s="52"/>
      <c r="AL473" s="10">
        <f t="shared" si="27"/>
        <v>14</v>
      </c>
      <c r="AM473" s="12">
        <v>32000</v>
      </c>
      <c r="AN473" s="12">
        <f t="shared" si="28"/>
        <v>448000</v>
      </c>
      <c r="AO473" s="1"/>
    </row>
    <row r="474" spans="1:41" ht="13.5" customHeight="1">
      <c r="A474" s="51" t="s">
        <v>62</v>
      </c>
      <c r="B474" s="35">
        <v>83</v>
      </c>
      <c r="C474" s="36" t="s">
        <v>87</v>
      </c>
      <c r="D474" s="36" t="s">
        <v>88</v>
      </c>
      <c r="E474" s="36" t="s">
        <v>89</v>
      </c>
      <c r="F474" s="35" t="s">
        <v>90</v>
      </c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37">
        <v>1</v>
      </c>
      <c r="W474" s="37">
        <v>1</v>
      </c>
      <c r="X474" s="37">
        <v>1</v>
      </c>
      <c r="Y474" s="37">
        <v>1</v>
      </c>
      <c r="Z474" s="37">
        <v>1</v>
      </c>
      <c r="AA474" s="37">
        <v>1</v>
      </c>
      <c r="AB474" s="37">
        <v>1</v>
      </c>
      <c r="AC474" s="37">
        <v>1</v>
      </c>
      <c r="AD474" s="37">
        <v>1</v>
      </c>
      <c r="AE474" s="37">
        <v>1</v>
      </c>
      <c r="AF474" s="37">
        <v>1</v>
      </c>
      <c r="AG474" s="37">
        <v>1</v>
      </c>
      <c r="AH474" s="37">
        <v>1</v>
      </c>
      <c r="AI474" s="37">
        <v>1</v>
      </c>
      <c r="AJ474" s="52"/>
      <c r="AK474" s="52"/>
      <c r="AL474" s="10">
        <f t="shared" si="27"/>
        <v>14</v>
      </c>
      <c r="AM474" s="12">
        <v>32000</v>
      </c>
      <c r="AN474" s="12">
        <f t="shared" si="28"/>
        <v>448000</v>
      </c>
      <c r="AO474" s="1"/>
    </row>
    <row r="475" spans="1:41" ht="13.5" customHeight="1">
      <c r="A475" s="51" t="s">
        <v>62</v>
      </c>
      <c r="B475" s="35">
        <v>83</v>
      </c>
      <c r="C475" s="36" t="s">
        <v>203</v>
      </c>
      <c r="D475" s="36" t="s">
        <v>91</v>
      </c>
      <c r="E475" s="36" t="s">
        <v>25</v>
      </c>
      <c r="F475" s="35" t="s">
        <v>92</v>
      </c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37">
        <v>1</v>
      </c>
      <c r="W475" s="37">
        <v>1</v>
      </c>
      <c r="X475" s="37">
        <v>1</v>
      </c>
      <c r="Y475" s="37">
        <v>1</v>
      </c>
      <c r="Z475" s="37">
        <v>1</v>
      </c>
      <c r="AA475" s="37">
        <v>1</v>
      </c>
      <c r="AB475" s="37">
        <v>1</v>
      </c>
      <c r="AC475" s="37">
        <v>1</v>
      </c>
      <c r="AD475" s="37">
        <v>1</v>
      </c>
      <c r="AE475" s="37">
        <v>1</v>
      </c>
      <c r="AF475" s="37">
        <v>1</v>
      </c>
      <c r="AG475" s="37">
        <v>1</v>
      </c>
      <c r="AH475" s="37">
        <v>1</v>
      </c>
      <c r="AI475" s="37">
        <v>1</v>
      </c>
      <c r="AJ475" s="52"/>
      <c r="AK475" s="52"/>
      <c r="AL475" s="10">
        <f t="shared" si="27"/>
        <v>14</v>
      </c>
      <c r="AM475" s="12">
        <v>32000</v>
      </c>
      <c r="AN475" s="12">
        <f t="shared" si="28"/>
        <v>448000</v>
      </c>
      <c r="AO475" s="1"/>
    </row>
    <row r="476" spans="1:41" ht="13.5" customHeight="1">
      <c r="A476" s="51" t="s">
        <v>62</v>
      </c>
      <c r="B476" s="35">
        <v>85</v>
      </c>
      <c r="C476" s="36" t="s">
        <v>159</v>
      </c>
      <c r="D476" s="36" t="s">
        <v>268</v>
      </c>
      <c r="E476" s="36" t="s">
        <v>229</v>
      </c>
      <c r="F476" s="35" t="s">
        <v>946</v>
      </c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37">
        <v>1</v>
      </c>
      <c r="W476" s="37">
        <v>1</v>
      </c>
      <c r="X476" s="37">
        <v>1</v>
      </c>
      <c r="Y476" s="37">
        <v>1</v>
      </c>
      <c r="Z476" s="37">
        <v>1</v>
      </c>
      <c r="AA476" s="37">
        <v>1</v>
      </c>
      <c r="AB476" s="37">
        <v>1</v>
      </c>
      <c r="AC476" s="37">
        <v>1</v>
      </c>
      <c r="AD476" s="37">
        <v>1</v>
      </c>
      <c r="AE476" s="37">
        <v>1</v>
      </c>
      <c r="AF476" s="37">
        <v>1</v>
      </c>
      <c r="AG476" s="37">
        <v>1</v>
      </c>
      <c r="AH476" s="37">
        <v>1</v>
      </c>
      <c r="AI476" s="37">
        <v>1</v>
      </c>
      <c r="AJ476" s="52"/>
      <c r="AK476" s="52"/>
      <c r="AL476" s="10">
        <f t="shared" si="27"/>
        <v>14</v>
      </c>
      <c r="AM476" s="12">
        <v>32000</v>
      </c>
      <c r="AN476" s="12">
        <f t="shared" si="28"/>
        <v>448000</v>
      </c>
      <c r="AO476" s="1"/>
    </row>
    <row r="477" spans="1:41" ht="13.5" customHeight="1">
      <c r="A477" s="51" t="s">
        <v>62</v>
      </c>
      <c r="B477" s="35">
        <v>85</v>
      </c>
      <c r="C477" s="36" t="s">
        <v>947</v>
      </c>
      <c r="D477" s="36" t="s">
        <v>152</v>
      </c>
      <c r="E477" s="36" t="s">
        <v>168</v>
      </c>
      <c r="F477" s="35" t="s">
        <v>948</v>
      </c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37">
        <v>1</v>
      </c>
      <c r="W477" s="37">
        <v>1</v>
      </c>
      <c r="X477" s="37">
        <v>1</v>
      </c>
      <c r="Y477" s="37">
        <v>1</v>
      </c>
      <c r="Z477" s="37">
        <v>1</v>
      </c>
      <c r="AA477" s="37">
        <v>1</v>
      </c>
      <c r="AB477" s="37">
        <v>1</v>
      </c>
      <c r="AC477" s="37">
        <v>1</v>
      </c>
      <c r="AD477" s="37">
        <v>1</v>
      </c>
      <c r="AE477" s="37">
        <v>1</v>
      </c>
      <c r="AF477" s="37">
        <v>1</v>
      </c>
      <c r="AG477" s="37">
        <v>1</v>
      </c>
      <c r="AH477" s="37">
        <v>1</v>
      </c>
      <c r="AI477" s="37">
        <v>1</v>
      </c>
      <c r="AJ477" s="52"/>
      <c r="AK477" s="52"/>
      <c r="AL477" s="10">
        <f t="shared" si="27"/>
        <v>14</v>
      </c>
      <c r="AM477" s="12">
        <v>32000</v>
      </c>
      <c r="AN477" s="12">
        <f t="shared" si="28"/>
        <v>448000</v>
      </c>
      <c r="AO477" s="1"/>
    </row>
    <row r="478" spans="1:41" ht="13.5" customHeight="1">
      <c r="A478" s="51" t="s">
        <v>62</v>
      </c>
      <c r="B478" s="35">
        <v>86</v>
      </c>
      <c r="C478" s="36" t="s">
        <v>949</v>
      </c>
      <c r="D478" s="36" t="s">
        <v>128</v>
      </c>
      <c r="E478" s="36" t="s">
        <v>24</v>
      </c>
      <c r="F478" s="35" t="s">
        <v>950</v>
      </c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37">
        <v>1</v>
      </c>
      <c r="W478" s="37">
        <v>1</v>
      </c>
      <c r="X478" s="37">
        <v>1</v>
      </c>
      <c r="Y478" s="37">
        <v>1</v>
      </c>
      <c r="Z478" s="37">
        <v>1</v>
      </c>
      <c r="AA478" s="37">
        <v>1</v>
      </c>
      <c r="AB478" s="37">
        <v>1</v>
      </c>
      <c r="AC478" s="37">
        <v>1</v>
      </c>
      <c r="AD478" s="37">
        <v>1</v>
      </c>
      <c r="AE478" s="37">
        <v>1</v>
      </c>
      <c r="AF478" s="37">
        <v>1</v>
      </c>
      <c r="AG478" s="37">
        <v>1</v>
      </c>
      <c r="AH478" s="37">
        <v>1</v>
      </c>
      <c r="AI478" s="37">
        <v>1</v>
      </c>
      <c r="AJ478" s="52"/>
      <c r="AK478" s="52"/>
      <c r="AL478" s="10">
        <f t="shared" si="27"/>
        <v>14</v>
      </c>
      <c r="AM478" s="12">
        <v>32000</v>
      </c>
      <c r="AN478" s="12">
        <f t="shared" si="28"/>
        <v>448000</v>
      </c>
      <c r="AO478" s="1"/>
    </row>
    <row r="479" spans="1:41" ht="13.5" customHeight="1">
      <c r="A479" s="51" t="s">
        <v>62</v>
      </c>
      <c r="B479" s="35">
        <v>86</v>
      </c>
      <c r="C479" s="36" t="s">
        <v>564</v>
      </c>
      <c r="D479" s="36" t="s">
        <v>200</v>
      </c>
      <c r="E479" s="36" t="s">
        <v>9</v>
      </c>
      <c r="F479" s="35" t="s">
        <v>951</v>
      </c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37">
        <v>1</v>
      </c>
      <c r="W479" s="37">
        <v>1</v>
      </c>
      <c r="X479" s="37">
        <v>1</v>
      </c>
      <c r="Y479" s="37">
        <v>1</v>
      </c>
      <c r="Z479" s="37">
        <v>1</v>
      </c>
      <c r="AA479" s="37">
        <v>1</v>
      </c>
      <c r="AB479" s="37">
        <v>1</v>
      </c>
      <c r="AC479" s="37">
        <v>1</v>
      </c>
      <c r="AD479" s="37">
        <v>1</v>
      </c>
      <c r="AE479" s="37">
        <v>1</v>
      </c>
      <c r="AF479" s="37">
        <v>1</v>
      </c>
      <c r="AG479" s="37">
        <v>1</v>
      </c>
      <c r="AH479" s="37">
        <v>1</v>
      </c>
      <c r="AI479" s="37">
        <v>1</v>
      </c>
      <c r="AJ479" s="52"/>
      <c r="AK479" s="52"/>
      <c r="AL479" s="10">
        <f t="shared" si="27"/>
        <v>14</v>
      </c>
      <c r="AM479" s="12">
        <v>32000</v>
      </c>
      <c r="AN479" s="12">
        <f t="shared" si="28"/>
        <v>448000</v>
      </c>
      <c r="AO479" s="1"/>
    </row>
    <row r="480" spans="1:41" ht="13.5" customHeight="1">
      <c r="A480" s="51" t="s">
        <v>62</v>
      </c>
      <c r="B480" s="35">
        <v>88</v>
      </c>
      <c r="C480" s="36" t="s">
        <v>218</v>
      </c>
      <c r="D480" s="36" t="s">
        <v>120</v>
      </c>
      <c r="E480" s="36" t="s">
        <v>589</v>
      </c>
      <c r="F480" s="35" t="s">
        <v>518</v>
      </c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37">
        <v>1</v>
      </c>
      <c r="W480" s="37">
        <v>1</v>
      </c>
      <c r="X480" s="37">
        <v>1</v>
      </c>
      <c r="Y480" s="37">
        <v>1</v>
      </c>
      <c r="Z480" s="37">
        <v>1</v>
      </c>
      <c r="AA480" s="37">
        <v>1</v>
      </c>
      <c r="AB480" s="37">
        <v>1</v>
      </c>
      <c r="AC480" s="37">
        <v>1</v>
      </c>
      <c r="AD480" s="37">
        <v>1</v>
      </c>
      <c r="AE480" s="37">
        <v>1</v>
      </c>
      <c r="AF480" s="37">
        <v>1</v>
      </c>
      <c r="AG480" s="37">
        <v>1</v>
      </c>
      <c r="AH480" s="37">
        <v>1</v>
      </c>
      <c r="AI480" s="37">
        <v>1</v>
      </c>
      <c r="AJ480" s="52"/>
      <c r="AK480" s="52"/>
      <c r="AL480" s="10">
        <f t="shared" ref="AL480:AL505" si="29">SUM(G480:AK480)</f>
        <v>14</v>
      </c>
      <c r="AM480" s="12">
        <v>32000</v>
      </c>
      <c r="AN480" s="12">
        <f t="shared" ref="AN480:AN505" si="30">AM480*AL480</f>
        <v>448000</v>
      </c>
      <c r="AO480" s="1"/>
    </row>
    <row r="481" spans="1:41" ht="13.5" customHeight="1">
      <c r="A481" s="51" t="s">
        <v>62</v>
      </c>
      <c r="B481" s="35">
        <v>88</v>
      </c>
      <c r="C481" s="36" t="s">
        <v>458</v>
      </c>
      <c r="D481" s="36" t="s">
        <v>515</v>
      </c>
      <c r="E481" s="36" t="s">
        <v>356</v>
      </c>
      <c r="F481" s="35" t="s">
        <v>519</v>
      </c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37">
        <v>1</v>
      </c>
      <c r="W481" s="37">
        <v>1</v>
      </c>
      <c r="X481" s="37">
        <v>1</v>
      </c>
      <c r="Y481" s="37">
        <v>1</v>
      </c>
      <c r="Z481" s="37">
        <v>1</v>
      </c>
      <c r="AA481" s="37">
        <v>1</v>
      </c>
      <c r="AB481" s="37">
        <v>1</v>
      </c>
      <c r="AC481" s="37">
        <v>1</v>
      </c>
      <c r="AD481" s="37">
        <v>1</v>
      </c>
      <c r="AE481" s="37">
        <v>1</v>
      </c>
      <c r="AF481" s="37">
        <v>1</v>
      </c>
      <c r="AG481" s="37">
        <v>1</v>
      </c>
      <c r="AH481" s="37">
        <v>1</v>
      </c>
      <c r="AI481" s="37">
        <v>1</v>
      </c>
      <c r="AJ481" s="52"/>
      <c r="AK481" s="52"/>
      <c r="AL481" s="10">
        <f t="shared" si="29"/>
        <v>14</v>
      </c>
      <c r="AM481" s="12">
        <v>32000</v>
      </c>
      <c r="AN481" s="12">
        <f t="shared" si="30"/>
        <v>448000</v>
      </c>
      <c r="AO481" s="1"/>
    </row>
    <row r="482" spans="1:41" ht="13.5" customHeight="1">
      <c r="A482" s="51" t="s">
        <v>62</v>
      </c>
      <c r="B482" s="35">
        <v>90</v>
      </c>
      <c r="C482" s="36" t="s">
        <v>199</v>
      </c>
      <c r="D482" s="36" t="s">
        <v>200</v>
      </c>
      <c r="E482" s="36" t="s">
        <v>153</v>
      </c>
      <c r="F482" s="35" t="s">
        <v>154</v>
      </c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37">
        <v>1</v>
      </c>
      <c r="W482" s="37">
        <v>1</v>
      </c>
      <c r="X482" s="37">
        <v>1</v>
      </c>
      <c r="Y482" s="37">
        <v>1</v>
      </c>
      <c r="Z482" s="37">
        <v>1</v>
      </c>
      <c r="AA482" s="37">
        <v>1</v>
      </c>
      <c r="AB482" s="37">
        <v>1</v>
      </c>
      <c r="AC482" s="37">
        <v>1</v>
      </c>
      <c r="AD482" s="37">
        <v>1</v>
      </c>
      <c r="AE482" s="37">
        <v>1</v>
      </c>
      <c r="AF482" s="37">
        <v>1</v>
      </c>
      <c r="AG482" s="37">
        <v>1</v>
      </c>
      <c r="AH482" s="37">
        <v>1</v>
      </c>
      <c r="AI482" s="37">
        <v>1</v>
      </c>
      <c r="AJ482" s="52"/>
      <c r="AK482" s="52"/>
      <c r="AL482" s="10">
        <f t="shared" si="29"/>
        <v>14</v>
      </c>
      <c r="AM482" s="12">
        <v>32000</v>
      </c>
      <c r="AN482" s="12">
        <f t="shared" si="30"/>
        <v>448000</v>
      </c>
      <c r="AO482" s="1"/>
    </row>
    <row r="483" spans="1:41" ht="13.5" customHeight="1">
      <c r="A483" s="51" t="s">
        <v>62</v>
      </c>
      <c r="B483" s="35">
        <v>90</v>
      </c>
      <c r="C483" s="36" t="s">
        <v>201</v>
      </c>
      <c r="D483" s="36" t="s">
        <v>162</v>
      </c>
      <c r="E483" s="36" t="s">
        <v>163</v>
      </c>
      <c r="F483" s="35" t="s">
        <v>164</v>
      </c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37">
        <v>1</v>
      </c>
      <c r="W483" s="37">
        <v>1</v>
      </c>
      <c r="X483" s="37">
        <v>1</v>
      </c>
      <c r="Y483" s="37">
        <v>1</v>
      </c>
      <c r="Z483" s="37">
        <v>1</v>
      </c>
      <c r="AA483" s="37">
        <v>1</v>
      </c>
      <c r="AB483" s="37">
        <v>1</v>
      </c>
      <c r="AC483" s="37">
        <v>1</v>
      </c>
      <c r="AD483" s="37">
        <v>1</v>
      </c>
      <c r="AE483" s="37">
        <v>1</v>
      </c>
      <c r="AF483" s="37">
        <v>1</v>
      </c>
      <c r="AG483" s="37">
        <v>1</v>
      </c>
      <c r="AH483" s="37">
        <v>1</v>
      </c>
      <c r="AI483" s="37">
        <v>1</v>
      </c>
      <c r="AJ483" s="52"/>
      <c r="AK483" s="52"/>
      <c r="AL483" s="10">
        <f t="shared" si="29"/>
        <v>14</v>
      </c>
      <c r="AM483" s="12">
        <v>32000</v>
      </c>
      <c r="AN483" s="12">
        <f t="shared" si="30"/>
        <v>448000</v>
      </c>
      <c r="AO483" s="1"/>
    </row>
    <row r="484" spans="1:41" ht="13.5" customHeight="1">
      <c r="A484" s="51" t="s">
        <v>62</v>
      </c>
      <c r="B484" s="35">
        <v>91</v>
      </c>
      <c r="C484" s="36" t="s">
        <v>392</v>
      </c>
      <c r="D484" s="36" t="s">
        <v>218</v>
      </c>
      <c r="E484" s="36" t="s">
        <v>28</v>
      </c>
      <c r="F484" s="35" t="s">
        <v>397</v>
      </c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37">
        <v>1</v>
      </c>
      <c r="W484" s="37">
        <v>1</v>
      </c>
      <c r="X484" s="37">
        <v>1</v>
      </c>
      <c r="Y484" s="37">
        <v>1</v>
      </c>
      <c r="Z484" s="37">
        <v>1</v>
      </c>
      <c r="AA484" s="37">
        <v>1</v>
      </c>
      <c r="AB484" s="37">
        <v>1</v>
      </c>
      <c r="AC484" s="37">
        <v>1</v>
      </c>
      <c r="AD484" s="37">
        <v>1</v>
      </c>
      <c r="AE484" s="37">
        <v>1</v>
      </c>
      <c r="AF484" s="37">
        <v>1</v>
      </c>
      <c r="AG484" s="37">
        <v>1</v>
      </c>
      <c r="AH484" s="37">
        <v>1</v>
      </c>
      <c r="AI484" s="37">
        <v>1</v>
      </c>
      <c r="AJ484" s="52"/>
      <c r="AK484" s="52"/>
      <c r="AL484" s="10">
        <f t="shared" si="29"/>
        <v>14</v>
      </c>
      <c r="AM484" s="12">
        <v>32000</v>
      </c>
      <c r="AN484" s="12">
        <f t="shared" si="30"/>
        <v>448000</v>
      </c>
      <c r="AO484" s="1"/>
    </row>
    <row r="485" spans="1:41" ht="13.5" customHeight="1">
      <c r="A485" s="51" t="s">
        <v>62</v>
      </c>
      <c r="B485" s="35">
        <v>91</v>
      </c>
      <c r="C485" s="36" t="s">
        <v>98</v>
      </c>
      <c r="D485" s="36" t="s">
        <v>45</v>
      </c>
      <c r="E485" s="36" t="s">
        <v>194</v>
      </c>
      <c r="F485" s="35" t="s">
        <v>396</v>
      </c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37">
        <v>1</v>
      </c>
      <c r="W485" s="37">
        <v>1</v>
      </c>
      <c r="X485" s="37">
        <v>1</v>
      </c>
      <c r="Y485" s="37">
        <v>1</v>
      </c>
      <c r="Z485" s="37">
        <v>1</v>
      </c>
      <c r="AA485" s="37">
        <v>1</v>
      </c>
      <c r="AB485" s="37">
        <v>1</v>
      </c>
      <c r="AC485" s="37">
        <v>1</v>
      </c>
      <c r="AD485" s="37">
        <v>1</v>
      </c>
      <c r="AE485" s="37">
        <v>1</v>
      </c>
      <c r="AF485" s="37">
        <v>1</v>
      </c>
      <c r="AG485" s="37">
        <v>1</v>
      </c>
      <c r="AH485" s="37">
        <v>1</v>
      </c>
      <c r="AI485" s="37">
        <v>1</v>
      </c>
      <c r="AJ485" s="52"/>
      <c r="AK485" s="52"/>
      <c r="AL485" s="10">
        <f t="shared" si="29"/>
        <v>14</v>
      </c>
      <c r="AM485" s="12">
        <v>32000</v>
      </c>
      <c r="AN485" s="12">
        <f t="shared" si="30"/>
        <v>448000</v>
      </c>
      <c r="AO485" s="1"/>
    </row>
    <row r="486" spans="1:41" ht="13.5" customHeight="1">
      <c r="A486" s="51" t="s">
        <v>62</v>
      </c>
      <c r="B486" s="35">
        <v>93</v>
      </c>
      <c r="C486" s="36" t="s">
        <v>363</v>
      </c>
      <c r="D486" s="36" t="s">
        <v>120</v>
      </c>
      <c r="E486" s="36" t="s">
        <v>24</v>
      </c>
      <c r="F486" s="35" t="s">
        <v>372</v>
      </c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37">
        <v>1</v>
      </c>
      <c r="W486" s="37">
        <v>1</v>
      </c>
      <c r="X486" s="37">
        <v>1</v>
      </c>
      <c r="Y486" s="37">
        <v>1</v>
      </c>
      <c r="Z486" s="37">
        <v>1</v>
      </c>
      <c r="AA486" s="37">
        <v>1</v>
      </c>
      <c r="AB486" s="37">
        <v>1</v>
      </c>
      <c r="AC486" s="37">
        <v>1</v>
      </c>
      <c r="AD486" s="37">
        <v>1</v>
      </c>
      <c r="AE486" s="37">
        <v>1</v>
      </c>
      <c r="AF486" s="37">
        <v>1</v>
      </c>
      <c r="AG486" s="37">
        <v>1</v>
      </c>
      <c r="AH486" s="37">
        <v>1</v>
      </c>
      <c r="AI486" s="37">
        <v>1</v>
      </c>
      <c r="AJ486" s="52"/>
      <c r="AK486" s="52"/>
      <c r="AL486" s="10">
        <f t="shared" si="29"/>
        <v>14</v>
      </c>
      <c r="AM486" s="12">
        <v>32000</v>
      </c>
      <c r="AN486" s="12">
        <f t="shared" si="30"/>
        <v>448000</v>
      </c>
      <c r="AO486" s="1"/>
    </row>
    <row r="487" spans="1:41" ht="13.5" customHeight="1">
      <c r="A487" s="51" t="s">
        <v>62</v>
      </c>
      <c r="B487" s="35">
        <v>93</v>
      </c>
      <c r="C487" s="36" t="s">
        <v>91</v>
      </c>
      <c r="D487" s="36" t="s">
        <v>91</v>
      </c>
      <c r="E487" s="36" t="s">
        <v>37</v>
      </c>
      <c r="F487" s="35" t="s">
        <v>309</v>
      </c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37">
        <v>1</v>
      </c>
      <c r="W487" s="37">
        <v>1</v>
      </c>
      <c r="X487" s="37">
        <v>1</v>
      </c>
      <c r="Y487" s="37">
        <v>1</v>
      </c>
      <c r="Z487" s="37">
        <v>1</v>
      </c>
      <c r="AA487" s="37">
        <v>1</v>
      </c>
      <c r="AB487" s="37">
        <v>1</v>
      </c>
      <c r="AC487" s="37">
        <v>1</v>
      </c>
      <c r="AD487" s="37">
        <v>1</v>
      </c>
      <c r="AE487" s="37">
        <v>1</v>
      </c>
      <c r="AF487" s="37">
        <v>1</v>
      </c>
      <c r="AG487" s="37">
        <v>1</v>
      </c>
      <c r="AH487" s="37">
        <v>1</v>
      </c>
      <c r="AI487" s="37">
        <v>1</v>
      </c>
      <c r="AJ487" s="52"/>
      <c r="AK487" s="52"/>
      <c r="AL487" s="10">
        <f t="shared" si="29"/>
        <v>14</v>
      </c>
      <c r="AM487" s="12">
        <v>32000</v>
      </c>
      <c r="AN487" s="12">
        <f t="shared" si="30"/>
        <v>448000</v>
      </c>
      <c r="AO487" s="1"/>
    </row>
    <row r="488" spans="1:41" ht="13.5" customHeight="1">
      <c r="A488" s="51" t="s">
        <v>62</v>
      </c>
      <c r="B488" s="35">
        <v>96</v>
      </c>
      <c r="C488" s="36" t="s">
        <v>409</v>
      </c>
      <c r="D488" s="36" t="s">
        <v>12</v>
      </c>
      <c r="E488" s="36" t="s">
        <v>225</v>
      </c>
      <c r="F488" s="35" t="s">
        <v>411</v>
      </c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37">
        <v>1</v>
      </c>
      <c r="W488" s="37">
        <v>1</v>
      </c>
      <c r="X488" s="37">
        <v>1</v>
      </c>
      <c r="Y488" s="37">
        <v>1</v>
      </c>
      <c r="Z488" s="37">
        <v>1</v>
      </c>
      <c r="AA488" s="37">
        <v>1</v>
      </c>
      <c r="AB488" s="37">
        <v>1</v>
      </c>
      <c r="AC488" s="37">
        <v>1</v>
      </c>
      <c r="AD488" s="37">
        <v>1</v>
      </c>
      <c r="AE488" s="37">
        <v>1</v>
      </c>
      <c r="AF488" s="37">
        <v>1</v>
      </c>
      <c r="AG488" s="37">
        <v>1</v>
      </c>
      <c r="AH488" s="37">
        <v>1</v>
      </c>
      <c r="AI488" s="37">
        <v>1</v>
      </c>
      <c r="AJ488" s="52"/>
      <c r="AK488" s="52"/>
      <c r="AL488" s="10">
        <f t="shared" si="29"/>
        <v>14</v>
      </c>
      <c r="AM488" s="12">
        <v>32000</v>
      </c>
      <c r="AN488" s="12">
        <f t="shared" si="30"/>
        <v>448000</v>
      </c>
      <c r="AO488" s="1"/>
    </row>
    <row r="489" spans="1:41" ht="13.5" customHeight="1">
      <c r="A489" s="51" t="s">
        <v>62</v>
      </c>
      <c r="B489" s="35">
        <v>96</v>
      </c>
      <c r="C489" s="36" t="s">
        <v>151</v>
      </c>
      <c r="D489" s="36" t="s">
        <v>151</v>
      </c>
      <c r="E489" s="36" t="s">
        <v>9</v>
      </c>
      <c r="F489" s="35" t="s">
        <v>238</v>
      </c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37">
        <v>1</v>
      </c>
      <c r="W489" s="37">
        <v>1</v>
      </c>
      <c r="X489" s="37">
        <v>1</v>
      </c>
      <c r="Y489" s="37">
        <v>1</v>
      </c>
      <c r="Z489" s="37">
        <v>1</v>
      </c>
      <c r="AA489" s="37">
        <v>1</v>
      </c>
      <c r="AB489" s="37">
        <v>1</v>
      </c>
      <c r="AC489" s="37">
        <v>1</v>
      </c>
      <c r="AD489" s="37">
        <v>1</v>
      </c>
      <c r="AE489" s="37">
        <v>1</v>
      </c>
      <c r="AF489" s="37">
        <v>1</v>
      </c>
      <c r="AG489" s="37">
        <v>1</v>
      </c>
      <c r="AH489" s="37">
        <v>1</v>
      </c>
      <c r="AI489" s="37">
        <v>1</v>
      </c>
      <c r="AJ489" s="52"/>
      <c r="AK489" s="52"/>
      <c r="AL489" s="10">
        <f t="shared" si="29"/>
        <v>14</v>
      </c>
      <c r="AM489" s="12">
        <v>32000</v>
      </c>
      <c r="AN489" s="12">
        <f t="shared" si="30"/>
        <v>448000</v>
      </c>
      <c r="AO489" s="1"/>
    </row>
    <row r="490" spans="1:41" ht="13.5" customHeight="1">
      <c r="A490" s="51" t="s">
        <v>62</v>
      </c>
      <c r="B490" s="35">
        <v>99</v>
      </c>
      <c r="C490" s="36" t="s">
        <v>66</v>
      </c>
      <c r="D490" s="36" t="s">
        <v>67</v>
      </c>
      <c r="E490" s="36" t="s">
        <v>466</v>
      </c>
      <c r="F490" s="35" t="s">
        <v>69</v>
      </c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37">
        <v>1</v>
      </c>
      <c r="W490" s="37">
        <v>1</v>
      </c>
      <c r="X490" s="37">
        <v>1</v>
      </c>
      <c r="Y490" s="37">
        <v>1</v>
      </c>
      <c r="Z490" s="37">
        <v>1</v>
      </c>
      <c r="AA490" s="37">
        <v>1</v>
      </c>
      <c r="AB490" s="37">
        <v>1</v>
      </c>
      <c r="AC490" s="37">
        <v>1</v>
      </c>
      <c r="AD490" s="37">
        <v>1</v>
      </c>
      <c r="AE490" s="37">
        <v>1</v>
      </c>
      <c r="AF490" s="37">
        <v>1</v>
      </c>
      <c r="AG490" s="37">
        <v>1</v>
      </c>
      <c r="AH490" s="37">
        <v>1</v>
      </c>
      <c r="AI490" s="37">
        <v>1</v>
      </c>
      <c r="AJ490" s="52"/>
      <c r="AK490" s="52"/>
      <c r="AL490" s="10">
        <f t="shared" si="29"/>
        <v>14</v>
      </c>
      <c r="AM490" s="12">
        <v>32000</v>
      </c>
      <c r="AN490" s="12">
        <f t="shared" si="30"/>
        <v>448000</v>
      </c>
      <c r="AO490" s="1"/>
    </row>
    <row r="491" spans="1:41" ht="13.5" customHeight="1">
      <c r="A491" s="51" t="s">
        <v>62</v>
      </c>
      <c r="B491" s="35">
        <v>99</v>
      </c>
      <c r="C491" s="36" t="s">
        <v>310</v>
      </c>
      <c r="D491" s="36" t="s">
        <v>237</v>
      </c>
      <c r="E491" s="36" t="s">
        <v>168</v>
      </c>
      <c r="F491" s="35" t="s">
        <v>311</v>
      </c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37">
        <v>1</v>
      </c>
      <c r="W491" s="37">
        <v>1</v>
      </c>
      <c r="X491" s="37">
        <v>1</v>
      </c>
      <c r="Y491" s="37">
        <v>1</v>
      </c>
      <c r="Z491" s="37">
        <v>1</v>
      </c>
      <c r="AA491" s="37">
        <v>1</v>
      </c>
      <c r="AB491" s="37">
        <v>1</v>
      </c>
      <c r="AC491" s="37">
        <v>1</v>
      </c>
      <c r="AD491" s="37">
        <v>1</v>
      </c>
      <c r="AE491" s="37">
        <v>1</v>
      </c>
      <c r="AF491" s="37">
        <v>1</v>
      </c>
      <c r="AG491" s="37">
        <v>1</v>
      </c>
      <c r="AH491" s="37">
        <v>1</v>
      </c>
      <c r="AI491" s="37">
        <v>1</v>
      </c>
      <c r="AJ491" s="52"/>
      <c r="AK491" s="52"/>
      <c r="AL491" s="10">
        <f t="shared" si="29"/>
        <v>14</v>
      </c>
      <c r="AM491" s="12">
        <v>32000</v>
      </c>
      <c r="AN491" s="12">
        <f t="shared" si="30"/>
        <v>448000</v>
      </c>
      <c r="AO491" s="1"/>
    </row>
    <row r="492" spans="1:41" ht="13.5" customHeight="1">
      <c r="A492" s="51" t="s">
        <v>62</v>
      </c>
      <c r="B492" s="35">
        <v>100</v>
      </c>
      <c r="C492" s="36" t="s">
        <v>367</v>
      </c>
      <c r="D492" s="36" t="s">
        <v>510</v>
      </c>
      <c r="E492" s="36" t="s">
        <v>135</v>
      </c>
      <c r="F492" s="35" t="s">
        <v>370</v>
      </c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37">
        <v>1</v>
      </c>
      <c r="W492" s="37">
        <v>1</v>
      </c>
      <c r="X492" s="37">
        <v>1</v>
      </c>
      <c r="Y492" s="37">
        <v>1</v>
      </c>
      <c r="Z492" s="37">
        <v>1</v>
      </c>
      <c r="AA492" s="37">
        <v>1</v>
      </c>
      <c r="AB492" s="37">
        <v>1</v>
      </c>
      <c r="AC492" s="37">
        <v>1</v>
      </c>
      <c r="AD492" s="37">
        <v>1</v>
      </c>
      <c r="AE492" s="37">
        <v>1</v>
      </c>
      <c r="AF492" s="37">
        <v>1</v>
      </c>
      <c r="AG492" s="37">
        <v>1</v>
      </c>
      <c r="AH492" s="37">
        <v>1</v>
      </c>
      <c r="AI492" s="37">
        <v>1</v>
      </c>
      <c r="AJ492" s="52"/>
      <c r="AK492" s="52"/>
      <c r="AL492" s="10">
        <f t="shared" si="29"/>
        <v>14</v>
      </c>
      <c r="AM492" s="12">
        <v>32000</v>
      </c>
      <c r="AN492" s="12">
        <f t="shared" si="30"/>
        <v>448000</v>
      </c>
      <c r="AO492" s="1"/>
    </row>
    <row r="493" spans="1:41" ht="13.5" customHeight="1">
      <c r="A493" s="51" t="s">
        <v>62</v>
      </c>
      <c r="B493" s="35">
        <v>100</v>
      </c>
      <c r="C493" s="36" t="s">
        <v>180</v>
      </c>
      <c r="D493" s="36" t="s">
        <v>145</v>
      </c>
      <c r="E493" s="36" t="s">
        <v>144</v>
      </c>
      <c r="F493" s="35" t="s">
        <v>369</v>
      </c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37">
        <v>1</v>
      </c>
      <c r="W493" s="37">
        <v>1</v>
      </c>
      <c r="X493" s="37">
        <v>1</v>
      </c>
      <c r="Y493" s="37">
        <v>1</v>
      </c>
      <c r="Z493" s="37">
        <v>1</v>
      </c>
      <c r="AA493" s="37">
        <v>1</v>
      </c>
      <c r="AB493" s="37">
        <v>1</v>
      </c>
      <c r="AC493" s="37">
        <v>1</v>
      </c>
      <c r="AD493" s="37">
        <v>1</v>
      </c>
      <c r="AE493" s="37">
        <v>1</v>
      </c>
      <c r="AF493" s="37">
        <v>1</v>
      </c>
      <c r="AG493" s="37">
        <v>1</v>
      </c>
      <c r="AH493" s="37">
        <v>1</v>
      </c>
      <c r="AI493" s="37">
        <v>1</v>
      </c>
      <c r="AJ493" s="52"/>
      <c r="AK493" s="52"/>
      <c r="AL493" s="10">
        <f t="shared" si="29"/>
        <v>14</v>
      </c>
      <c r="AM493" s="12">
        <v>32000</v>
      </c>
      <c r="AN493" s="12">
        <f t="shared" si="30"/>
        <v>448000</v>
      </c>
      <c r="AO493" s="1"/>
    </row>
    <row r="494" spans="1:41" ht="13.5" customHeight="1">
      <c r="A494" s="51" t="s">
        <v>62</v>
      </c>
      <c r="B494" s="35">
        <v>101</v>
      </c>
      <c r="C494" s="36" t="s">
        <v>213</v>
      </c>
      <c r="D494" s="36" t="s">
        <v>170</v>
      </c>
      <c r="E494" s="36" t="s">
        <v>104</v>
      </c>
      <c r="F494" s="35" t="s">
        <v>214</v>
      </c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37">
        <v>1</v>
      </c>
      <c r="W494" s="37">
        <v>1</v>
      </c>
      <c r="X494" s="37">
        <v>1</v>
      </c>
      <c r="Y494" s="37">
        <v>1</v>
      </c>
      <c r="Z494" s="37">
        <v>1</v>
      </c>
      <c r="AA494" s="37">
        <v>1</v>
      </c>
      <c r="AB494" s="37">
        <v>1</v>
      </c>
      <c r="AC494" s="37">
        <v>1</v>
      </c>
      <c r="AD494" s="37">
        <v>1</v>
      </c>
      <c r="AE494" s="37">
        <v>1</v>
      </c>
      <c r="AF494" s="37">
        <v>1</v>
      </c>
      <c r="AG494" s="37">
        <v>1</v>
      </c>
      <c r="AH494" s="37">
        <v>1</v>
      </c>
      <c r="AI494" s="37">
        <v>1</v>
      </c>
      <c r="AJ494" s="52"/>
      <c r="AK494" s="52"/>
      <c r="AL494" s="10">
        <f t="shared" si="29"/>
        <v>14</v>
      </c>
      <c r="AM494" s="12">
        <v>32000</v>
      </c>
      <c r="AN494" s="12">
        <f t="shared" si="30"/>
        <v>448000</v>
      </c>
      <c r="AO494" s="1"/>
    </row>
    <row r="495" spans="1:41" ht="13.5" customHeight="1">
      <c r="A495" s="51" t="s">
        <v>62</v>
      </c>
      <c r="B495" s="35">
        <v>101</v>
      </c>
      <c r="C495" s="36" t="s">
        <v>215</v>
      </c>
      <c r="D495" s="36" t="s">
        <v>511</v>
      </c>
      <c r="E495" s="36" t="s">
        <v>15</v>
      </c>
      <c r="F495" s="35" t="s">
        <v>216</v>
      </c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37">
        <v>1</v>
      </c>
      <c r="W495" s="37">
        <v>1</v>
      </c>
      <c r="X495" s="37">
        <v>1</v>
      </c>
      <c r="Y495" s="37">
        <v>1</v>
      </c>
      <c r="Z495" s="37">
        <v>1</v>
      </c>
      <c r="AA495" s="37">
        <v>1</v>
      </c>
      <c r="AB495" s="37">
        <v>1</v>
      </c>
      <c r="AC495" s="37">
        <v>1</v>
      </c>
      <c r="AD495" s="37">
        <v>1</v>
      </c>
      <c r="AE495" s="37">
        <v>1</v>
      </c>
      <c r="AF495" s="37">
        <v>1</v>
      </c>
      <c r="AG495" s="37">
        <v>1</v>
      </c>
      <c r="AH495" s="37">
        <v>1</v>
      </c>
      <c r="AI495" s="37">
        <v>1</v>
      </c>
      <c r="AJ495" s="52"/>
      <c r="AK495" s="52"/>
      <c r="AL495" s="10">
        <f t="shared" si="29"/>
        <v>14</v>
      </c>
      <c r="AM495" s="12">
        <v>32000</v>
      </c>
      <c r="AN495" s="12">
        <f t="shared" si="30"/>
        <v>448000</v>
      </c>
      <c r="AO495" s="1"/>
    </row>
    <row r="496" spans="1:41" ht="13.5" customHeight="1">
      <c r="A496" s="51" t="s">
        <v>62</v>
      </c>
      <c r="B496" s="35">
        <v>103</v>
      </c>
      <c r="C496" s="36" t="s">
        <v>45</v>
      </c>
      <c r="D496" s="36" t="s">
        <v>289</v>
      </c>
      <c r="E496" s="36" t="s">
        <v>21</v>
      </c>
      <c r="F496" s="35" t="s">
        <v>290</v>
      </c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37">
        <v>1</v>
      </c>
      <c r="W496" s="37">
        <v>1</v>
      </c>
      <c r="X496" s="37">
        <v>1</v>
      </c>
      <c r="Y496" s="37">
        <v>1</v>
      </c>
      <c r="Z496" s="37">
        <v>1</v>
      </c>
      <c r="AA496" s="37">
        <v>1</v>
      </c>
      <c r="AB496" s="37">
        <v>1</v>
      </c>
      <c r="AC496" s="37">
        <v>1</v>
      </c>
      <c r="AD496" s="37">
        <v>1</v>
      </c>
      <c r="AE496" s="37">
        <v>1</v>
      </c>
      <c r="AF496" s="37">
        <v>1</v>
      </c>
      <c r="AG496" s="37">
        <v>1</v>
      </c>
      <c r="AH496" s="37">
        <v>1</v>
      </c>
      <c r="AI496" s="37">
        <v>1</v>
      </c>
      <c r="AJ496" s="52"/>
      <c r="AK496" s="52"/>
      <c r="AL496" s="10">
        <f t="shared" si="29"/>
        <v>14</v>
      </c>
      <c r="AM496" s="12">
        <v>32000</v>
      </c>
      <c r="AN496" s="12">
        <f t="shared" si="30"/>
        <v>448000</v>
      </c>
      <c r="AO496" s="1"/>
    </row>
    <row r="497" spans="1:41" ht="13.5" customHeight="1">
      <c r="A497" s="51" t="s">
        <v>62</v>
      </c>
      <c r="B497" s="35">
        <v>103</v>
      </c>
      <c r="C497" s="36" t="s">
        <v>224</v>
      </c>
      <c r="D497" s="36" t="s">
        <v>236</v>
      </c>
      <c r="E497" s="36" t="s">
        <v>24</v>
      </c>
      <c r="F497" s="35" t="s">
        <v>291</v>
      </c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37">
        <v>1</v>
      </c>
      <c r="W497" s="37">
        <v>1</v>
      </c>
      <c r="X497" s="37">
        <v>1</v>
      </c>
      <c r="Y497" s="37">
        <v>1</v>
      </c>
      <c r="Z497" s="37">
        <v>1</v>
      </c>
      <c r="AA497" s="37">
        <v>1</v>
      </c>
      <c r="AB497" s="37">
        <v>1</v>
      </c>
      <c r="AC497" s="37">
        <v>1</v>
      </c>
      <c r="AD497" s="37">
        <v>1</v>
      </c>
      <c r="AE497" s="37">
        <v>1</v>
      </c>
      <c r="AF497" s="37">
        <v>1</v>
      </c>
      <c r="AG497" s="37">
        <v>1</v>
      </c>
      <c r="AH497" s="37">
        <v>1</v>
      </c>
      <c r="AI497" s="37">
        <v>1</v>
      </c>
      <c r="AJ497" s="52"/>
      <c r="AK497" s="52"/>
      <c r="AL497" s="10">
        <f t="shared" si="29"/>
        <v>14</v>
      </c>
      <c r="AM497" s="12">
        <v>32000</v>
      </c>
      <c r="AN497" s="12">
        <f t="shared" si="30"/>
        <v>448000</v>
      </c>
      <c r="AO497" s="1"/>
    </row>
    <row r="498" spans="1:41" ht="13.5" customHeight="1">
      <c r="A498" s="51" t="s">
        <v>62</v>
      </c>
      <c r="B498" s="35">
        <v>109</v>
      </c>
      <c r="C498" s="36" t="s">
        <v>91</v>
      </c>
      <c r="D498" s="36" t="s">
        <v>17</v>
      </c>
      <c r="E498" s="36" t="s">
        <v>210</v>
      </c>
      <c r="F498" s="35" t="s">
        <v>211</v>
      </c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37">
        <v>1</v>
      </c>
      <c r="W498" s="37">
        <v>1</v>
      </c>
      <c r="X498" s="37">
        <v>1</v>
      </c>
      <c r="Y498" s="37">
        <v>1</v>
      </c>
      <c r="Z498" s="37">
        <v>1</v>
      </c>
      <c r="AA498" s="37">
        <v>1</v>
      </c>
      <c r="AB498" s="37">
        <v>1</v>
      </c>
      <c r="AC498" s="37">
        <v>1</v>
      </c>
      <c r="AD498" s="37">
        <v>1</v>
      </c>
      <c r="AE498" s="37">
        <v>1</v>
      </c>
      <c r="AF498" s="37">
        <v>1</v>
      </c>
      <c r="AG498" s="37">
        <v>1</v>
      </c>
      <c r="AH498" s="37">
        <v>1</v>
      </c>
      <c r="AI498" s="37">
        <v>1</v>
      </c>
      <c r="AJ498" s="52"/>
      <c r="AK498" s="52"/>
      <c r="AL498" s="10">
        <f t="shared" si="29"/>
        <v>14</v>
      </c>
      <c r="AM498" s="12">
        <v>32000</v>
      </c>
      <c r="AN498" s="12">
        <f t="shared" si="30"/>
        <v>448000</v>
      </c>
      <c r="AO498" s="1"/>
    </row>
    <row r="499" spans="1:41" ht="13.5" customHeight="1">
      <c r="A499" s="51" t="s">
        <v>62</v>
      </c>
      <c r="B499" s="35">
        <v>109</v>
      </c>
      <c r="C499" s="36" t="s">
        <v>273</v>
      </c>
      <c r="D499" s="36" t="s">
        <v>12</v>
      </c>
      <c r="E499" s="36" t="s">
        <v>506</v>
      </c>
      <c r="F499" s="35" t="s">
        <v>209</v>
      </c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37">
        <v>1</v>
      </c>
      <c r="W499" s="37">
        <v>1</v>
      </c>
      <c r="X499" s="37">
        <v>1</v>
      </c>
      <c r="Y499" s="37">
        <v>1</v>
      </c>
      <c r="Z499" s="37">
        <v>1</v>
      </c>
      <c r="AA499" s="37">
        <v>1</v>
      </c>
      <c r="AB499" s="37">
        <v>1</v>
      </c>
      <c r="AC499" s="37">
        <v>1</v>
      </c>
      <c r="AD499" s="37">
        <v>1</v>
      </c>
      <c r="AE499" s="37">
        <v>1</v>
      </c>
      <c r="AF499" s="37">
        <v>1</v>
      </c>
      <c r="AG499" s="37">
        <v>1</v>
      </c>
      <c r="AH499" s="37">
        <v>1</v>
      </c>
      <c r="AI499" s="37">
        <v>1</v>
      </c>
      <c r="AJ499" s="52"/>
      <c r="AK499" s="52"/>
      <c r="AL499" s="10">
        <f t="shared" si="29"/>
        <v>14</v>
      </c>
      <c r="AM499" s="12">
        <v>32000</v>
      </c>
      <c r="AN499" s="12">
        <f t="shared" si="30"/>
        <v>448000</v>
      </c>
      <c r="AO499" s="1"/>
    </row>
    <row r="500" spans="1:41" ht="13.5" customHeight="1">
      <c r="A500" s="51" t="s">
        <v>62</v>
      </c>
      <c r="B500" s="35">
        <v>111</v>
      </c>
      <c r="C500" s="36" t="s">
        <v>23</v>
      </c>
      <c r="D500" s="36" t="s">
        <v>63</v>
      </c>
      <c r="E500" s="36" t="s">
        <v>160</v>
      </c>
      <c r="F500" s="35" t="s">
        <v>65</v>
      </c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37">
        <v>1</v>
      </c>
      <c r="W500" s="37">
        <v>1</v>
      </c>
      <c r="X500" s="37">
        <v>1</v>
      </c>
      <c r="Y500" s="37">
        <v>1</v>
      </c>
      <c r="Z500" s="37">
        <v>1</v>
      </c>
      <c r="AA500" s="37">
        <v>1</v>
      </c>
      <c r="AB500" s="37">
        <v>1</v>
      </c>
      <c r="AC500" s="37">
        <v>1</v>
      </c>
      <c r="AD500" s="37">
        <v>1</v>
      </c>
      <c r="AE500" s="37">
        <v>1</v>
      </c>
      <c r="AF500" s="37">
        <v>1</v>
      </c>
      <c r="AG500" s="37">
        <v>1</v>
      </c>
      <c r="AH500" s="37">
        <v>1</v>
      </c>
      <c r="AI500" s="37">
        <v>1</v>
      </c>
      <c r="AJ500" s="52"/>
      <c r="AK500" s="52"/>
      <c r="AL500" s="10">
        <f t="shared" si="29"/>
        <v>14</v>
      </c>
      <c r="AM500" s="12">
        <v>32000</v>
      </c>
      <c r="AN500" s="12">
        <f t="shared" si="30"/>
        <v>448000</v>
      </c>
      <c r="AO500" s="1"/>
    </row>
    <row r="501" spans="1:41" ht="13.5" customHeight="1">
      <c r="A501" s="51" t="s">
        <v>62</v>
      </c>
      <c r="B501" s="35">
        <v>111</v>
      </c>
      <c r="C501" s="36" t="s">
        <v>310</v>
      </c>
      <c r="D501" s="36" t="s">
        <v>237</v>
      </c>
      <c r="E501" s="36" t="s">
        <v>140</v>
      </c>
      <c r="F501" s="35" t="s">
        <v>336</v>
      </c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37">
        <v>1</v>
      </c>
      <c r="W501" s="37">
        <v>1</v>
      </c>
      <c r="X501" s="37">
        <v>1</v>
      </c>
      <c r="Y501" s="37">
        <v>1</v>
      </c>
      <c r="Z501" s="37">
        <v>1</v>
      </c>
      <c r="AA501" s="37">
        <v>1</v>
      </c>
      <c r="AB501" s="37">
        <v>1</v>
      </c>
      <c r="AC501" s="37">
        <v>1</v>
      </c>
      <c r="AD501" s="37">
        <v>1</v>
      </c>
      <c r="AE501" s="37">
        <v>1</v>
      </c>
      <c r="AF501" s="37">
        <v>1</v>
      </c>
      <c r="AG501" s="37">
        <v>1</v>
      </c>
      <c r="AH501" s="37">
        <v>1</v>
      </c>
      <c r="AI501" s="37">
        <v>1</v>
      </c>
      <c r="AJ501" s="52"/>
      <c r="AK501" s="52"/>
      <c r="AL501" s="10">
        <f t="shared" si="29"/>
        <v>14</v>
      </c>
      <c r="AM501" s="12">
        <v>32000</v>
      </c>
      <c r="AN501" s="12">
        <f t="shared" si="30"/>
        <v>448000</v>
      </c>
      <c r="AO501" s="1"/>
    </row>
    <row r="502" spans="1:41" ht="13.5" customHeight="1">
      <c r="A502" s="51" t="s">
        <v>62</v>
      </c>
      <c r="B502" s="35">
        <v>119</v>
      </c>
      <c r="C502" s="36" t="s">
        <v>206</v>
      </c>
      <c r="D502" s="36" t="s">
        <v>206</v>
      </c>
      <c r="E502" s="36" t="s">
        <v>207</v>
      </c>
      <c r="F502" s="35" t="s">
        <v>208</v>
      </c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37">
        <v>1</v>
      </c>
      <c r="W502" s="37">
        <v>1</v>
      </c>
      <c r="X502" s="37">
        <v>1</v>
      </c>
      <c r="Y502" s="37">
        <v>1</v>
      </c>
      <c r="Z502" s="37">
        <v>1</v>
      </c>
      <c r="AA502" s="37">
        <v>1</v>
      </c>
      <c r="AB502" s="37">
        <v>1</v>
      </c>
      <c r="AC502" s="37">
        <v>1</v>
      </c>
      <c r="AD502" s="37">
        <v>1</v>
      </c>
      <c r="AE502" s="37">
        <v>1</v>
      </c>
      <c r="AF502" s="37">
        <v>1</v>
      </c>
      <c r="AG502" s="37">
        <v>1</v>
      </c>
      <c r="AH502" s="37">
        <v>1</v>
      </c>
      <c r="AI502" s="37">
        <v>1</v>
      </c>
      <c r="AJ502" s="52"/>
      <c r="AK502" s="52"/>
      <c r="AL502" s="10">
        <f t="shared" si="29"/>
        <v>14</v>
      </c>
      <c r="AM502" s="12">
        <v>32000</v>
      </c>
      <c r="AN502" s="12">
        <f t="shared" si="30"/>
        <v>448000</v>
      </c>
      <c r="AO502" s="1"/>
    </row>
    <row r="503" spans="1:41" ht="13.5" customHeight="1">
      <c r="A503" s="51" t="s">
        <v>62</v>
      </c>
      <c r="B503" s="35">
        <v>119</v>
      </c>
      <c r="C503" s="36" t="s">
        <v>170</v>
      </c>
      <c r="D503" s="36" t="s">
        <v>12</v>
      </c>
      <c r="E503" s="36" t="s">
        <v>15</v>
      </c>
      <c r="F503" s="35" t="s">
        <v>212</v>
      </c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37">
        <v>1</v>
      </c>
      <c r="W503" s="37">
        <v>1</v>
      </c>
      <c r="X503" s="37">
        <v>1</v>
      </c>
      <c r="Y503" s="37">
        <v>1</v>
      </c>
      <c r="Z503" s="37">
        <v>1</v>
      </c>
      <c r="AA503" s="37">
        <v>1</v>
      </c>
      <c r="AB503" s="37">
        <v>1</v>
      </c>
      <c r="AC503" s="37">
        <v>1</v>
      </c>
      <c r="AD503" s="37">
        <v>1</v>
      </c>
      <c r="AE503" s="37">
        <v>1</v>
      </c>
      <c r="AF503" s="37">
        <v>1</v>
      </c>
      <c r="AG503" s="37">
        <v>1</v>
      </c>
      <c r="AH503" s="37">
        <v>1</v>
      </c>
      <c r="AI503" s="37">
        <v>1</v>
      </c>
      <c r="AJ503" s="52"/>
      <c r="AK503" s="52"/>
      <c r="AL503" s="10">
        <f t="shared" si="29"/>
        <v>14</v>
      </c>
      <c r="AM503" s="12">
        <v>32000</v>
      </c>
      <c r="AN503" s="12">
        <f t="shared" si="30"/>
        <v>448000</v>
      </c>
      <c r="AO503" s="1"/>
    </row>
    <row r="504" spans="1:41" ht="13.5" customHeight="1">
      <c r="A504" s="51" t="s">
        <v>62</v>
      </c>
      <c r="B504" s="35">
        <v>120</v>
      </c>
      <c r="C504" s="36" t="s">
        <v>221</v>
      </c>
      <c r="D504" s="36" t="s">
        <v>711</v>
      </c>
      <c r="E504" s="36" t="s">
        <v>538</v>
      </c>
      <c r="F504" s="35" t="s">
        <v>952</v>
      </c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37">
        <v>1</v>
      </c>
      <c r="W504" s="37">
        <v>1</v>
      </c>
      <c r="X504" s="37">
        <v>1</v>
      </c>
      <c r="Y504" s="37">
        <v>1</v>
      </c>
      <c r="Z504" s="37">
        <v>1</v>
      </c>
      <c r="AA504" s="37">
        <v>1</v>
      </c>
      <c r="AB504" s="37">
        <v>1</v>
      </c>
      <c r="AC504" s="37">
        <v>1</v>
      </c>
      <c r="AD504" s="37">
        <v>1</v>
      </c>
      <c r="AE504" s="37">
        <v>1</v>
      </c>
      <c r="AF504" s="37">
        <v>1</v>
      </c>
      <c r="AG504" s="37">
        <v>1</v>
      </c>
      <c r="AH504" s="37">
        <v>1</v>
      </c>
      <c r="AI504" s="37">
        <v>1</v>
      </c>
      <c r="AJ504" s="52"/>
      <c r="AK504" s="52"/>
      <c r="AL504" s="10">
        <f t="shared" si="29"/>
        <v>14</v>
      </c>
      <c r="AM504" s="12">
        <v>32000</v>
      </c>
      <c r="AN504" s="12">
        <f t="shared" si="30"/>
        <v>448000</v>
      </c>
      <c r="AO504" s="1"/>
    </row>
    <row r="505" spans="1:41" ht="13.5" customHeight="1">
      <c r="A505" s="51" t="s">
        <v>62</v>
      </c>
      <c r="B505" s="35">
        <v>120</v>
      </c>
      <c r="C505" s="36" t="s">
        <v>88</v>
      </c>
      <c r="D505" s="36" t="s">
        <v>891</v>
      </c>
      <c r="E505" s="36" t="s">
        <v>140</v>
      </c>
      <c r="F505" s="35" t="s">
        <v>953</v>
      </c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37">
        <v>1</v>
      </c>
      <c r="W505" s="37">
        <v>1</v>
      </c>
      <c r="X505" s="37">
        <v>1</v>
      </c>
      <c r="Y505" s="37">
        <v>1</v>
      </c>
      <c r="Z505" s="37">
        <v>1</v>
      </c>
      <c r="AA505" s="37">
        <v>1</v>
      </c>
      <c r="AB505" s="37">
        <v>1</v>
      </c>
      <c r="AC505" s="37">
        <v>1</v>
      </c>
      <c r="AD505" s="37">
        <v>1</v>
      </c>
      <c r="AE505" s="37">
        <v>1</v>
      </c>
      <c r="AF505" s="37">
        <v>1</v>
      </c>
      <c r="AG505" s="37">
        <v>1</v>
      </c>
      <c r="AH505" s="37">
        <v>1</v>
      </c>
      <c r="AI505" s="37">
        <v>1</v>
      </c>
      <c r="AJ505" s="52"/>
      <c r="AK505" s="52"/>
      <c r="AL505" s="10">
        <f t="shared" si="29"/>
        <v>14</v>
      </c>
      <c r="AM505" s="12">
        <v>32000</v>
      </c>
      <c r="AN505" s="12">
        <f t="shared" si="30"/>
        <v>448000</v>
      </c>
      <c r="AO505" s="1"/>
    </row>
    <row r="506" spans="1:41" ht="13.5" customHeight="1">
      <c r="A506" s="51" t="s">
        <v>62</v>
      </c>
      <c r="B506" s="35">
        <v>77</v>
      </c>
      <c r="C506" s="36" t="s">
        <v>297</v>
      </c>
      <c r="D506" s="36" t="s">
        <v>10</v>
      </c>
      <c r="E506" s="36" t="s">
        <v>977</v>
      </c>
      <c r="F506" s="35" t="s">
        <v>982</v>
      </c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37">
        <v>1</v>
      </c>
      <c r="W506" s="37">
        <v>1</v>
      </c>
      <c r="X506" s="37">
        <v>1</v>
      </c>
      <c r="Y506" s="37">
        <v>1</v>
      </c>
      <c r="Z506" s="37">
        <v>1</v>
      </c>
      <c r="AA506" s="37">
        <v>1</v>
      </c>
      <c r="AB506" s="37">
        <v>1</v>
      </c>
      <c r="AC506" s="37">
        <v>1</v>
      </c>
      <c r="AD506" s="37">
        <v>1</v>
      </c>
      <c r="AE506" s="37">
        <v>1</v>
      </c>
      <c r="AF506" s="37">
        <v>1</v>
      </c>
      <c r="AG506" s="37">
        <v>1</v>
      </c>
      <c r="AH506" s="37">
        <v>1</v>
      </c>
      <c r="AI506" s="37">
        <v>1</v>
      </c>
      <c r="AJ506" s="52"/>
      <c r="AK506" s="52"/>
      <c r="AL506" s="10">
        <f t="shared" ref="AL506:AL510" si="31">SUM(G506:AK506)</f>
        <v>14</v>
      </c>
      <c r="AM506" s="12">
        <v>32000</v>
      </c>
      <c r="AN506" s="12">
        <f t="shared" ref="AN506:AN510" si="32">AM506*AL506</f>
        <v>448000</v>
      </c>
      <c r="AO506" s="1"/>
    </row>
    <row r="507" spans="1:41" ht="13.5" customHeight="1">
      <c r="A507" s="51" t="s">
        <v>62</v>
      </c>
      <c r="B507" s="35">
        <v>18</v>
      </c>
      <c r="C507" s="36" t="s">
        <v>632</v>
      </c>
      <c r="D507" s="36" t="s">
        <v>632</v>
      </c>
      <c r="E507" s="36" t="s">
        <v>196</v>
      </c>
      <c r="F507" s="35" t="s">
        <v>981</v>
      </c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37">
        <v>1</v>
      </c>
      <c r="W507" s="37">
        <v>1</v>
      </c>
      <c r="X507" s="37">
        <v>1</v>
      </c>
      <c r="Y507" s="37">
        <v>1</v>
      </c>
      <c r="Z507" s="37">
        <v>1</v>
      </c>
      <c r="AA507" s="37">
        <v>1</v>
      </c>
      <c r="AB507" s="37">
        <v>1</v>
      </c>
      <c r="AC507" s="37">
        <v>1</v>
      </c>
      <c r="AD507" s="37">
        <v>1</v>
      </c>
      <c r="AE507" s="37">
        <v>1</v>
      </c>
      <c r="AF507" s="37">
        <v>1</v>
      </c>
      <c r="AG507" s="37">
        <v>1</v>
      </c>
      <c r="AH507" s="37">
        <v>1</v>
      </c>
      <c r="AI507" s="37">
        <v>1</v>
      </c>
      <c r="AJ507" s="52"/>
      <c r="AK507" s="52"/>
      <c r="AL507" s="10">
        <f t="shared" si="31"/>
        <v>14</v>
      </c>
      <c r="AM507" s="12">
        <v>32000</v>
      </c>
      <c r="AN507" s="12">
        <f t="shared" si="32"/>
        <v>448000</v>
      </c>
      <c r="AO507" s="1"/>
    </row>
    <row r="508" spans="1:41" ht="13.5" customHeight="1">
      <c r="A508" s="51" t="s">
        <v>62</v>
      </c>
      <c r="B508" s="35">
        <v>18</v>
      </c>
      <c r="C508" s="36" t="s">
        <v>700</v>
      </c>
      <c r="D508" s="36" t="s">
        <v>700</v>
      </c>
      <c r="E508" s="36" t="s">
        <v>978</v>
      </c>
      <c r="F508" s="35" t="s">
        <v>980</v>
      </c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37">
        <v>1</v>
      </c>
      <c r="W508" s="37">
        <v>1</v>
      </c>
      <c r="X508" s="37">
        <v>1</v>
      </c>
      <c r="Y508" s="37">
        <v>1</v>
      </c>
      <c r="Z508" s="37">
        <v>1</v>
      </c>
      <c r="AA508" s="37">
        <v>1</v>
      </c>
      <c r="AB508" s="37">
        <v>1</v>
      </c>
      <c r="AC508" s="37">
        <v>1</v>
      </c>
      <c r="AD508" s="37">
        <v>1</v>
      </c>
      <c r="AE508" s="37">
        <v>1</v>
      </c>
      <c r="AF508" s="37">
        <v>1</v>
      </c>
      <c r="AG508" s="37">
        <v>1</v>
      </c>
      <c r="AH508" s="37">
        <v>1</v>
      </c>
      <c r="AI508" s="37">
        <v>1</v>
      </c>
      <c r="AJ508" s="52"/>
      <c r="AK508" s="52"/>
      <c r="AL508" s="10">
        <f t="shared" si="31"/>
        <v>14</v>
      </c>
      <c r="AM508" s="12">
        <v>32000</v>
      </c>
      <c r="AN508" s="12">
        <f t="shared" si="32"/>
        <v>448000</v>
      </c>
      <c r="AO508" s="1"/>
    </row>
    <row r="509" spans="1:41" ht="13.5" customHeight="1">
      <c r="A509" s="51" t="s">
        <v>62</v>
      </c>
      <c r="B509" s="35">
        <v>23</v>
      </c>
      <c r="C509" s="36" t="s">
        <v>66</v>
      </c>
      <c r="D509" s="36" t="s">
        <v>122</v>
      </c>
      <c r="E509" s="36" t="s">
        <v>155</v>
      </c>
      <c r="F509" s="35" t="s">
        <v>979</v>
      </c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37">
        <v>1</v>
      </c>
      <c r="W509" s="37">
        <v>1</v>
      </c>
      <c r="X509" s="37">
        <v>1</v>
      </c>
      <c r="Y509" s="37">
        <v>1</v>
      </c>
      <c r="Z509" s="37">
        <v>1</v>
      </c>
      <c r="AA509" s="37">
        <v>1</v>
      </c>
      <c r="AB509" s="37">
        <v>1</v>
      </c>
      <c r="AC509" s="37">
        <v>1</v>
      </c>
      <c r="AD509" s="37">
        <v>1</v>
      </c>
      <c r="AE509" s="37">
        <v>1</v>
      </c>
      <c r="AF509" s="37">
        <v>1</v>
      </c>
      <c r="AG509" s="37">
        <v>1</v>
      </c>
      <c r="AH509" s="37">
        <v>1</v>
      </c>
      <c r="AI509" s="37">
        <v>1</v>
      </c>
      <c r="AJ509" s="52"/>
      <c r="AK509" s="52"/>
      <c r="AL509" s="10">
        <f t="shared" si="31"/>
        <v>14</v>
      </c>
      <c r="AM509" s="12">
        <v>32000</v>
      </c>
      <c r="AN509" s="12">
        <f t="shared" si="32"/>
        <v>448000</v>
      </c>
      <c r="AO509" s="1"/>
    </row>
    <row r="510" spans="1:41" ht="13.5" customHeight="1">
      <c r="A510" s="51" t="s">
        <v>62</v>
      </c>
      <c r="B510" s="35" t="s">
        <v>956</v>
      </c>
      <c r="C510" s="36" t="s">
        <v>142</v>
      </c>
      <c r="D510" s="36" t="s">
        <v>174</v>
      </c>
      <c r="E510" s="36" t="s">
        <v>175</v>
      </c>
      <c r="F510" s="35" t="s">
        <v>177</v>
      </c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37">
        <v>1</v>
      </c>
      <c r="W510" s="37">
        <v>1</v>
      </c>
      <c r="X510" s="37">
        <v>1</v>
      </c>
      <c r="Y510" s="37">
        <v>1</v>
      </c>
      <c r="Z510" s="37">
        <v>1</v>
      </c>
      <c r="AA510" s="37">
        <v>1</v>
      </c>
      <c r="AB510" s="37">
        <v>1</v>
      </c>
      <c r="AC510" s="37">
        <v>1</v>
      </c>
      <c r="AD510" s="37">
        <v>1</v>
      </c>
      <c r="AE510" s="37">
        <v>1</v>
      </c>
      <c r="AF510" s="37">
        <v>1</v>
      </c>
      <c r="AG510" s="37">
        <v>1</v>
      </c>
      <c r="AH510" s="37">
        <v>1</v>
      </c>
      <c r="AI510" s="37">
        <v>1</v>
      </c>
      <c r="AJ510" s="52"/>
      <c r="AK510" s="52"/>
      <c r="AL510" s="10">
        <f t="shared" si="31"/>
        <v>14</v>
      </c>
      <c r="AM510" s="12">
        <v>32000</v>
      </c>
      <c r="AN510" s="12">
        <f t="shared" si="32"/>
        <v>448000</v>
      </c>
      <c r="AO510" s="1"/>
    </row>
    <row r="511" spans="1:41" ht="13.5" customHeight="1">
      <c r="A511" s="51" t="s">
        <v>62</v>
      </c>
      <c r="B511" s="35" t="s">
        <v>956</v>
      </c>
      <c r="C511" s="36" t="s">
        <v>171</v>
      </c>
      <c r="D511" s="36" t="s">
        <v>152</v>
      </c>
      <c r="E511" s="36" t="s">
        <v>37</v>
      </c>
      <c r="F511" s="35" t="s">
        <v>346</v>
      </c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37">
        <v>1</v>
      </c>
      <c r="W511" s="37">
        <v>1</v>
      </c>
      <c r="X511" s="37">
        <v>1</v>
      </c>
      <c r="Y511" s="37">
        <v>1</v>
      </c>
      <c r="Z511" s="37">
        <v>1</v>
      </c>
      <c r="AA511" s="37">
        <v>1</v>
      </c>
      <c r="AB511" s="37">
        <v>1</v>
      </c>
      <c r="AC511" s="37">
        <v>1</v>
      </c>
      <c r="AD511" s="37">
        <v>1</v>
      </c>
      <c r="AE511" s="37">
        <v>1</v>
      </c>
      <c r="AF511" s="37">
        <v>1</v>
      </c>
      <c r="AG511" s="37">
        <v>1</v>
      </c>
      <c r="AH511" s="37">
        <v>1</v>
      </c>
      <c r="AI511" s="37">
        <v>1</v>
      </c>
      <c r="AJ511" s="52"/>
      <c r="AK511" s="52"/>
      <c r="AL511" s="10">
        <f t="shared" ref="AL511:AL534" si="33">SUM(G511:AK511)</f>
        <v>14</v>
      </c>
      <c r="AM511" s="12">
        <v>32000</v>
      </c>
      <c r="AN511" s="12">
        <f t="shared" ref="AN511:AN534" si="34">AM511*AL511</f>
        <v>448000</v>
      </c>
      <c r="AO511" s="1"/>
    </row>
    <row r="512" spans="1:41" ht="13.5" customHeight="1">
      <c r="A512" s="51" t="s">
        <v>62</v>
      </c>
      <c r="B512" s="35" t="s">
        <v>552</v>
      </c>
      <c r="C512" s="36" t="s">
        <v>158</v>
      </c>
      <c r="D512" s="36" t="s">
        <v>364</v>
      </c>
      <c r="E512" s="36" t="s">
        <v>37</v>
      </c>
      <c r="F512" s="35" t="s">
        <v>348</v>
      </c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37">
        <v>1</v>
      </c>
      <c r="W512" s="37">
        <v>1</v>
      </c>
      <c r="X512" s="37">
        <v>1</v>
      </c>
      <c r="Y512" s="37">
        <v>1</v>
      </c>
      <c r="Z512" s="37">
        <v>1</v>
      </c>
      <c r="AA512" s="37">
        <v>1</v>
      </c>
      <c r="AB512" s="37">
        <v>1</v>
      </c>
      <c r="AC512" s="37">
        <v>1</v>
      </c>
      <c r="AD512" s="37">
        <v>1</v>
      </c>
      <c r="AE512" s="37">
        <v>1</v>
      </c>
      <c r="AF512" s="37">
        <v>1</v>
      </c>
      <c r="AG512" s="37">
        <v>1</v>
      </c>
      <c r="AH512" s="37">
        <v>1</v>
      </c>
      <c r="AI512" s="37">
        <v>1</v>
      </c>
      <c r="AJ512" s="52"/>
      <c r="AK512" s="52"/>
      <c r="AL512" s="10">
        <f t="shared" si="33"/>
        <v>14</v>
      </c>
      <c r="AM512" s="12">
        <v>32000</v>
      </c>
      <c r="AN512" s="12">
        <f t="shared" si="34"/>
        <v>448000</v>
      </c>
      <c r="AO512" s="1"/>
    </row>
    <row r="513" spans="1:41" ht="13.5" customHeight="1">
      <c r="A513" s="51" t="s">
        <v>62</v>
      </c>
      <c r="B513" s="35" t="s">
        <v>552</v>
      </c>
      <c r="C513" s="36" t="s">
        <v>365</v>
      </c>
      <c r="D513" s="36" t="s">
        <v>366</v>
      </c>
      <c r="E513" s="36" t="s">
        <v>507</v>
      </c>
      <c r="F513" s="35" t="s">
        <v>351</v>
      </c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37">
        <v>1</v>
      </c>
      <c r="W513" s="37">
        <v>1</v>
      </c>
      <c r="X513" s="37">
        <v>1</v>
      </c>
      <c r="Y513" s="37">
        <v>1</v>
      </c>
      <c r="Z513" s="37">
        <v>1</v>
      </c>
      <c r="AA513" s="37">
        <v>1</v>
      </c>
      <c r="AB513" s="37">
        <v>1</v>
      </c>
      <c r="AC513" s="37">
        <v>1</v>
      </c>
      <c r="AD513" s="37">
        <v>1</v>
      </c>
      <c r="AE513" s="37">
        <v>1</v>
      </c>
      <c r="AF513" s="37">
        <v>1</v>
      </c>
      <c r="AG513" s="37">
        <v>1</v>
      </c>
      <c r="AH513" s="37">
        <v>1</v>
      </c>
      <c r="AI513" s="37">
        <v>1</v>
      </c>
      <c r="AJ513" s="52"/>
      <c r="AK513" s="52"/>
      <c r="AL513" s="10">
        <f t="shared" si="33"/>
        <v>14</v>
      </c>
      <c r="AM513" s="12">
        <v>32000</v>
      </c>
      <c r="AN513" s="12">
        <f t="shared" si="34"/>
        <v>448000</v>
      </c>
      <c r="AO513" s="1"/>
    </row>
    <row r="514" spans="1:41" ht="13.5" customHeight="1">
      <c r="A514" s="51" t="s">
        <v>62</v>
      </c>
      <c r="B514" s="35" t="s">
        <v>852</v>
      </c>
      <c r="C514" s="36" t="s">
        <v>779</v>
      </c>
      <c r="D514" s="36" t="s">
        <v>136</v>
      </c>
      <c r="E514" s="36" t="s">
        <v>9</v>
      </c>
      <c r="F514" s="35" t="s">
        <v>853</v>
      </c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37">
        <v>1</v>
      </c>
      <c r="W514" s="37">
        <v>1</v>
      </c>
      <c r="X514" s="37">
        <v>1</v>
      </c>
      <c r="Y514" s="37">
        <v>1</v>
      </c>
      <c r="Z514" s="37">
        <v>1</v>
      </c>
      <c r="AA514" s="37">
        <v>1</v>
      </c>
      <c r="AB514" s="37">
        <v>1</v>
      </c>
      <c r="AC514" s="37">
        <v>1</v>
      </c>
      <c r="AD514" s="37">
        <v>1</v>
      </c>
      <c r="AE514" s="37">
        <v>1</v>
      </c>
      <c r="AF514" s="37">
        <v>1</v>
      </c>
      <c r="AG514" s="37">
        <v>1</v>
      </c>
      <c r="AH514" s="37">
        <v>1</v>
      </c>
      <c r="AI514" s="37">
        <v>1</v>
      </c>
      <c r="AJ514" s="52"/>
      <c r="AK514" s="52"/>
      <c r="AL514" s="10">
        <f t="shared" si="33"/>
        <v>14</v>
      </c>
      <c r="AM514" s="12">
        <v>32000</v>
      </c>
      <c r="AN514" s="12">
        <f t="shared" si="34"/>
        <v>448000</v>
      </c>
      <c r="AO514" s="1"/>
    </row>
    <row r="515" spans="1:41" ht="13.5" customHeight="1">
      <c r="A515" s="51" t="s">
        <v>62</v>
      </c>
      <c r="B515" s="35" t="s">
        <v>852</v>
      </c>
      <c r="C515" s="36" t="s">
        <v>854</v>
      </c>
      <c r="D515" s="36" t="s">
        <v>855</v>
      </c>
      <c r="E515" s="36" t="s">
        <v>25</v>
      </c>
      <c r="F515" s="35" t="s">
        <v>856</v>
      </c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37">
        <v>1</v>
      </c>
      <c r="W515" s="37">
        <v>1</v>
      </c>
      <c r="X515" s="37">
        <v>1</v>
      </c>
      <c r="Y515" s="37">
        <v>1</v>
      </c>
      <c r="Z515" s="37">
        <v>1</v>
      </c>
      <c r="AA515" s="37">
        <v>1</v>
      </c>
      <c r="AB515" s="37">
        <v>1</v>
      </c>
      <c r="AC515" s="37">
        <v>1</v>
      </c>
      <c r="AD515" s="37">
        <v>1</v>
      </c>
      <c r="AE515" s="37">
        <v>1</v>
      </c>
      <c r="AF515" s="37">
        <v>1</v>
      </c>
      <c r="AG515" s="37">
        <v>1</v>
      </c>
      <c r="AH515" s="37">
        <v>1</v>
      </c>
      <c r="AI515" s="37">
        <v>1</v>
      </c>
      <c r="AJ515" s="52"/>
      <c r="AK515" s="52"/>
      <c r="AL515" s="10">
        <f t="shared" si="33"/>
        <v>14</v>
      </c>
      <c r="AM515" s="12">
        <v>32000</v>
      </c>
      <c r="AN515" s="12">
        <f t="shared" si="34"/>
        <v>448000</v>
      </c>
      <c r="AO515" s="1"/>
    </row>
    <row r="516" spans="1:41" ht="13.5" customHeight="1">
      <c r="A516" s="51" t="s">
        <v>62</v>
      </c>
      <c r="B516" s="35" t="s">
        <v>975</v>
      </c>
      <c r="C516" s="36" t="s">
        <v>293</v>
      </c>
      <c r="D516" s="36" t="s">
        <v>973</v>
      </c>
      <c r="E516" s="36" t="s">
        <v>37</v>
      </c>
      <c r="F516" s="35" t="s">
        <v>974</v>
      </c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37">
        <v>1</v>
      </c>
      <c r="W516" s="37">
        <v>1</v>
      </c>
      <c r="X516" s="37">
        <v>1</v>
      </c>
      <c r="Y516" s="37">
        <v>1</v>
      </c>
      <c r="Z516" s="37">
        <v>1</v>
      </c>
      <c r="AA516" s="37">
        <v>1</v>
      </c>
      <c r="AB516" s="37">
        <v>1</v>
      </c>
      <c r="AC516" s="37">
        <v>1</v>
      </c>
      <c r="AD516" s="37">
        <v>1</v>
      </c>
      <c r="AE516" s="37">
        <v>1</v>
      </c>
      <c r="AF516" s="37">
        <v>1</v>
      </c>
      <c r="AG516" s="37">
        <v>1</v>
      </c>
      <c r="AH516" s="37">
        <v>1</v>
      </c>
      <c r="AI516" s="37">
        <v>1</v>
      </c>
      <c r="AJ516" s="52"/>
      <c r="AK516" s="52"/>
      <c r="AL516" s="10">
        <f t="shared" si="33"/>
        <v>14</v>
      </c>
      <c r="AM516" s="12">
        <v>32000</v>
      </c>
      <c r="AN516" s="12">
        <f t="shared" si="34"/>
        <v>448000</v>
      </c>
      <c r="AO516" s="1"/>
    </row>
    <row r="517" spans="1:41" ht="13.5" customHeight="1">
      <c r="A517" s="51" t="s">
        <v>62</v>
      </c>
      <c r="B517" s="35" t="s">
        <v>975</v>
      </c>
      <c r="C517" s="36" t="s">
        <v>514</v>
      </c>
      <c r="D517" s="36" t="s">
        <v>358</v>
      </c>
      <c r="E517" s="36" t="s">
        <v>357</v>
      </c>
      <c r="F517" s="35" t="s">
        <v>342</v>
      </c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37">
        <v>1</v>
      </c>
      <c r="W517" s="37">
        <v>1</v>
      </c>
      <c r="X517" s="37">
        <v>1</v>
      </c>
      <c r="Y517" s="37">
        <v>1</v>
      </c>
      <c r="Z517" s="37">
        <v>1</v>
      </c>
      <c r="AA517" s="37">
        <v>1</v>
      </c>
      <c r="AB517" s="37">
        <v>1</v>
      </c>
      <c r="AC517" s="37">
        <v>1</v>
      </c>
      <c r="AD517" s="37">
        <v>1</v>
      </c>
      <c r="AE517" s="37">
        <v>1</v>
      </c>
      <c r="AF517" s="37">
        <v>1</v>
      </c>
      <c r="AG517" s="37">
        <v>1</v>
      </c>
      <c r="AH517" s="37">
        <v>1</v>
      </c>
      <c r="AI517" s="37">
        <v>1</v>
      </c>
      <c r="AJ517" s="52"/>
      <c r="AK517" s="52"/>
      <c r="AL517" s="10">
        <f t="shared" si="33"/>
        <v>14</v>
      </c>
      <c r="AM517" s="12">
        <v>32000</v>
      </c>
      <c r="AN517" s="12">
        <f t="shared" si="34"/>
        <v>448000</v>
      </c>
      <c r="AO517" s="1"/>
    </row>
    <row r="518" spans="1:41" ht="13.5" customHeight="1">
      <c r="A518" s="51" t="s">
        <v>62</v>
      </c>
      <c r="B518" s="35" t="s">
        <v>957</v>
      </c>
      <c r="C518" s="36" t="s">
        <v>333</v>
      </c>
      <c r="D518" s="36" t="s">
        <v>91</v>
      </c>
      <c r="E518" s="36" t="s">
        <v>182</v>
      </c>
      <c r="F518" s="35" t="s">
        <v>345</v>
      </c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37">
        <v>1</v>
      </c>
      <c r="W518" s="37">
        <v>1</v>
      </c>
      <c r="X518" s="37">
        <v>1</v>
      </c>
      <c r="Y518" s="37">
        <v>1</v>
      </c>
      <c r="Z518" s="37">
        <v>1</v>
      </c>
      <c r="AA518" s="37">
        <v>1</v>
      </c>
      <c r="AB518" s="37">
        <v>1</v>
      </c>
      <c r="AC518" s="37">
        <v>1</v>
      </c>
      <c r="AD518" s="37">
        <v>1</v>
      </c>
      <c r="AE518" s="37">
        <v>1</v>
      </c>
      <c r="AF518" s="37">
        <v>1</v>
      </c>
      <c r="AG518" s="37">
        <v>1</v>
      </c>
      <c r="AH518" s="37">
        <v>1</v>
      </c>
      <c r="AI518" s="37">
        <v>1</v>
      </c>
      <c r="AJ518" s="52"/>
      <c r="AK518" s="52"/>
      <c r="AL518" s="10">
        <f t="shared" si="33"/>
        <v>14</v>
      </c>
      <c r="AM518" s="12">
        <v>32000</v>
      </c>
      <c r="AN518" s="12">
        <f t="shared" si="34"/>
        <v>448000</v>
      </c>
      <c r="AO518" s="1"/>
    </row>
    <row r="519" spans="1:41" ht="13.5" customHeight="1">
      <c r="A519" s="51" t="s">
        <v>62</v>
      </c>
      <c r="B519" s="35" t="s">
        <v>957</v>
      </c>
      <c r="C519" s="36" t="s">
        <v>26</v>
      </c>
      <c r="D519" s="36" t="s">
        <v>361</v>
      </c>
      <c r="E519" s="36" t="s">
        <v>28</v>
      </c>
      <c r="F519" s="35" t="s">
        <v>347</v>
      </c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37">
        <v>1</v>
      </c>
      <c r="W519" s="37">
        <v>1</v>
      </c>
      <c r="X519" s="37">
        <v>1</v>
      </c>
      <c r="Y519" s="37">
        <v>1</v>
      </c>
      <c r="Z519" s="37">
        <v>1</v>
      </c>
      <c r="AA519" s="37">
        <v>1</v>
      </c>
      <c r="AB519" s="37">
        <v>1</v>
      </c>
      <c r="AC519" s="37">
        <v>1</v>
      </c>
      <c r="AD519" s="37">
        <v>1</v>
      </c>
      <c r="AE519" s="37">
        <v>1</v>
      </c>
      <c r="AF519" s="37">
        <v>1</v>
      </c>
      <c r="AG519" s="37">
        <v>1</v>
      </c>
      <c r="AH519" s="37">
        <v>1</v>
      </c>
      <c r="AI519" s="37">
        <v>1</v>
      </c>
      <c r="AJ519" s="52"/>
      <c r="AK519" s="52"/>
      <c r="AL519" s="10">
        <f t="shared" si="33"/>
        <v>14</v>
      </c>
      <c r="AM519" s="12">
        <v>32000</v>
      </c>
      <c r="AN519" s="12">
        <f t="shared" si="34"/>
        <v>448000</v>
      </c>
      <c r="AO519" s="1"/>
    </row>
    <row r="520" spans="1:41" ht="13.5" customHeight="1">
      <c r="A520" s="51" t="s">
        <v>62</v>
      </c>
      <c r="B520" s="35" t="s">
        <v>958</v>
      </c>
      <c r="C520" s="36" t="s">
        <v>959</v>
      </c>
      <c r="D520" s="36" t="s">
        <v>960</v>
      </c>
      <c r="E520" s="36" t="s">
        <v>961</v>
      </c>
      <c r="F520" s="35" t="s">
        <v>962</v>
      </c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37">
        <v>1</v>
      </c>
      <c r="W520" s="37">
        <v>1</v>
      </c>
      <c r="X520" s="37">
        <v>1</v>
      </c>
      <c r="Y520" s="37">
        <v>1</v>
      </c>
      <c r="Z520" s="37">
        <v>1</v>
      </c>
      <c r="AA520" s="37">
        <v>1</v>
      </c>
      <c r="AB520" s="37">
        <v>1</v>
      </c>
      <c r="AC520" s="37">
        <v>1</v>
      </c>
      <c r="AD520" s="37">
        <v>1</v>
      </c>
      <c r="AE520" s="37">
        <v>1</v>
      </c>
      <c r="AF520" s="37">
        <v>1</v>
      </c>
      <c r="AG520" s="37">
        <v>1</v>
      </c>
      <c r="AH520" s="37">
        <v>1</v>
      </c>
      <c r="AI520" s="37">
        <v>1</v>
      </c>
      <c r="AJ520" s="52"/>
      <c r="AK520" s="52"/>
      <c r="AL520" s="10">
        <f t="shared" si="33"/>
        <v>14</v>
      </c>
      <c r="AM520" s="12">
        <v>32000</v>
      </c>
      <c r="AN520" s="12">
        <f t="shared" si="34"/>
        <v>448000</v>
      </c>
      <c r="AO520" s="1"/>
    </row>
    <row r="521" spans="1:41" ht="13.5" customHeight="1">
      <c r="A521" s="51" t="s">
        <v>62</v>
      </c>
      <c r="B521" s="35" t="s">
        <v>958</v>
      </c>
      <c r="C521" s="36" t="s">
        <v>963</v>
      </c>
      <c r="D521" s="36" t="s">
        <v>963</v>
      </c>
      <c r="E521" s="36" t="s">
        <v>606</v>
      </c>
      <c r="F521" s="35" t="s">
        <v>964</v>
      </c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37">
        <v>1</v>
      </c>
      <c r="W521" s="37">
        <v>1</v>
      </c>
      <c r="X521" s="37">
        <v>1</v>
      </c>
      <c r="Y521" s="37">
        <v>1</v>
      </c>
      <c r="Z521" s="37">
        <v>1</v>
      </c>
      <c r="AA521" s="37">
        <v>1</v>
      </c>
      <c r="AB521" s="37">
        <v>1</v>
      </c>
      <c r="AC521" s="37">
        <v>1</v>
      </c>
      <c r="AD521" s="37">
        <v>1</v>
      </c>
      <c r="AE521" s="37">
        <v>1</v>
      </c>
      <c r="AF521" s="37">
        <v>1</v>
      </c>
      <c r="AG521" s="37">
        <v>1</v>
      </c>
      <c r="AH521" s="37">
        <v>1</v>
      </c>
      <c r="AI521" s="37">
        <v>1</v>
      </c>
      <c r="AJ521" s="52"/>
      <c r="AK521" s="52"/>
      <c r="AL521" s="10">
        <f t="shared" si="33"/>
        <v>14</v>
      </c>
      <c r="AM521" s="12">
        <v>32000</v>
      </c>
      <c r="AN521" s="12">
        <f t="shared" si="34"/>
        <v>448000</v>
      </c>
      <c r="AO521" s="1"/>
    </row>
    <row r="522" spans="1:41" ht="13.5" customHeight="1">
      <c r="A522" s="51" t="s">
        <v>62</v>
      </c>
      <c r="B522" s="35" t="s">
        <v>954</v>
      </c>
      <c r="C522" s="36" t="s">
        <v>16</v>
      </c>
      <c r="D522" s="36" t="s">
        <v>10</v>
      </c>
      <c r="E522" s="36" t="s">
        <v>75</v>
      </c>
      <c r="F522" s="35" t="s">
        <v>76</v>
      </c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37">
        <v>1</v>
      </c>
      <c r="W522" s="37">
        <v>1</v>
      </c>
      <c r="X522" s="37">
        <v>1</v>
      </c>
      <c r="Y522" s="37">
        <v>1</v>
      </c>
      <c r="Z522" s="37">
        <v>1</v>
      </c>
      <c r="AA522" s="37">
        <v>1</v>
      </c>
      <c r="AB522" s="37">
        <v>1</v>
      </c>
      <c r="AC522" s="37">
        <v>1</v>
      </c>
      <c r="AD522" s="37">
        <v>1</v>
      </c>
      <c r="AE522" s="37">
        <v>1</v>
      </c>
      <c r="AF522" s="37">
        <v>1</v>
      </c>
      <c r="AG522" s="37">
        <v>1</v>
      </c>
      <c r="AH522" s="37">
        <v>1</v>
      </c>
      <c r="AI522" s="37">
        <v>1</v>
      </c>
      <c r="AJ522" s="52"/>
      <c r="AK522" s="52"/>
      <c r="AL522" s="10">
        <f t="shared" si="33"/>
        <v>14</v>
      </c>
      <c r="AM522" s="12">
        <v>32000</v>
      </c>
      <c r="AN522" s="12">
        <f t="shared" si="34"/>
        <v>448000</v>
      </c>
      <c r="AO522" s="1"/>
    </row>
    <row r="523" spans="1:41" ht="13.5" customHeight="1">
      <c r="A523" s="51" t="s">
        <v>62</v>
      </c>
      <c r="B523" s="35" t="s">
        <v>954</v>
      </c>
      <c r="C523" s="36" t="s">
        <v>91</v>
      </c>
      <c r="D523" s="36" t="s">
        <v>358</v>
      </c>
      <c r="E523" s="36" t="s">
        <v>24</v>
      </c>
      <c r="F523" s="35" t="s">
        <v>955</v>
      </c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37">
        <v>1</v>
      </c>
      <c r="W523" s="37">
        <v>1</v>
      </c>
      <c r="X523" s="37">
        <v>1</v>
      </c>
      <c r="Y523" s="37">
        <v>1</v>
      </c>
      <c r="Z523" s="37">
        <v>1</v>
      </c>
      <c r="AA523" s="37">
        <v>1</v>
      </c>
      <c r="AB523" s="37">
        <v>1</v>
      </c>
      <c r="AC523" s="37">
        <v>1</v>
      </c>
      <c r="AD523" s="37">
        <v>1</v>
      </c>
      <c r="AE523" s="37">
        <v>1</v>
      </c>
      <c r="AF523" s="37">
        <v>1</v>
      </c>
      <c r="AG523" s="37">
        <v>1</v>
      </c>
      <c r="AH523" s="37">
        <v>1</v>
      </c>
      <c r="AI523" s="37">
        <v>1</v>
      </c>
      <c r="AJ523" s="52"/>
      <c r="AK523" s="52"/>
      <c r="AL523" s="10">
        <f t="shared" si="33"/>
        <v>14</v>
      </c>
      <c r="AM523" s="12">
        <v>32000</v>
      </c>
      <c r="AN523" s="12">
        <f t="shared" si="34"/>
        <v>448000</v>
      </c>
      <c r="AO523" s="1"/>
    </row>
    <row r="524" spans="1:41" ht="13.5" customHeight="1">
      <c r="A524" s="51" t="s">
        <v>62</v>
      </c>
      <c r="B524" s="35" t="s">
        <v>1502</v>
      </c>
      <c r="C524" s="36" t="s">
        <v>17</v>
      </c>
      <c r="D524" s="36" t="s">
        <v>151</v>
      </c>
      <c r="E524" s="36" t="s">
        <v>24</v>
      </c>
      <c r="F524" s="35" t="s">
        <v>976</v>
      </c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37">
        <v>1</v>
      </c>
      <c r="W524" s="37">
        <v>1</v>
      </c>
      <c r="X524" s="37">
        <v>1</v>
      </c>
      <c r="Y524" s="37">
        <v>1</v>
      </c>
      <c r="Z524" s="37">
        <v>1</v>
      </c>
      <c r="AA524" s="37">
        <v>1</v>
      </c>
      <c r="AB524" s="37">
        <v>1</v>
      </c>
      <c r="AC524" s="37">
        <v>1</v>
      </c>
      <c r="AD524" s="37">
        <v>1</v>
      </c>
      <c r="AE524" s="37">
        <v>1</v>
      </c>
      <c r="AF524" s="37">
        <v>1</v>
      </c>
      <c r="AG524" s="37">
        <v>1</v>
      </c>
      <c r="AH524" s="37">
        <v>1</v>
      </c>
      <c r="AI524" s="37">
        <v>1</v>
      </c>
      <c r="AJ524" s="52"/>
      <c r="AK524" s="52"/>
      <c r="AL524" s="10">
        <f t="shared" si="33"/>
        <v>14</v>
      </c>
      <c r="AM524" s="12">
        <v>32000</v>
      </c>
      <c r="AN524" s="12">
        <f t="shared" si="34"/>
        <v>448000</v>
      </c>
      <c r="AO524" s="1"/>
    </row>
    <row r="525" spans="1:41" ht="13.5" customHeight="1">
      <c r="A525" s="51" t="s">
        <v>62</v>
      </c>
      <c r="B525" s="35" t="s">
        <v>965</v>
      </c>
      <c r="C525" s="36" t="s">
        <v>94</v>
      </c>
      <c r="D525" s="36" t="s">
        <v>145</v>
      </c>
      <c r="E525" s="36" t="s">
        <v>354</v>
      </c>
      <c r="F525" s="35" t="s">
        <v>339</v>
      </c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37">
        <v>1</v>
      </c>
      <c r="W525" s="37">
        <v>1</v>
      </c>
      <c r="X525" s="37">
        <v>1</v>
      </c>
      <c r="Y525" s="37">
        <v>1</v>
      </c>
      <c r="Z525" s="37">
        <v>1</v>
      </c>
      <c r="AA525" s="37">
        <v>1</v>
      </c>
      <c r="AB525" s="37">
        <v>1</v>
      </c>
      <c r="AC525" s="37">
        <v>1</v>
      </c>
      <c r="AD525" s="37">
        <v>1</v>
      </c>
      <c r="AE525" s="37">
        <v>1</v>
      </c>
      <c r="AF525" s="37">
        <v>1</v>
      </c>
      <c r="AG525" s="37">
        <v>1</v>
      </c>
      <c r="AH525" s="37">
        <v>1</v>
      </c>
      <c r="AI525" s="37">
        <v>1</v>
      </c>
      <c r="AJ525" s="52"/>
      <c r="AK525" s="52"/>
      <c r="AL525" s="10">
        <f t="shared" si="33"/>
        <v>14</v>
      </c>
      <c r="AM525" s="12">
        <v>32000</v>
      </c>
      <c r="AN525" s="12">
        <f t="shared" si="34"/>
        <v>448000</v>
      </c>
      <c r="AO525" s="1"/>
    </row>
    <row r="526" spans="1:41" ht="13.5" customHeight="1">
      <c r="A526" s="51" t="s">
        <v>62</v>
      </c>
      <c r="B526" s="35" t="s">
        <v>965</v>
      </c>
      <c r="C526" s="36" t="s">
        <v>512</v>
      </c>
      <c r="D526" s="36" t="s">
        <v>332</v>
      </c>
      <c r="E526" s="36" t="s">
        <v>24</v>
      </c>
      <c r="F526" s="35" t="s">
        <v>340</v>
      </c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37">
        <v>1</v>
      </c>
      <c r="W526" s="37">
        <v>1</v>
      </c>
      <c r="X526" s="37">
        <v>1</v>
      </c>
      <c r="Y526" s="37">
        <v>1</v>
      </c>
      <c r="Z526" s="37">
        <v>1</v>
      </c>
      <c r="AA526" s="37">
        <v>1</v>
      </c>
      <c r="AB526" s="37">
        <v>1</v>
      </c>
      <c r="AC526" s="37">
        <v>1</v>
      </c>
      <c r="AD526" s="37">
        <v>1</v>
      </c>
      <c r="AE526" s="37">
        <v>1</v>
      </c>
      <c r="AF526" s="37">
        <v>1</v>
      </c>
      <c r="AG526" s="37">
        <v>1</v>
      </c>
      <c r="AH526" s="37">
        <v>1</v>
      </c>
      <c r="AI526" s="37">
        <v>1</v>
      </c>
      <c r="AJ526" s="52"/>
      <c r="AK526" s="52"/>
      <c r="AL526" s="10">
        <f t="shared" si="33"/>
        <v>14</v>
      </c>
      <c r="AM526" s="12">
        <v>32000</v>
      </c>
      <c r="AN526" s="12">
        <f t="shared" si="34"/>
        <v>448000</v>
      </c>
      <c r="AO526" s="1"/>
    </row>
    <row r="527" spans="1:41" ht="13.5" customHeight="1">
      <c r="A527" s="51" t="s">
        <v>62</v>
      </c>
      <c r="B527" s="35" t="s">
        <v>535</v>
      </c>
      <c r="C527" s="36" t="s">
        <v>966</v>
      </c>
      <c r="D527" s="36" t="s">
        <v>47</v>
      </c>
      <c r="E527" s="36" t="s">
        <v>133</v>
      </c>
      <c r="F527" s="35" t="s">
        <v>967</v>
      </c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37">
        <v>1</v>
      </c>
      <c r="W527" s="37">
        <v>1</v>
      </c>
      <c r="X527" s="37">
        <v>1</v>
      </c>
      <c r="Y527" s="37">
        <v>1</v>
      </c>
      <c r="Z527" s="37">
        <v>1</v>
      </c>
      <c r="AA527" s="37">
        <v>1</v>
      </c>
      <c r="AB527" s="37">
        <v>1</v>
      </c>
      <c r="AC527" s="37">
        <v>1</v>
      </c>
      <c r="AD527" s="37">
        <v>1</v>
      </c>
      <c r="AE527" s="37">
        <v>1</v>
      </c>
      <c r="AF527" s="37">
        <v>1</v>
      </c>
      <c r="AG527" s="37">
        <v>1</v>
      </c>
      <c r="AH527" s="37">
        <v>1</v>
      </c>
      <c r="AI527" s="37">
        <v>1</v>
      </c>
      <c r="AJ527" s="52"/>
      <c r="AK527" s="52"/>
      <c r="AL527" s="10">
        <f t="shared" si="33"/>
        <v>14</v>
      </c>
      <c r="AM527" s="12">
        <v>32000</v>
      </c>
      <c r="AN527" s="12">
        <f t="shared" si="34"/>
        <v>448000</v>
      </c>
      <c r="AO527" s="1"/>
    </row>
    <row r="528" spans="1:41" ht="13.5" customHeight="1">
      <c r="A528" s="51" t="s">
        <v>62</v>
      </c>
      <c r="B528" s="35" t="s">
        <v>535</v>
      </c>
      <c r="C528" s="36" t="s">
        <v>41</v>
      </c>
      <c r="D528" s="36" t="s">
        <v>271</v>
      </c>
      <c r="E528" s="36" t="s">
        <v>266</v>
      </c>
      <c r="F528" s="35" t="s">
        <v>968</v>
      </c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37">
        <v>1</v>
      </c>
      <c r="W528" s="37">
        <v>1</v>
      </c>
      <c r="X528" s="37">
        <v>1</v>
      </c>
      <c r="Y528" s="37">
        <v>1</v>
      </c>
      <c r="Z528" s="37">
        <v>1</v>
      </c>
      <c r="AA528" s="37">
        <v>1</v>
      </c>
      <c r="AB528" s="37">
        <v>1</v>
      </c>
      <c r="AC528" s="37">
        <v>1</v>
      </c>
      <c r="AD528" s="37">
        <v>1</v>
      </c>
      <c r="AE528" s="37">
        <v>1</v>
      </c>
      <c r="AF528" s="37">
        <v>1</v>
      </c>
      <c r="AG528" s="37">
        <v>1</v>
      </c>
      <c r="AH528" s="37">
        <v>1</v>
      </c>
      <c r="AI528" s="37">
        <v>1</v>
      </c>
      <c r="AJ528" s="52"/>
      <c r="AK528" s="52"/>
      <c r="AL528" s="10">
        <f t="shared" si="33"/>
        <v>14</v>
      </c>
      <c r="AM528" s="12">
        <v>32000</v>
      </c>
      <c r="AN528" s="12">
        <f t="shared" si="34"/>
        <v>448000</v>
      </c>
      <c r="AO528" s="1"/>
    </row>
    <row r="529" spans="1:41" ht="13.5" customHeight="1">
      <c r="A529" s="51" t="s">
        <v>62</v>
      </c>
      <c r="B529" s="35" t="s">
        <v>537</v>
      </c>
      <c r="C529" s="36" t="s">
        <v>173</v>
      </c>
      <c r="D529" s="36" t="s">
        <v>325</v>
      </c>
      <c r="E529" s="36" t="s">
        <v>606</v>
      </c>
      <c r="F529" s="35" t="s">
        <v>969</v>
      </c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37">
        <v>1</v>
      </c>
      <c r="W529" s="37">
        <v>1</v>
      </c>
      <c r="X529" s="37">
        <v>1</v>
      </c>
      <c r="Y529" s="37">
        <v>1</v>
      </c>
      <c r="Z529" s="37">
        <v>1</v>
      </c>
      <c r="AA529" s="37">
        <v>1</v>
      </c>
      <c r="AB529" s="37">
        <v>1</v>
      </c>
      <c r="AC529" s="37">
        <v>1</v>
      </c>
      <c r="AD529" s="37">
        <v>1</v>
      </c>
      <c r="AE529" s="37">
        <v>1</v>
      </c>
      <c r="AF529" s="37">
        <v>1</v>
      </c>
      <c r="AG529" s="37">
        <v>1</v>
      </c>
      <c r="AH529" s="37">
        <v>1</v>
      </c>
      <c r="AI529" s="37">
        <v>1</v>
      </c>
      <c r="AJ529" s="52"/>
      <c r="AK529" s="52"/>
      <c r="AL529" s="10">
        <f t="shared" si="33"/>
        <v>14</v>
      </c>
      <c r="AM529" s="12">
        <v>32000</v>
      </c>
      <c r="AN529" s="12">
        <f t="shared" si="34"/>
        <v>448000</v>
      </c>
      <c r="AO529" s="1"/>
    </row>
    <row r="530" spans="1:41" ht="13.5" customHeight="1">
      <c r="A530" s="51" t="s">
        <v>62</v>
      </c>
      <c r="B530" s="35" t="s">
        <v>537</v>
      </c>
      <c r="C530" s="36" t="s">
        <v>743</v>
      </c>
      <c r="D530" s="36" t="s">
        <v>325</v>
      </c>
      <c r="E530" s="36" t="s">
        <v>970</v>
      </c>
      <c r="F530" s="35" t="s">
        <v>971</v>
      </c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37">
        <v>1</v>
      </c>
      <c r="W530" s="37">
        <v>1</v>
      </c>
      <c r="X530" s="37">
        <v>1</v>
      </c>
      <c r="Y530" s="37">
        <v>1</v>
      </c>
      <c r="Z530" s="37">
        <v>1</v>
      </c>
      <c r="AA530" s="37">
        <v>1</v>
      </c>
      <c r="AB530" s="37">
        <v>1</v>
      </c>
      <c r="AC530" s="37">
        <v>1</v>
      </c>
      <c r="AD530" s="37">
        <v>1</v>
      </c>
      <c r="AE530" s="37">
        <v>1</v>
      </c>
      <c r="AF530" s="37">
        <v>1</v>
      </c>
      <c r="AG530" s="37">
        <v>1</v>
      </c>
      <c r="AH530" s="37">
        <v>1</v>
      </c>
      <c r="AI530" s="37">
        <v>1</v>
      </c>
      <c r="AJ530" s="52"/>
      <c r="AK530" s="52"/>
      <c r="AL530" s="10">
        <f t="shared" si="33"/>
        <v>14</v>
      </c>
      <c r="AM530" s="12">
        <v>32000</v>
      </c>
      <c r="AN530" s="12">
        <f t="shared" si="34"/>
        <v>448000</v>
      </c>
      <c r="AO530" s="1"/>
    </row>
    <row r="531" spans="1:41" ht="13.5" customHeight="1">
      <c r="A531" s="51" t="s">
        <v>62</v>
      </c>
      <c r="B531" s="35" t="s">
        <v>972</v>
      </c>
      <c r="C531" s="36" t="s">
        <v>98</v>
      </c>
      <c r="D531" s="36" t="s">
        <v>360</v>
      </c>
      <c r="E531" s="36" t="s">
        <v>359</v>
      </c>
      <c r="F531" s="35" t="s">
        <v>343</v>
      </c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37">
        <v>1</v>
      </c>
      <c r="W531" s="37">
        <v>1</v>
      </c>
      <c r="X531" s="37">
        <v>1</v>
      </c>
      <c r="Y531" s="37">
        <v>1</v>
      </c>
      <c r="Z531" s="37">
        <v>1</v>
      </c>
      <c r="AA531" s="37">
        <v>1</v>
      </c>
      <c r="AB531" s="37">
        <v>1</v>
      </c>
      <c r="AC531" s="37">
        <v>1</v>
      </c>
      <c r="AD531" s="37">
        <v>1</v>
      </c>
      <c r="AE531" s="37">
        <v>1</v>
      </c>
      <c r="AF531" s="37">
        <v>1</v>
      </c>
      <c r="AG531" s="37">
        <v>1</v>
      </c>
      <c r="AH531" s="37">
        <v>1</v>
      </c>
      <c r="AI531" s="37">
        <v>1</v>
      </c>
      <c r="AJ531" s="52"/>
      <c r="AK531" s="52"/>
      <c r="AL531" s="10">
        <f t="shared" si="33"/>
        <v>14</v>
      </c>
      <c r="AM531" s="12">
        <v>32000</v>
      </c>
      <c r="AN531" s="12">
        <f t="shared" si="34"/>
        <v>448000</v>
      </c>
      <c r="AO531" s="1"/>
    </row>
    <row r="532" spans="1:41" ht="13.5" customHeight="1">
      <c r="A532" s="51" t="s">
        <v>62</v>
      </c>
      <c r="B532" s="35" t="s">
        <v>972</v>
      </c>
      <c r="C532" s="36" t="s">
        <v>47</v>
      </c>
      <c r="D532" s="36" t="s">
        <v>123</v>
      </c>
      <c r="E532" s="36" t="s">
        <v>355</v>
      </c>
      <c r="F532" s="35" t="s">
        <v>341</v>
      </c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37">
        <v>1</v>
      </c>
      <c r="W532" s="37">
        <v>1</v>
      </c>
      <c r="X532" s="37">
        <v>1</v>
      </c>
      <c r="Y532" s="37">
        <v>1</v>
      </c>
      <c r="Z532" s="37">
        <v>1</v>
      </c>
      <c r="AA532" s="37">
        <v>1</v>
      </c>
      <c r="AB532" s="37">
        <v>1</v>
      </c>
      <c r="AC532" s="37">
        <v>1</v>
      </c>
      <c r="AD532" s="37">
        <v>1</v>
      </c>
      <c r="AE532" s="37">
        <v>1</v>
      </c>
      <c r="AF532" s="37">
        <v>1</v>
      </c>
      <c r="AG532" s="37">
        <v>1</v>
      </c>
      <c r="AH532" s="37">
        <v>1</v>
      </c>
      <c r="AI532" s="37">
        <v>1</v>
      </c>
      <c r="AJ532" s="52"/>
      <c r="AK532" s="52"/>
      <c r="AL532" s="10">
        <f t="shared" si="33"/>
        <v>14</v>
      </c>
      <c r="AM532" s="12">
        <v>32000</v>
      </c>
      <c r="AN532" s="12">
        <f t="shared" si="34"/>
        <v>448000</v>
      </c>
      <c r="AO532" s="1"/>
    </row>
    <row r="533" spans="1:41" ht="13.5" customHeight="1">
      <c r="A533" s="51" t="s">
        <v>62</v>
      </c>
      <c r="B533" s="35" t="s">
        <v>857</v>
      </c>
      <c r="C533" s="36" t="s">
        <v>224</v>
      </c>
      <c r="D533" s="36" t="s">
        <v>26</v>
      </c>
      <c r="E533" s="36" t="s">
        <v>135</v>
      </c>
      <c r="F533" s="35" t="s">
        <v>349</v>
      </c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37">
        <v>1</v>
      </c>
      <c r="W533" s="37">
        <v>1</v>
      </c>
      <c r="X533" s="37">
        <v>1</v>
      </c>
      <c r="Y533" s="37">
        <v>1</v>
      </c>
      <c r="Z533" s="37">
        <v>1</v>
      </c>
      <c r="AA533" s="37">
        <v>1</v>
      </c>
      <c r="AB533" s="37">
        <v>1</v>
      </c>
      <c r="AC533" s="37">
        <v>1</v>
      </c>
      <c r="AD533" s="37">
        <v>1</v>
      </c>
      <c r="AE533" s="37">
        <v>1</v>
      </c>
      <c r="AF533" s="37">
        <v>1</v>
      </c>
      <c r="AG533" s="37">
        <v>1</v>
      </c>
      <c r="AH533" s="37">
        <v>1</v>
      </c>
      <c r="AI533" s="37">
        <v>1</v>
      </c>
      <c r="AJ533" s="52"/>
      <c r="AK533" s="52"/>
      <c r="AL533" s="10">
        <f t="shared" si="33"/>
        <v>14</v>
      </c>
      <c r="AM533" s="12">
        <v>32000</v>
      </c>
      <c r="AN533" s="12">
        <f t="shared" si="34"/>
        <v>448000</v>
      </c>
      <c r="AO533" s="1"/>
    </row>
    <row r="534" spans="1:41" ht="13.5" customHeight="1">
      <c r="A534" s="45" t="s">
        <v>62</v>
      </c>
      <c r="B534" s="32" t="s">
        <v>857</v>
      </c>
      <c r="C534" s="36" t="s">
        <v>224</v>
      </c>
      <c r="D534" s="36" t="s">
        <v>224</v>
      </c>
      <c r="E534" s="36" t="s">
        <v>466</v>
      </c>
      <c r="F534" s="35" t="s">
        <v>338</v>
      </c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34">
        <v>1</v>
      </c>
      <c r="W534" s="34">
        <v>1</v>
      </c>
      <c r="X534" s="34">
        <v>1</v>
      </c>
      <c r="Y534" s="34">
        <v>1</v>
      </c>
      <c r="Z534" s="34">
        <v>1</v>
      </c>
      <c r="AA534" s="34">
        <v>1</v>
      </c>
      <c r="AB534" s="34">
        <v>1</v>
      </c>
      <c r="AC534" s="34">
        <v>1</v>
      </c>
      <c r="AD534" s="34">
        <v>1</v>
      </c>
      <c r="AE534" s="34">
        <v>1</v>
      </c>
      <c r="AF534" s="34">
        <v>1</v>
      </c>
      <c r="AG534" s="34">
        <v>1</v>
      </c>
      <c r="AH534" s="34">
        <v>1</v>
      </c>
      <c r="AI534" s="34">
        <v>1</v>
      </c>
      <c r="AJ534" s="46"/>
      <c r="AK534" s="46"/>
      <c r="AL534" s="10">
        <f t="shared" si="33"/>
        <v>14</v>
      </c>
      <c r="AM534" s="11">
        <v>32000</v>
      </c>
      <c r="AN534" s="12">
        <f t="shared" si="34"/>
        <v>448000</v>
      </c>
      <c r="AO534" s="1"/>
    </row>
    <row r="535" spans="1:41" ht="13.5" customHeight="1">
      <c r="A535" s="51" t="s">
        <v>62</v>
      </c>
      <c r="B535" s="35">
        <v>8</v>
      </c>
      <c r="C535" s="36" t="s">
        <v>19</v>
      </c>
      <c r="D535" s="36" t="s">
        <v>438</v>
      </c>
      <c r="E535" s="36" t="s">
        <v>64</v>
      </c>
      <c r="F535" s="35" t="s">
        <v>443</v>
      </c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34">
        <v>1</v>
      </c>
      <c r="AD535" s="34">
        <v>1</v>
      </c>
      <c r="AE535" s="34">
        <v>1</v>
      </c>
      <c r="AF535" s="34">
        <v>1</v>
      </c>
      <c r="AG535" s="34">
        <v>1</v>
      </c>
      <c r="AH535" s="34">
        <v>1</v>
      </c>
      <c r="AI535" s="34">
        <v>1</v>
      </c>
      <c r="AJ535" s="46"/>
      <c r="AK535" s="46"/>
      <c r="AL535" s="10">
        <f t="shared" ref="AL535:AL549" si="35">SUM(G535:AK535)</f>
        <v>7</v>
      </c>
      <c r="AM535" s="12">
        <v>32000</v>
      </c>
      <c r="AN535" s="12">
        <f t="shared" ref="AN535:AN549" si="36">AM535*AL535</f>
        <v>224000</v>
      </c>
      <c r="AO535" s="1"/>
    </row>
    <row r="536" spans="1:41" ht="13.5" customHeight="1">
      <c r="A536" s="45" t="s">
        <v>62</v>
      </c>
      <c r="B536" s="35">
        <v>2</v>
      </c>
      <c r="C536" s="36" t="s">
        <v>45</v>
      </c>
      <c r="D536" s="36" t="s">
        <v>383</v>
      </c>
      <c r="E536" s="36" t="s">
        <v>28</v>
      </c>
      <c r="F536" s="35" t="s">
        <v>1337</v>
      </c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34">
        <v>1</v>
      </c>
      <c r="AD536" s="34">
        <v>1</v>
      </c>
      <c r="AE536" s="34">
        <v>1</v>
      </c>
      <c r="AF536" s="34">
        <v>1</v>
      </c>
      <c r="AG536" s="34">
        <v>1</v>
      </c>
      <c r="AH536" s="34">
        <v>1</v>
      </c>
      <c r="AI536" s="34">
        <v>1</v>
      </c>
      <c r="AJ536" s="46"/>
      <c r="AK536" s="46"/>
      <c r="AL536" s="10">
        <f t="shared" si="35"/>
        <v>7</v>
      </c>
      <c r="AM536" s="11">
        <v>32000</v>
      </c>
      <c r="AN536" s="12">
        <f t="shared" si="36"/>
        <v>224000</v>
      </c>
      <c r="AO536" s="1"/>
    </row>
    <row r="537" spans="1:41" ht="13.5" customHeight="1">
      <c r="A537" s="51" t="s">
        <v>62</v>
      </c>
      <c r="B537" s="35">
        <v>2</v>
      </c>
      <c r="C537" s="36" t="s">
        <v>353</v>
      </c>
      <c r="D537" s="36" t="s">
        <v>427</v>
      </c>
      <c r="E537" s="36" t="s">
        <v>547</v>
      </c>
      <c r="F537" s="35" t="s">
        <v>431</v>
      </c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34">
        <v>1</v>
      </c>
      <c r="AD537" s="34">
        <v>1</v>
      </c>
      <c r="AE537" s="34">
        <v>1</v>
      </c>
      <c r="AF537" s="34">
        <v>1</v>
      </c>
      <c r="AG537" s="34">
        <v>1</v>
      </c>
      <c r="AH537" s="34">
        <v>1</v>
      </c>
      <c r="AI537" s="34">
        <v>1</v>
      </c>
      <c r="AJ537" s="46"/>
      <c r="AK537" s="46"/>
      <c r="AL537" s="10">
        <f t="shared" si="35"/>
        <v>7</v>
      </c>
      <c r="AM537" s="12">
        <v>32000</v>
      </c>
      <c r="AN537" s="12">
        <f t="shared" si="36"/>
        <v>224000</v>
      </c>
      <c r="AO537" s="1"/>
    </row>
    <row r="538" spans="1:41" ht="13.5" customHeight="1">
      <c r="A538" s="45" t="s">
        <v>62</v>
      </c>
      <c r="B538" s="35">
        <v>3</v>
      </c>
      <c r="C538" s="36" t="s">
        <v>422</v>
      </c>
      <c r="D538" s="36" t="s">
        <v>159</v>
      </c>
      <c r="E538" s="36" t="s">
        <v>140</v>
      </c>
      <c r="F538" s="35" t="s">
        <v>435</v>
      </c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34">
        <v>1</v>
      </c>
      <c r="AD538" s="34">
        <v>1</v>
      </c>
      <c r="AE538" s="34">
        <v>1</v>
      </c>
      <c r="AF538" s="34">
        <v>1</v>
      </c>
      <c r="AG538" s="34">
        <v>1</v>
      </c>
      <c r="AH538" s="34">
        <v>1</v>
      </c>
      <c r="AI538" s="34">
        <v>1</v>
      </c>
      <c r="AJ538" s="46"/>
      <c r="AK538" s="46"/>
      <c r="AL538" s="10">
        <f t="shared" si="35"/>
        <v>7</v>
      </c>
      <c r="AM538" s="11">
        <v>32000</v>
      </c>
      <c r="AN538" s="12">
        <f t="shared" si="36"/>
        <v>224000</v>
      </c>
      <c r="AO538" s="1"/>
    </row>
    <row r="539" spans="1:41" ht="13.5" customHeight="1">
      <c r="A539" s="51" t="s">
        <v>62</v>
      </c>
      <c r="B539" s="35">
        <v>3</v>
      </c>
      <c r="C539" s="36" t="s">
        <v>186</v>
      </c>
      <c r="D539" s="36" t="s">
        <v>67</v>
      </c>
      <c r="E539" s="36" t="s">
        <v>437</v>
      </c>
      <c r="F539" s="35" t="s">
        <v>444</v>
      </c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34">
        <v>1</v>
      </c>
      <c r="AD539" s="34">
        <v>1</v>
      </c>
      <c r="AE539" s="34">
        <v>1</v>
      </c>
      <c r="AF539" s="34">
        <v>1</v>
      </c>
      <c r="AG539" s="34">
        <v>1</v>
      </c>
      <c r="AH539" s="34">
        <v>1</v>
      </c>
      <c r="AI539" s="34">
        <v>1</v>
      </c>
      <c r="AJ539" s="46"/>
      <c r="AK539" s="46"/>
      <c r="AL539" s="10">
        <f t="shared" si="35"/>
        <v>7</v>
      </c>
      <c r="AM539" s="12">
        <v>32000</v>
      </c>
      <c r="AN539" s="12">
        <f t="shared" si="36"/>
        <v>224000</v>
      </c>
      <c r="AO539" s="1"/>
    </row>
    <row r="540" spans="1:41" ht="13.5" customHeight="1">
      <c r="A540" s="45" t="s">
        <v>62</v>
      </c>
      <c r="B540" s="35">
        <v>56</v>
      </c>
      <c r="C540" s="36" t="s">
        <v>424</v>
      </c>
      <c r="D540" s="36" t="s">
        <v>426</v>
      </c>
      <c r="E540" s="36" t="s">
        <v>188</v>
      </c>
      <c r="F540" s="35" t="s">
        <v>432</v>
      </c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34">
        <v>1</v>
      </c>
      <c r="AD540" s="34">
        <v>1</v>
      </c>
      <c r="AE540" s="34">
        <v>1</v>
      </c>
      <c r="AF540" s="34">
        <v>1</v>
      </c>
      <c r="AG540" s="34">
        <v>1</v>
      </c>
      <c r="AH540" s="34">
        <v>1</v>
      </c>
      <c r="AI540" s="34">
        <v>1</v>
      </c>
      <c r="AJ540" s="46"/>
      <c r="AK540" s="46"/>
      <c r="AL540" s="10">
        <f t="shared" si="35"/>
        <v>7</v>
      </c>
      <c r="AM540" s="11">
        <v>32000</v>
      </c>
      <c r="AN540" s="12">
        <f t="shared" si="36"/>
        <v>224000</v>
      </c>
      <c r="AO540" s="1"/>
    </row>
    <row r="541" spans="1:41" ht="13.5" customHeight="1">
      <c r="A541" s="51" t="s">
        <v>62</v>
      </c>
      <c r="B541" s="35">
        <v>56</v>
      </c>
      <c r="C541" s="36" t="s">
        <v>424</v>
      </c>
      <c r="D541" s="36" t="s">
        <v>13</v>
      </c>
      <c r="E541" s="36" t="s">
        <v>425</v>
      </c>
      <c r="F541" s="35" t="s">
        <v>433</v>
      </c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34">
        <v>1</v>
      </c>
      <c r="AD541" s="34">
        <v>1</v>
      </c>
      <c r="AE541" s="34">
        <v>1</v>
      </c>
      <c r="AF541" s="34">
        <v>1</v>
      </c>
      <c r="AG541" s="34">
        <v>1</v>
      </c>
      <c r="AH541" s="34">
        <v>1</v>
      </c>
      <c r="AI541" s="34">
        <v>1</v>
      </c>
      <c r="AJ541" s="46"/>
      <c r="AK541" s="46"/>
      <c r="AL541" s="10">
        <f t="shared" si="35"/>
        <v>7</v>
      </c>
      <c r="AM541" s="12">
        <v>32000</v>
      </c>
      <c r="AN541" s="12">
        <f t="shared" si="36"/>
        <v>224000</v>
      </c>
      <c r="AO541" s="1"/>
    </row>
    <row r="542" spans="1:41" ht="13.5" customHeight="1">
      <c r="A542" s="45" t="s">
        <v>62</v>
      </c>
      <c r="B542" s="35">
        <v>66</v>
      </c>
      <c r="C542" s="36" t="s">
        <v>134</v>
      </c>
      <c r="D542" s="36" t="s">
        <v>364</v>
      </c>
      <c r="E542" s="36" t="s">
        <v>436</v>
      </c>
      <c r="F542" s="35" t="s">
        <v>445</v>
      </c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34">
        <v>1</v>
      </c>
      <c r="AD542" s="34">
        <v>1</v>
      </c>
      <c r="AE542" s="34">
        <v>1</v>
      </c>
      <c r="AF542" s="34">
        <v>1</v>
      </c>
      <c r="AG542" s="34">
        <v>1</v>
      </c>
      <c r="AH542" s="34">
        <v>1</v>
      </c>
      <c r="AI542" s="34">
        <v>1</v>
      </c>
      <c r="AJ542" s="46"/>
      <c r="AK542" s="46"/>
      <c r="AL542" s="10">
        <f t="shared" si="35"/>
        <v>7</v>
      </c>
      <c r="AM542" s="11">
        <v>32000</v>
      </c>
      <c r="AN542" s="12">
        <f t="shared" si="36"/>
        <v>224000</v>
      </c>
      <c r="AO542" s="1"/>
    </row>
    <row r="543" spans="1:41" ht="13.5" customHeight="1">
      <c r="A543" s="51" t="s">
        <v>62</v>
      </c>
      <c r="B543" s="35">
        <v>66</v>
      </c>
      <c r="C543" s="36" t="s">
        <v>428</v>
      </c>
      <c r="D543" s="36" t="s">
        <v>159</v>
      </c>
      <c r="E543" s="36" t="s">
        <v>169</v>
      </c>
      <c r="F543" s="35" t="s">
        <v>429</v>
      </c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34">
        <v>1</v>
      </c>
      <c r="AD543" s="34">
        <v>1</v>
      </c>
      <c r="AE543" s="34">
        <v>1</v>
      </c>
      <c r="AF543" s="34">
        <v>1</v>
      </c>
      <c r="AG543" s="34">
        <v>1</v>
      </c>
      <c r="AH543" s="34">
        <v>1</v>
      </c>
      <c r="AI543" s="34">
        <v>1</v>
      </c>
      <c r="AJ543" s="46"/>
      <c r="AK543" s="46"/>
      <c r="AL543" s="10">
        <f t="shared" si="35"/>
        <v>7</v>
      </c>
      <c r="AM543" s="12">
        <v>32000</v>
      </c>
      <c r="AN543" s="12">
        <f t="shared" si="36"/>
        <v>224000</v>
      </c>
      <c r="AO543" s="1"/>
    </row>
    <row r="544" spans="1:41" ht="13.5" customHeight="1">
      <c r="A544" s="45" t="s">
        <v>62</v>
      </c>
      <c r="B544" s="35">
        <v>14</v>
      </c>
      <c r="C544" s="36" t="s">
        <v>423</v>
      </c>
      <c r="D544" s="36" t="s">
        <v>224</v>
      </c>
      <c r="E544" s="36" t="s">
        <v>24</v>
      </c>
      <c r="F544" s="35" t="s">
        <v>434</v>
      </c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34">
        <v>1</v>
      </c>
      <c r="AD544" s="34">
        <v>1</v>
      </c>
      <c r="AE544" s="34">
        <v>1</v>
      </c>
      <c r="AF544" s="34">
        <v>1</v>
      </c>
      <c r="AG544" s="34">
        <v>1</v>
      </c>
      <c r="AH544" s="34">
        <v>1</v>
      </c>
      <c r="AI544" s="34">
        <v>1</v>
      </c>
      <c r="AJ544" s="46"/>
      <c r="AK544" s="46"/>
      <c r="AL544" s="10">
        <f t="shared" si="35"/>
        <v>7</v>
      </c>
      <c r="AM544" s="11">
        <v>32000</v>
      </c>
      <c r="AN544" s="12">
        <f t="shared" si="36"/>
        <v>224000</v>
      </c>
      <c r="AO544" s="1"/>
    </row>
    <row r="545" spans="1:41" ht="13.5" customHeight="1">
      <c r="A545" s="51" t="s">
        <v>62</v>
      </c>
      <c r="B545" s="35">
        <v>14</v>
      </c>
      <c r="C545" s="36" t="s">
        <v>439</v>
      </c>
      <c r="D545" s="36" t="s">
        <v>203</v>
      </c>
      <c r="E545" s="36" t="s">
        <v>229</v>
      </c>
      <c r="F545" s="35" t="s">
        <v>440</v>
      </c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34">
        <v>1</v>
      </c>
      <c r="AD545" s="34">
        <v>1</v>
      </c>
      <c r="AE545" s="34">
        <v>1</v>
      </c>
      <c r="AF545" s="34">
        <v>1</v>
      </c>
      <c r="AG545" s="34">
        <v>1</v>
      </c>
      <c r="AH545" s="34">
        <v>1</v>
      </c>
      <c r="AI545" s="34">
        <v>1</v>
      </c>
      <c r="AJ545" s="46"/>
      <c r="AK545" s="46"/>
      <c r="AL545" s="10">
        <f t="shared" si="35"/>
        <v>7</v>
      </c>
      <c r="AM545" s="12">
        <v>32000</v>
      </c>
      <c r="AN545" s="12">
        <f t="shared" si="36"/>
        <v>224000</v>
      </c>
      <c r="AO545" s="1"/>
    </row>
    <row r="546" spans="1:41" ht="13.5" customHeight="1">
      <c r="A546" s="45" t="s">
        <v>62</v>
      </c>
      <c r="B546" s="35">
        <v>87</v>
      </c>
      <c r="C546" s="36" t="s">
        <v>319</v>
      </c>
      <c r="D546" s="36" t="s">
        <v>319</v>
      </c>
      <c r="E546" s="36" t="s">
        <v>160</v>
      </c>
      <c r="F546" s="35" t="s">
        <v>441</v>
      </c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34">
        <v>1</v>
      </c>
      <c r="AD546" s="34">
        <v>1</v>
      </c>
      <c r="AE546" s="34">
        <v>1</v>
      </c>
      <c r="AF546" s="34">
        <v>1</v>
      </c>
      <c r="AG546" s="34">
        <v>1</v>
      </c>
      <c r="AH546" s="34">
        <v>1</v>
      </c>
      <c r="AI546" s="34">
        <v>1</v>
      </c>
      <c r="AJ546" s="46"/>
      <c r="AK546" s="46"/>
      <c r="AL546" s="10">
        <f t="shared" si="35"/>
        <v>7</v>
      </c>
      <c r="AM546" s="11">
        <v>32000</v>
      </c>
      <c r="AN546" s="12">
        <f t="shared" si="36"/>
        <v>224000</v>
      </c>
      <c r="AO546" s="1"/>
    </row>
    <row r="547" spans="1:41" ht="13.5" customHeight="1">
      <c r="A547" s="51" t="s">
        <v>62</v>
      </c>
      <c r="B547" s="35">
        <v>87</v>
      </c>
      <c r="C547" s="36" t="s">
        <v>414</v>
      </c>
      <c r="D547" s="36" t="s">
        <v>67</v>
      </c>
      <c r="E547" s="36" t="s">
        <v>75</v>
      </c>
      <c r="F547" s="35" t="s">
        <v>420</v>
      </c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34">
        <v>1</v>
      </c>
      <c r="AD547" s="34">
        <v>1</v>
      </c>
      <c r="AE547" s="34">
        <v>1</v>
      </c>
      <c r="AF547" s="34">
        <v>1</v>
      </c>
      <c r="AG547" s="34">
        <v>1</v>
      </c>
      <c r="AH547" s="34">
        <v>1</v>
      </c>
      <c r="AI547" s="34">
        <v>1</v>
      </c>
      <c r="AJ547" s="46"/>
      <c r="AK547" s="46"/>
      <c r="AL547" s="10">
        <f t="shared" si="35"/>
        <v>7</v>
      </c>
      <c r="AM547" s="12">
        <v>32000</v>
      </c>
      <c r="AN547" s="12">
        <f t="shared" si="36"/>
        <v>224000</v>
      </c>
      <c r="AO547" s="1"/>
    </row>
    <row r="548" spans="1:41" ht="13.5" customHeight="1">
      <c r="A548" s="45" t="s">
        <v>62</v>
      </c>
      <c r="B548" s="35">
        <v>118</v>
      </c>
      <c r="C548" s="36" t="s">
        <v>148</v>
      </c>
      <c r="D548" s="36" t="s">
        <v>417</v>
      </c>
      <c r="E548" s="36" t="s">
        <v>359</v>
      </c>
      <c r="F548" s="35" t="s">
        <v>418</v>
      </c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34">
        <v>1</v>
      </c>
      <c r="AD548" s="34">
        <v>1</v>
      </c>
      <c r="AE548" s="34">
        <v>1</v>
      </c>
      <c r="AF548" s="34">
        <v>1</v>
      </c>
      <c r="AG548" s="34">
        <v>1</v>
      </c>
      <c r="AH548" s="34">
        <v>1</v>
      </c>
      <c r="AI548" s="34">
        <v>1</v>
      </c>
      <c r="AJ548" s="46"/>
      <c r="AK548" s="46"/>
      <c r="AL548" s="10">
        <f t="shared" si="35"/>
        <v>7</v>
      </c>
      <c r="AM548" s="11">
        <v>32000</v>
      </c>
      <c r="AN548" s="12">
        <f t="shared" si="36"/>
        <v>224000</v>
      </c>
      <c r="AO548" s="1"/>
    </row>
    <row r="549" spans="1:41" ht="13.5" customHeight="1">
      <c r="A549" s="51" t="s">
        <v>62</v>
      </c>
      <c r="B549" s="35">
        <v>118</v>
      </c>
      <c r="C549" s="36" t="s">
        <v>170</v>
      </c>
      <c r="D549" s="36" t="s">
        <v>307</v>
      </c>
      <c r="E549" s="36" t="s">
        <v>548</v>
      </c>
      <c r="F549" s="35" t="s">
        <v>308</v>
      </c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37">
        <v>1</v>
      </c>
      <c r="AD549" s="37">
        <v>1</v>
      </c>
      <c r="AE549" s="37">
        <v>1</v>
      </c>
      <c r="AF549" s="37">
        <v>1</v>
      </c>
      <c r="AG549" s="37">
        <v>1</v>
      </c>
      <c r="AH549" s="37">
        <v>1</v>
      </c>
      <c r="AI549" s="37">
        <v>1</v>
      </c>
      <c r="AJ549" s="52"/>
      <c r="AK549" s="52"/>
      <c r="AL549" s="10">
        <f t="shared" si="35"/>
        <v>7</v>
      </c>
      <c r="AM549" s="12">
        <v>32000</v>
      </c>
      <c r="AN549" s="12">
        <f t="shared" si="36"/>
        <v>224000</v>
      </c>
      <c r="AO549" s="1"/>
    </row>
    <row r="550" spans="1:41" ht="13.5" customHeight="1">
      <c r="A550" s="45" t="s">
        <v>62</v>
      </c>
      <c r="B550" s="32">
        <v>23</v>
      </c>
      <c r="C550" s="36" t="s">
        <v>179</v>
      </c>
      <c r="D550" s="36" t="s">
        <v>715</v>
      </c>
      <c r="E550" s="36" t="s">
        <v>140</v>
      </c>
      <c r="F550" s="35" t="s">
        <v>1347</v>
      </c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37">
        <v>1</v>
      </c>
      <c r="AD550" s="37">
        <v>1</v>
      </c>
      <c r="AE550" s="37">
        <v>1</v>
      </c>
      <c r="AF550" s="37">
        <v>1</v>
      </c>
      <c r="AG550" s="37">
        <v>1</v>
      </c>
      <c r="AH550" s="37">
        <v>1</v>
      </c>
      <c r="AI550" s="37">
        <v>1</v>
      </c>
      <c r="AJ550" s="52"/>
      <c r="AK550" s="52"/>
      <c r="AL550" s="10">
        <f t="shared" ref="AL550:AL555" si="37">SUM(G550:AK550)</f>
        <v>7</v>
      </c>
      <c r="AM550" s="11">
        <v>32000</v>
      </c>
      <c r="AN550" s="12">
        <f t="shared" ref="AN550:AN555" si="38">AM550*AL550</f>
        <v>224000</v>
      </c>
      <c r="AO550" s="1"/>
    </row>
    <row r="551" spans="1:41" ht="13.5" customHeight="1">
      <c r="A551" s="51" t="s">
        <v>62</v>
      </c>
      <c r="B551" s="32">
        <v>24</v>
      </c>
      <c r="C551" s="36" t="s">
        <v>17</v>
      </c>
      <c r="D551" s="36" t="s">
        <v>1339</v>
      </c>
      <c r="E551" s="36" t="s">
        <v>1340</v>
      </c>
      <c r="F551" s="35" t="s">
        <v>1346</v>
      </c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37">
        <v>1</v>
      </c>
      <c r="AD551" s="37">
        <v>1</v>
      </c>
      <c r="AE551" s="37">
        <v>1</v>
      </c>
      <c r="AF551" s="37">
        <v>1</v>
      </c>
      <c r="AG551" s="37">
        <v>1</v>
      </c>
      <c r="AH551" s="37">
        <v>1</v>
      </c>
      <c r="AI551" s="37">
        <v>1</v>
      </c>
      <c r="AJ551" s="52"/>
      <c r="AK551" s="52"/>
      <c r="AL551" s="10">
        <f t="shared" si="37"/>
        <v>7</v>
      </c>
      <c r="AM551" s="12">
        <v>32000</v>
      </c>
      <c r="AN551" s="12">
        <f t="shared" si="38"/>
        <v>224000</v>
      </c>
      <c r="AO551" s="1"/>
    </row>
    <row r="552" spans="1:41" ht="13.5" customHeight="1">
      <c r="A552" s="45" t="s">
        <v>62</v>
      </c>
      <c r="B552" s="32">
        <v>42</v>
      </c>
      <c r="C552" s="36" t="s">
        <v>202</v>
      </c>
      <c r="D552" s="36" t="s">
        <v>966</v>
      </c>
      <c r="E552" s="36" t="s">
        <v>101</v>
      </c>
      <c r="F552" s="35" t="s">
        <v>1345</v>
      </c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37">
        <v>1</v>
      </c>
      <c r="AD552" s="37">
        <v>1</v>
      </c>
      <c r="AE552" s="37">
        <v>1</v>
      </c>
      <c r="AF552" s="37">
        <v>1</v>
      </c>
      <c r="AG552" s="37">
        <v>1</v>
      </c>
      <c r="AH552" s="37">
        <v>1</v>
      </c>
      <c r="AI552" s="37">
        <v>1</v>
      </c>
      <c r="AJ552" s="52"/>
      <c r="AK552" s="52"/>
      <c r="AL552" s="10">
        <f t="shared" si="37"/>
        <v>7</v>
      </c>
      <c r="AM552" s="11">
        <v>32000</v>
      </c>
      <c r="AN552" s="12">
        <f t="shared" si="38"/>
        <v>224000</v>
      </c>
      <c r="AO552" s="1"/>
    </row>
    <row r="553" spans="1:41" ht="13.5" customHeight="1">
      <c r="A553" s="51" t="s">
        <v>62</v>
      </c>
      <c r="B553" s="32">
        <v>77</v>
      </c>
      <c r="C553" s="36" t="s">
        <v>1341</v>
      </c>
      <c r="D553" s="36" t="s">
        <v>166</v>
      </c>
      <c r="E553" s="36" t="s">
        <v>1342</v>
      </c>
      <c r="F553" s="35" t="s">
        <v>1344</v>
      </c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37">
        <v>1</v>
      </c>
      <c r="AD553" s="37">
        <v>1</v>
      </c>
      <c r="AE553" s="37">
        <v>1</v>
      </c>
      <c r="AF553" s="37">
        <v>1</v>
      </c>
      <c r="AG553" s="37">
        <v>1</v>
      </c>
      <c r="AH553" s="37">
        <v>1</v>
      </c>
      <c r="AI553" s="37">
        <v>1</v>
      </c>
      <c r="AJ553" s="52"/>
      <c r="AK553" s="52"/>
      <c r="AL553" s="10">
        <f t="shared" si="37"/>
        <v>7</v>
      </c>
      <c r="AM553" s="12">
        <v>32000</v>
      </c>
      <c r="AN553" s="12">
        <f t="shared" si="38"/>
        <v>224000</v>
      </c>
      <c r="AO553" s="1"/>
    </row>
    <row r="554" spans="1:41" ht="13.5" customHeight="1">
      <c r="A554" s="45" t="s">
        <v>62</v>
      </c>
      <c r="B554" s="32">
        <v>84</v>
      </c>
      <c r="C554" s="36" t="s">
        <v>157</v>
      </c>
      <c r="D554" s="36" t="s">
        <v>376</v>
      </c>
      <c r="E554" s="36" t="s">
        <v>135</v>
      </c>
      <c r="F554" s="35" t="s">
        <v>1343</v>
      </c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37">
        <v>1</v>
      </c>
      <c r="AD554" s="37">
        <v>1</v>
      </c>
      <c r="AE554" s="37">
        <v>1</v>
      </c>
      <c r="AF554" s="37">
        <v>1</v>
      </c>
      <c r="AG554" s="37">
        <v>1</v>
      </c>
      <c r="AH554" s="37">
        <v>1</v>
      </c>
      <c r="AI554" s="37">
        <v>1</v>
      </c>
      <c r="AJ554" s="52"/>
      <c r="AK554" s="52"/>
      <c r="AL554" s="10">
        <f t="shared" si="37"/>
        <v>7</v>
      </c>
      <c r="AM554" s="11">
        <v>32000</v>
      </c>
      <c r="AN554" s="12">
        <f t="shared" si="38"/>
        <v>224000</v>
      </c>
      <c r="AO554" s="1"/>
    </row>
    <row r="555" spans="1:41" ht="13.5" customHeight="1">
      <c r="A555" s="51" t="s">
        <v>62</v>
      </c>
      <c r="B555" s="32">
        <v>4</v>
      </c>
      <c r="C555" s="36" t="s">
        <v>377</v>
      </c>
      <c r="D555" s="36" t="s">
        <v>10</v>
      </c>
      <c r="E555" s="36" t="s">
        <v>1348</v>
      </c>
      <c r="F555" s="35" t="s">
        <v>1349</v>
      </c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37">
        <v>1</v>
      </c>
      <c r="AD555" s="37">
        <v>1</v>
      </c>
      <c r="AE555" s="37">
        <v>1</v>
      </c>
      <c r="AF555" s="37">
        <v>1</v>
      </c>
      <c r="AG555" s="37">
        <v>1</v>
      </c>
      <c r="AH555" s="37">
        <v>1</v>
      </c>
      <c r="AI555" s="37">
        <v>1</v>
      </c>
      <c r="AJ555" s="52"/>
      <c r="AK555" s="52"/>
      <c r="AL555" s="10">
        <f t="shared" si="37"/>
        <v>7</v>
      </c>
      <c r="AM555" s="12">
        <v>32000</v>
      </c>
      <c r="AN555" s="12">
        <f t="shared" si="38"/>
        <v>224000</v>
      </c>
      <c r="AO555" s="1"/>
    </row>
    <row r="556" spans="1:41" ht="13.5" customHeight="1">
      <c r="A556" s="45" t="s">
        <v>62</v>
      </c>
      <c r="B556" s="35">
        <v>77</v>
      </c>
      <c r="C556" s="36" t="s">
        <v>166</v>
      </c>
      <c r="D556" s="36"/>
      <c r="E556" s="36" t="s">
        <v>1342</v>
      </c>
      <c r="F556" s="35" t="s">
        <v>1350</v>
      </c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37">
        <v>1</v>
      </c>
      <c r="AD556" s="37">
        <v>1</v>
      </c>
      <c r="AE556" s="37">
        <v>1</v>
      </c>
      <c r="AF556" s="37">
        <v>1</v>
      </c>
      <c r="AG556" s="37">
        <v>1</v>
      </c>
      <c r="AH556" s="37">
        <v>1</v>
      </c>
      <c r="AI556" s="37">
        <v>1</v>
      </c>
      <c r="AJ556" s="46"/>
      <c r="AK556" s="46"/>
      <c r="AL556" s="10">
        <f t="shared" ref="AL556:AL558" si="39">SUM(G556:AK556)</f>
        <v>7</v>
      </c>
      <c r="AM556" s="12">
        <v>32000</v>
      </c>
      <c r="AN556" s="12">
        <f t="shared" ref="AN556:AN558" si="40">AM556*AL556</f>
        <v>224000</v>
      </c>
      <c r="AO556" s="1"/>
    </row>
    <row r="557" spans="1:41" ht="13.5" customHeight="1">
      <c r="A557" s="51" t="s">
        <v>62</v>
      </c>
      <c r="B557" s="35">
        <v>11</v>
      </c>
      <c r="C557" s="36" t="s">
        <v>1351</v>
      </c>
      <c r="D557" s="36" t="s">
        <v>162</v>
      </c>
      <c r="E557" s="36" t="s">
        <v>53</v>
      </c>
      <c r="F557" s="35" t="s">
        <v>1354</v>
      </c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37">
        <v>1</v>
      </c>
      <c r="AD557" s="37">
        <v>1</v>
      </c>
      <c r="AE557" s="37">
        <v>1</v>
      </c>
      <c r="AF557" s="37">
        <v>1</v>
      </c>
      <c r="AG557" s="37">
        <v>1</v>
      </c>
      <c r="AH557" s="37">
        <v>1</v>
      </c>
      <c r="AI557" s="37">
        <v>1</v>
      </c>
      <c r="AJ557" s="46"/>
      <c r="AK557" s="46"/>
      <c r="AL557" s="10">
        <f t="shared" si="39"/>
        <v>7</v>
      </c>
      <c r="AM557" s="11">
        <v>32000</v>
      </c>
      <c r="AN557" s="12">
        <f t="shared" si="40"/>
        <v>224000</v>
      </c>
      <c r="AO557" s="1"/>
    </row>
    <row r="558" spans="1:41" ht="13.5" customHeight="1">
      <c r="A558" s="45" t="s">
        <v>62</v>
      </c>
      <c r="B558" s="35">
        <v>86</v>
      </c>
      <c r="C558" s="36" t="s">
        <v>1352</v>
      </c>
      <c r="D558" s="36"/>
      <c r="E558" s="36" t="s">
        <v>104</v>
      </c>
      <c r="F558" s="35" t="s">
        <v>1353</v>
      </c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37">
        <v>1</v>
      </c>
      <c r="AD558" s="37">
        <v>1</v>
      </c>
      <c r="AE558" s="37">
        <v>1</v>
      </c>
      <c r="AF558" s="37">
        <v>1</v>
      </c>
      <c r="AG558" s="37">
        <v>1</v>
      </c>
      <c r="AH558" s="37">
        <v>1</v>
      </c>
      <c r="AI558" s="37">
        <v>1</v>
      </c>
      <c r="AJ558" s="46"/>
      <c r="AK558" s="46"/>
      <c r="AL558" s="10">
        <f t="shared" si="39"/>
        <v>7</v>
      </c>
      <c r="AM558" s="12">
        <v>32000</v>
      </c>
      <c r="AN558" s="12">
        <f t="shared" si="40"/>
        <v>224000</v>
      </c>
      <c r="AO558" s="1"/>
    </row>
    <row r="559" spans="1:41" ht="13.5" customHeight="1">
      <c r="A559" s="51" t="s">
        <v>1501</v>
      </c>
      <c r="B559" s="65">
        <v>404</v>
      </c>
      <c r="C559" s="36" t="s">
        <v>39</v>
      </c>
      <c r="D559" s="36"/>
      <c r="E559" s="36" t="s">
        <v>1267</v>
      </c>
      <c r="F559" s="35" t="s">
        <v>1268</v>
      </c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37">
        <v>1</v>
      </c>
      <c r="AJ559" s="46"/>
      <c r="AK559" s="46"/>
      <c r="AL559" s="10">
        <f t="shared" ref="AL559:AL575" si="41">SUM(G559:AK559)</f>
        <v>1</v>
      </c>
      <c r="AM559" s="11">
        <v>32000</v>
      </c>
      <c r="AN559" s="12">
        <f t="shared" ref="AN559:AN575" si="42">AM559*AL559</f>
        <v>32000</v>
      </c>
      <c r="AO559" s="76" t="s">
        <v>886</v>
      </c>
    </row>
    <row r="560" spans="1:41" ht="13.5" customHeight="1">
      <c r="A560" s="51" t="s">
        <v>1501</v>
      </c>
      <c r="B560" s="65">
        <v>404</v>
      </c>
      <c r="C560" s="36" t="s">
        <v>1269</v>
      </c>
      <c r="D560" s="36"/>
      <c r="E560" s="36" t="s">
        <v>37</v>
      </c>
      <c r="F560" s="35" t="s">
        <v>1270</v>
      </c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37">
        <v>1</v>
      </c>
      <c r="AJ560" s="46"/>
      <c r="AK560" s="46"/>
      <c r="AL560" s="10">
        <f t="shared" si="41"/>
        <v>1</v>
      </c>
      <c r="AM560" s="12">
        <v>32000</v>
      </c>
      <c r="AN560" s="12">
        <f t="shared" si="42"/>
        <v>32000</v>
      </c>
      <c r="AO560" s="76" t="s">
        <v>886</v>
      </c>
    </row>
    <row r="561" spans="1:41" ht="13.5" customHeight="1">
      <c r="A561" s="51" t="s">
        <v>1501</v>
      </c>
      <c r="B561" s="65">
        <v>403</v>
      </c>
      <c r="C561" s="36" t="s">
        <v>38</v>
      </c>
      <c r="D561" s="36"/>
      <c r="E561" s="36" t="s">
        <v>1262</v>
      </c>
      <c r="F561" s="35" t="s">
        <v>1263</v>
      </c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37">
        <v>1</v>
      </c>
      <c r="AJ561" s="46"/>
      <c r="AK561" s="46"/>
      <c r="AL561" s="10">
        <f t="shared" si="41"/>
        <v>1</v>
      </c>
      <c r="AM561" s="11">
        <v>32000</v>
      </c>
      <c r="AN561" s="12">
        <f t="shared" si="42"/>
        <v>32000</v>
      </c>
      <c r="AO561" s="76" t="s">
        <v>886</v>
      </c>
    </row>
    <row r="562" spans="1:41" ht="13.5" customHeight="1">
      <c r="A562" s="51" t="s">
        <v>1501</v>
      </c>
      <c r="B562" s="65">
        <v>403</v>
      </c>
      <c r="C562" s="36" t="s">
        <v>14</v>
      </c>
      <c r="D562" s="36"/>
      <c r="E562" s="36" t="s">
        <v>1257</v>
      </c>
      <c r="F562" s="35" t="s">
        <v>1258</v>
      </c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37">
        <v>1</v>
      </c>
      <c r="AJ562" s="46"/>
      <c r="AK562" s="46"/>
      <c r="AL562" s="10">
        <f t="shared" si="41"/>
        <v>1</v>
      </c>
      <c r="AM562" s="12">
        <v>32000</v>
      </c>
      <c r="AN562" s="12">
        <f t="shared" si="42"/>
        <v>32000</v>
      </c>
      <c r="AO562" s="76" t="s">
        <v>886</v>
      </c>
    </row>
    <row r="563" spans="1:41" ht="13.5" customHeight="1">
      <c r="A563" s="51" t="s">
        <v>1501</v>
      </c>
      <c r="B563" s="65">
        <v>603</v>
      </c>
      <c r="C563" s="36" t="s">
        <v>41</v>
      </c>
      <c r="D563" s="36"/>
      <c r="E563" s="36" t="s">
        <v>37</v>
      </c>
      <c r="F563" s="35" t="s">
        <v>1243</v>
      </c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37">
        <v>1</v>
      </c>
      <c r="AJ563" s="46"/>
      <c r="AK563" s="46"/>
      <c r="AL563" s="10">
        <f t="shared" si="41"/>
        <v>1</v>
      </c>
      <c r="AM563" s="11">
        <v>32000</v>
      </c>
      <c r="AN563" s="12">
        <f t="shared" si="42"/>
        <v>32000</v>
      </c>
      <c r="AO563" s="76" t="s">
        <v>886</v>
      </c>
    </row>
    <row r="564" spans="1:41" ht="13.5" customHeight="1">
      <c r="A564" s="51" t="s">
        <v>1501</v>
      </c>
      <c r="B564" s="65">
        <v>301</v>
      </c>
      <c r="C564" s="36" t="s">
        <v>1241</v>
      </c>
      <c r="D564" s="36"/>
      <c r="E564" s="36" t="s">
        <v>185</v>
      </c>
      <c r="F564" s="35" t="s">
        <v>1242</v>
      </c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37">
        <v>1</v>
      </c>
      <c r="AJ564" s="46"/>
      <c r="AK564" s="46"/>
      <c r="AL564" s="10">
        <f t="shared" si="41"/>
        <v>1</v>
      </c>
      <c r="AM564" s="12">
        <v>32000</v>
      </c>
      <c r="AN564" s="12">
        <f t="shared" si="42"/>
        <v>32000</v>
      </c>
      <c r="AO564" s="76" t="s">
        <v>886</v>
      </c>
    </row>
    <row r="565" spans="1:41" ht="13.5" customHeight="1">
      <c r="A565" s="51" t="s">
        <v>1501</v>
      </c>
      <c r="B565" s="65">
        <v>202</v>
      </c>
      <c r="C565" s="36" t="s">
        <v>1244</v>
      </c>
      <c r="D565" s="36"/>
      <c r="E565" s="36" t="s">
        <v>40</v>
      </c>
      <c r="F565" s="35" t="s">
        <v>1245</v>
      </c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37">
        <v>1</v>
      </c>
      <c r="AJ565" s="46"/>
      <c r="AK565" s="46"/>
      <c r="AL565" s="10">
        <f t="shared" si="41"/>
        <v>1</v>
      </c>
      <c r="AM565" s="11">
        <v>32000</v>
      </c>
      <c r="AN565" s="12">
        <f t="shared" si="42"/>
        <v>32000</v>
      </c>
      <c r="AO565" s="76" t="s">
        <v>886</v>
      </c>
    </row>
    <row r="566" spans="1:41" ht="13.5" customHeight="1">
      <c r="A566" s="51" t="s">
        <v>1501</v>
      </c>
      <c r="B566" s="65">
        <v>203</v>
      </c>
      <c r="C566" s="36" t="s">
        <v>1259</v>
      </c>
      <c r="D566" s="36"/>
      <c r="E566" s="36" t="s">
        <v>1260</v>
      </c>
      <c r="F566" s="35" t="s">
        <v>1261</v>
      </c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37">
        <v>1</v>
      </c>
      <c r="AJ566" s="46"/>
      <c r="AK566" s="46"/>
      <c r="AL566" s="10">
        <f t="shared" si="41"/>
        <v>1</v>
      </c>
      <c r="AM566" s="12">
        <v>32000</v>
      </c>
      <c r="AN566" s="12">
        <f t="shared" si="42"/>
        <v>32000</v>
      </c>
      <c r="AO566" s="76" t="s">
        <v>886</v>
      </c>
    </row>
    <row r="567" spans="1:41" ht="13.5" customHeight="1">
      <c r="A567" s="51" t="s">
        <v>1501</v>
      </c>
      <c r="B567" s="65">
        <v>603</v>
      </c>
      <c r="C567" s="36" t="s">
        <v>66</v>
      </c>
      <c r="D567" s="36"/>
      <c r="E567" s="36" t="s">
        <v>155</v>
      </c>
      <c r="F567" s="35" t="s">
        <v>979</v>
      </c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37">
        <v>1</v>
      </c>
      <c r="AJ567" s="46"/>
      <c r="AK567" s="46"/>
      <c r="AL567" s="10">
        <f t="shared" si="41"/>
        <v>1</v>
      </c>
      <c r="AM567" s="11">
        <v>32000</v>
      </c>
      <c r="AN567" s="12">
        <f t="shared" si="42"/>
        <v>32000</v>
      </c>
      <c r="AO567" s="76" t="s">
        <v>886</v>
      </c>
    </row>
    <row r="568" spans="1:41" ht="13.5" customHeight="1">
      <c r="A568" s="51" t="s">
        <v>1501</v>
      </c>
      <c r="B568" s="65">
        <v>301</v>
      </c>
      <c r="C568" s="36" t="s">
        <v>1239</v>
      </c>
      <c r="D568" s="36"/>
      <c r="E568" s="36" t="s">
        <v>43</v>
      </c>
      <c r="F568" s="35" t="s">
        <v>1240</v>
      </c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37">
        <v>1</v>
      </c>
      <c r="AJ568" s="46"/>
      <c r="AK568" s="46"/>
      <c r="AL568" s="10">
        <f t="shared" si="41"/>
        <v>1</v>
      </c>
      <c r="AM568" s="12">
        <v>32000</v>
      </c>
      <c r="AN568" s="12">
        <f t="shared" si="42"/>
        <v>32000</v>
      </c>
      <c r="AO568" s="76" t="s">
        <v>886</v>
      </c>
    </row>
    <row r="569" spans="1:41" ht="13.5" customHeight="1">
      <c r="A569" s="51" t="s">
        <v>1501</v>
      </c>
      <c r="B569" s="65">
        <v>601</v>
      </c>
      <c r="C569" s="36" t="s">
        <v>1246</v>
      </c>
      <c r="D569" s="36"/>
      <c r="E569" s="36" t="s">
        <v>24</v>
      </c>
      <c r="F569" s="35" t="s">
        <v>1355</v>
      </c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37">
        <v>1</v>
      </c>
      <c r="AJ569" s="46"/>
      <c r="AK569" s="46"/>
      <c r="AL569" s="10">
        <f t="shared" si="41"/>
        <v>1</v>
      </c>
      <c r="AM569" s="11">
        <v>32000</v>
      </c>
      <c r="AN569" s="12">
        <f t="shared" si="42"/>
        <v>32000</v>
      </c>
      <c r="AO569" s="76" t="s">
        <v>886</v>
      </c>
    </row>
    <row r="570" spans="1:41" ht="13.5" customHeight="1">
      <c r="A570" s="51" t="s">
        <v>1501</v>
      </c>
      <c r="B570" s="65">
        <v>601</v>
      </c>
      <c r="C570" s="36" t="s">
        <v>45</v>
      </c>
      <c r="D570" s="36"/>
      <c r="E570" s="36" t="s">
        <v>46</v>
      </c>
      <c r="F570" s="35" t="s">
        <v>1248</v>
      </c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37">
        <v>1</v>
      </c>
      <c r="AJ570" s="46"/>
      <c r="AK570" s="46"/>
      <c r="AL570" s="10">
        <f t="shared" si="41"/>
        <v>1</v>
      </c>
      <c r="AM570" s="12">
        <v>32000</v>
      </c>
      <c r="AN570" s="12">
        <f t="shared" si="42"/>
        <v>32000</v>
      </c>
      <c r="AO570" s="76" t="s">
        <v>886</v>
      </c>
    </row>
    <row r="571" spans="1:41" ht="13.5" customHeight="1">
      <c r="A571" s="51" t="s">
        <v>1501</v>
      </c>
      <c r="B571" s="65">
        <v>602</v>
      </c>
      <c r="C571" s="36" t="s">
        <v>1235</v>
      </c>
      <c r="D571" s="36"/>
      <c r="E571" s="36" t="s">
        <v>1236</v>
      </c>
      <c r="F571" s="35" t="s">
        <v>1237</v>
      </c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37">
        <v>1</v>
      </c>
      <c r="AJ571" s="46"/>
      <c r="AK571" s="46"/>
      <c r="AL571" s="10">
        <f t="shared" si="41"/>
        <v>1</v>
      </c>
      <c r="AM571" s="11">
        <v>32000</v>
      </c>
      <c r="AN571" s="12">
        <f t="shared" si="42"/>
        <v>32000</v>
      </c>
      <c r="AO571" s="76" t="s">
        <v>886</v>
      </c>
    </row>
    <row r="572" spans="1:41" ht="13.5" customHeight="1">
      <c r="A572" s="51" t="s">
        <v>1501</v>
      </c>
      <c r="B572" s="65">
        <v>602</v>
      </c>
      <c r="C572" s="36" t="s">
        <v>26</v>
      </c>
      <c r="D572" s="36"/>
      <c r="E572" s="36" t="s">
        <v>42</v>
      </c>
      <c r="F572" s="35" t="s">
        <v>1238</v>
      </c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37">
        <v>1</v>
      </c>
      <c r="AJ572" s="46"/>
      <c r="AK572" s="46"/>
      <c r="AL572" s="10">
        <f t="shared" si="41"/>
        <v>1</v>
      </c>
      <c r="AM572" s="12">
        <v>32000</v>
      </c>
      <c r="AN572" s="12">
        <f t="shared" si="42"/>
        <v>32000</v>
      </c>
      <c r="AO572" s="76" t="s">
        <v>886</v>
      </c>
    </row>
    <row r="573" spans="1:41" ht="13.5" customHeight="1">
      <c r="A573" s="51" t="s">
        <v>1501</v>
      </c>
      <c r="B573" s="65">
        <v>603</v>
      </c>
      <c r="C573" s="36" t="s">
        <v>1254</v>
      </c>
      <c r="D573" s="36"/>
      <c r="E573" s="36" t="s">
        <v>1255</v>
      </c>
      <c r="F573" s="35" t="s">
        <v>1256</v>
      </c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37">
        <v>1</v>
      </c>
      <c r="AJ573" s="46"/>
      <c r="AK573" s="46"/>
      <c r="AL573" s="10">
        <f t="shared" si="41"/>
        <v>1</v>
      </c>
      <c r="AM573" s="11">
        <v>32000</v>
      </c>
      <c r="AN573" s="12">
        <f t="shared" si="42"/>
        <v>32000</v>
      </c>
      <c r="AO573" s="76" t="s">
        <v>886</v>
      </c>
    </row>
    <row r="574" spans="1:41" ht="13.5" customHeight="1">
      <c r="A574" s="51" t="s">
        <v>1501</v>
      </c>
      <c r="B574" s="65">
        <v>603</v>
      </c>
      <c r="C574" s="36" t="s">
        <v>94</v>
      </c>
      <c r="D574" s="36"/>
      <c r="E574" s="36" t="s">
        <v>1265</v>
      </c>
      <c r="F574" s="35" t="s">
        <v>1247</v>
      </c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37">
        <v>1</v>
      </c>
      <c r="AJ574" s="46"/>
      <c r="AK574" s="46"/>
      <c r="AL574" s="10">
        <f t="shared" si="41"/>
        <v>1</v>
      </c>
      <c r="AM574" s="12">
        <v>32000</v>
      </c>
      <c r="AN574" s="12">
        <f t="shared" si="42"/>
        <v>32000</v>
      </c>
      <c r="AO574" s="76" t="s">
        <v>886</v>
      </c>
    </row>
    <row r="575" spans="1:41" ht="13.5" customHeight="1" thickBot="1">
      <c r="A575" s="51" t="s">
        <v>1501</v>
      </c>
      <c r="B575" s="65">
        <v>604</v>
      </c>
      <c r="C575" s="38" t="s">
        <v>228</v>
      </c>
      <c r="D575" s="38"/>
      <c r="E575" s="38" t="s">
        <v>225</v>
      </c>
      <c r="F575" s="59" t="s">
        <v>1272</v>
      </c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39">
        <v>1</v>
      </c>
      <c r="AJ575" s="50"/>
      <c r="AK575" s="50"/>
      <c r="AL575" s="13">
        <f t="shared" si="41"/>
        <v>1</v>
      </c>
      <c r="AM575" s="14">
        <v>32000</v>
      </c>
      <c r="AN575" s="14">
        <f t="shared" si="42"/>
        <v>32000</v>
      </c>
      <c r="AO575" s="76" t="s">
        <v>886</v>
      </c>
    </row>
    <row r="576" spans="1:41" ht="13.5" customHeight="1">
      <c r="A576" s="45" t="s">
        <v>62</v>
      </c>
      <c r="B576" s="32">
        <v>2</v>
      </c>
      <c r="C576" s="33" t="s">
        <v>45</v>
      </c>
      <c r="D576" s="33" t="s">
        <v>383</v>
      </c>
      <c r="E576" s="33" t="s">
        <v>28</v>
      </c>
      <c r="F576" s="32" t="s">
        <v>1337</v>
      </c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34">
        <v>1</v>
      </c>
      <c r="AK576" s="34">
        <v>1</v>
      </c>
      <c r="AL576" s="42">
        <f t="shared" ref="AL576:AL639" si="43">SUM(G576:AK576)</f>
        <v>2</v>
      </c>
      <c r="AM576" s="11">
        <v>32000</v>
      </c>
      <c r="AN576" s="11">
        <f t="shared" ref="AN576:AN639" si="44">AM576*AL576</f>
        <v>64000</v>
      </c>
      <c r="AO576" s="76"/>
    </row>
    <row r="577" spans="1:41" ht="13.5" customHeight="1">
      <c r="A577" s="51" t="s">
        <v>62</v>
      </c>
      <c r="B577" s="35">
        <v>2</v>
      </c>
      <c r="C577" s="36" t="s">
        <v>353</v>
      </c>
      <c r="D577" s="36" t="s">
        <v>427</v>
      </c>
      <c r="E577" s="36" t="s">
        <v>547</v>
      </c>
      <c r="F577" s="35" t="s">
        <v>431</v>
      </c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34">
        <v>1</v>
      </c>
      <c r="AK577" s="34">
        <v>1</v>
      </c>
      <c r="AL577" s="10">
        <f t="shared" si="43"/>
        <v>2</v>
      </c>
      <c r="AM577" s="11">
        <v>32000</v>
      </c>
      <c r="AN577" s="12">
        <f t="shared" si="44"/>
        <v>64000</v>
      </c>
      <c r="AO577" s="76"/>
    </row>
    <row r="578" spans="1:41" ht="13.5" customHeight="1">
      <c r="A578" s="45" t="s">
        <v>62</v>
      </c>
      <c r="B578" s="35">
        <v>3</v>
      </c>
      <c r="C578" s="36" t="s">
        <v>1356</v>
      </c>
      <c r="D578" s="36" t="s">
        <v>159</v>
      </c>
      <c r="E578" s="36" t="s">
        <v>140</v>
      </c>
      <c r="F578" s="35" t="s">
        <v>435</v>
      </c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34">
        <v>1</v>
      </c>
      <c r="AK578" s="34">
        <v>1</v>
      </c>
      <c r="AL578" s="10">
        <f t="shared" si="43"/>
        <v>2</v>
      </c>
      <c r="AM578" s="12">
        <v>32000</v>
      </c>
      <c r="AN578" s="12">
        <f t="shared" si="44"/>
        <v>64000</v>
      </c>
      <c r="AO578" s="76"/>
    </row>
    <row r="579" spans="1:41" ht="13.5" customHeight="1">
      <c r="A579" s="51" t="s">
        <v>62</v>
      </c>
      <c r="B579" s="35">
        <v>3</v>
      </c>
      <c r="C579" s="36" t="s">
        <v>1357</v>
      </c>
      <c r="D579" s="36" t="s">
        <v>67</v>
      </c>
      <c r="E579" s="36" t="s">
        <v>437</v>
      </c>
      <c r="F579" s="35" t="s">
        <v>1358</v>
      </c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34">
        <v>1</v>
      </c>
      <c r="AK579" s="34">
        <v>1</v>
      </c>
      <c r="AL579" s="10">
        <f t="shared" si="43"/>
        <v>2</v>
      </c>
      <c r="AM579" s="11">
        <v>32000</v>
      </c>
      <c r="AN579" s="12">
        <f t="shared" si="44"/>
        <v>64000</v>
      </c>
      <c r="AO579" s="76"/>
    </row>
    <row r="580" spans="1:41" ht="13.5" customHeight="1">
      <c r="A580" s="45" t="s">
        <v>62</v>
      </c>
      <c r="B580" s="35">
        <v>7</v>
      </c>
      <c r="C580" s="36" t="s">
        <v>711</v>
      </c>
      <c r="D580" s="36" t="s">
        <v>98</v>
      </c>
      <c r="E580" s="36" t="s">
        <v>229</v>
      </c>
      <c r="F580" s="35" t="s">
        <v>764</v>
      </c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34">
        <v>1</v>
      </c>
      <c r="AK580" s="34">
        <v>1</v>
      </c>
      <c r="AL580" s="10">
        <f t="shared" si="43"/>
        <v>2</v>
      </c>
      <c r="AM580" s="12">
        <v>32000</v>
      </c>
      <c r="AN580" s="12">
        <f t="shared" si="44"/>
        <v>64000</v>
      </c>
      <c r="AO580" s="76"/>
    </row>
    <row r="581" spans="1:41" ht="13.5" customHeight="1">
      <c r="A581" s="51" t="s">
        <v>62</v>
      </c>
      <c r="B581" s="35">
        <v>7</v>
      </c>
      <c r="C581" s="36" t="s">
        <v>765</v>
      </c>
      <c r="D581" s="36" t="s">
        <v>766</v>
      </c>
      <c r="E581" s="36" t="s">
        <v>371</v>
      </c>
      <c r="F581" s="35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34">
        <v>1</v>
      </c>
      <c r="AK581" s="34">
        <v>1</v>
      </c>
      <c r="AL581" s="10">
        <f t="shared" si="43"/>
        <v>2</v>
      </c>
      <c r="AM581" s="11">
        <v>32000</v>
      </c>
      <c r="AN581" s="12">
        <f t="shared" si="44"/>
        <v>64000</v>
      </c>
      <c r="AO581" s="76"/>
    </row>
    <row r="582" spans="1:41" ht="13.5" customHeight="1">
      <c r="A582" s="45" t="s">
        <v>62</v>
      </c>
      <c r="B582" s="35">
        <v>8</v>
      </c>
      <c r="C582" s="36" t="s">
        <v>674</v>
      </c>
      <c r="D582" s="36" t="s">
        <v>94</v>
      </c>
      <c r="E582" s="36" t="s">
        <v>9</v>
      </c>
      <c r="F582" s="35" t="s">
        <v>1359</v>
      </c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34">
        <v>1</v>
      </c>
      <c r="AK582" s="34">
        <v>1</v>
      </c>
      <c r="AL582" s="10">
        <f t="shared" si="43"/>
        <v>2</v>
      </c>
      <c r="AM582" s="12">
        <v>32000</v>
      </c>
      <c r="AN582" s="12">
        <f t="shared" si="44"/>
        <v>64000</v>
      </c>
      <c r="AO582" s="76"/>
    </row>
    <row r="583" spans="1:41" ht="13.5" customHeight="1">
      <c r="A583" s="51" t="s">
        <v>62</v>
      </c>
      <c r="B583" s="35">
        <v>8</v>
      </c>
      <c r="C583" s="36" t="s">
        <v>19</v>
      </c>
      <c r="D583" s="36" t="s">
        <v>438</v>
      </c>
      <c r="E583" s="36" t="s">
        <v>64</v>
      </c>
      <c r="F583" s="35" t="s">
        <v>443</v>
      </c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34">
        <v>1</v>
      </c>
      <c r="AK583" s="34">
        <v>1</v>
      </c>
      <c r="AL583" s="10">
        <f t="shared" si="43"/>
        <v>2</v>
      </c>
      <c r="AM583" s="11">
        <v>32000</v>
      </c>
      <c r="AN583" s="12">
        <f t="shared" si="44"/>
        <v>64000</v>
      </c>
      <c r="AO583" s="76"/>
    </row>
    <row r="584" spans="1:41" ht="13.5" customHeight="1">
      <c r="A584" s="45" t="s">
        <v>62</v>
      </c>
      <c r="B584" s="35">
        <v>9</v>
      </c>
      <c r="C584" s="36" t="s">
        <v>1360</v>
      </c>
      <c r="D584" s="36" t="s">
        <v>179</v>
      </c>
      <c r="E584" s="36" t="s">
        <v>25</v>
      </c>
      <c r="F584" s="35" t="s">
        <v>1361</v>
      </c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34">
        <v>1</v>
      </c>
      <c r="AK584" s="34">
        <v>1</v>
      </c>
      <c r="AL584" s="10">
        <f t="shared" si="43"/>
        <v>2</v>
      </c>
      <c r="AM584" s="12">
        <v>32000</v>
      </c>
      <c r="AN584" s="12">
        <f t="shared" si="44"/>
        <v>64000</v>
      </c>
      <c r="AO584" s="76"/>
    </row>
    <row r="585" spans="1:41" ht="13.5" customHeight="1">
      <c r="A585" s="51" t="s">
        <v>62</v>
      </c>
      <c r="B585" s="35">
        <v>9</v>
      </c>
      <c r="C585" s="36" t="s">
        <v>364</v>
      </c>
      <c r="D585" s="36" t="s">
        <v>19</v>
      </c>
      <c r="E585" s="36" t="s">
        <v>589</v>
      </c>
      <c r="F585" s="35" t="s">
        <v>1362</v>
      </c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34">
        <v>1</v>
      </c>
      <c r="AK585" s="34">
        <v>1</v>
      </c>
      <c r="AL585" s="10">
        <f t="shared" si="43"/>
        <v>2</v>
      </c>
      <c r="AM585" s="11">
        <v>32000</v>
      </c>
      <c r="AN585" s="12">
        <f t="shared" si="44"/>
        <v>64000</v>
      </c>
      <c r="AO585" s="76"/>
    </row>
    <row r="586" spans="1:41" ht="13.5" customHeight="1">
      <c r="A586" s="45" t="s">
        <v>62</v>
      </c>
      <c r="B586" s="35">
        <v>10</v>
      </c>
      <c r="C586" s="36" t="s">
        <v>596</v>
      </c>
      <c r="D586" s="36" t="s">
        <v>159</v>
      </c>
      <c r="E586" s="36" t="s">
        <v>597</v>
      </c>
      <c r="F586" s="35" t="s">
        <v>598</v>
      </c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34">
        <v>1</v>
      </c>
      <c r="AK586" s="34">
        <v>1</v>
      </c>
      <c r="AL586" s="10">
        <f t="shared" si="43"/>
        <v>2</v>
      </c>
      <c r="AM586" s="12">
        <v>32000</v>
      </c>
      <c r="AN586" s="12">
        <f t="shared" si="44"/>
        <v>64000</v>
      </c>
      <c r="AO586" s="76"/>
    </row>
    <row r="587" spans="1:41" ht="13.5" customHeight="1">
      <c r="A587" s="51" t="s">
        <v>62</v>
      </c>
      <c r="B587" s="35">
        <v>10</v>
      </c>
      <c r="C587" s="36" t="s">
        <v>596</v>
      </c>
      <c r="D587" s="36" t="s">
        <v>599</v>
      </c>
      <c r="E587" s="36" t="s">
        <v>600</v>
      </c>
      <c r="F587" s="35" t="s">
        <v>601</v>
      </c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34">
        <v>1</v>
      </c>
      <c r="AK587" s="34">
        <v>1</v>
      </c>
      <c r="AL587" s="10">
        <f t="shared" si="43"/>
        <v>2</v>
      </c>
      <c r="AM587" s="11">
        <v>32000</v>
      </c>
      <c r="AN587" s="12">
        <f t="shared" si="44"/>
        <v>64000</v>
      </c>
      <c r="AO587" s="76"/>
    </row>
    <row r="588" spans="1:41" ht="13.5" customHeight="1">
      <c r="A588" s="45" t="s">
        <v>62</v>
      </c>
      <c r="B588" s="35">
        <v>11</v>
      </c>
      <c r="C588" s="36" t="s">
        <v>94</v>
      </c>
      <c r="D588" s="36" t="s">
        <v>602</v>
      </c>
      <c r="E588" s="36" t="s">
        <v>9</v>
      </c>
      <c r="F588" s="35" t="s">
        <v>603</v>
      </c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34">
        <v>1</v>
      </c>
      <c r="AK588" s="34">
        <v>1</v>
      </c>
      <c r="AL588" s="10">
        <f t="shared" si="43"/>
        <v>2</v>
      </c>
      <c r="AM588" s="12">
        <v>32000</v>
      </c>
      <c r="AN588" s="12">
        <f t="shared" si="44"/>
        <v>64000</v>
      </c>
      <c r="AO588" s="76"/>
    </row>
    <row r="589" spans="1:41" ht="13.5" customHeight="1">
      <c r="A589" s="51" t="s">
        <v>62</v>
      </c>
      <c r="B589" s="35">
        <v>11</v>
      </c>
      <c r="C589" s="36" t="s">
        <v>146</v>
      </c>
      <c r="D589" s="36" t="s">
        <v>479</v>
      </c>
      <c r="E589" s="36" t="s">
        <v>68</v>
      </c>
      <c r="F589" s="35" t="s">
        <v>604</v>
      </c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34">
        <v>1</v>
      </c>
      <c r="AK589" s="34">
        <v>1</v>
      </c>
      <c r="AL589" s="10">
        <f t="shared" si="43"/>
        <v>2</v>
      </c>
      <c r="AM589" s="11">
        <v>32000</v>
      </c>
      <c r="AN589" s="12">
        <f t="shared" si="44"/>
        <v>64000</v>
      </c>
      <c r="AO589" s="76"/>
    </row>
    <row r="590" spans="1:41" ht="13.5" customHeight="1">
      <c r="A590" s="45" t="s">
        <v>62</v>
      </c>
      <c r="B590" s="35">
        <v>14</v>
      </c>
      <c r="C590" s="36" t="s">
        <v>423</v>
      </c>
      <c r="D590" s="36" t="s">
        <v>224</v>
      </c>
      <c r="E590" s="36" t="s">
        <v>24</v>
      </c>
      <c r="F590" s="35" t="s">
        <v>434</v>
      </c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34">
        <v>1</v>
      </c>
      <c r="AK590" s="34">
        <v>1</v>
      </c>
      <c r="AL590" s="10">
        <f t="shared" si="43"/>
        <v>2</v>
      </c>
      <c r="AM590" s="12">
        <v>32000</v>
      </c>
      <c r="AN590" s="12">
        <f t="shared" si="44"/>
        <v>64000</v>
      </c>
      <c r="AO590" s="76"/>
    </row>
    <row r="591" spans="1:41" ht="13.5" customHeight="1">
      <c r="A591" s="51" t="s">
        <v>62</v>
      </c>
      <c r="B591" s="35">
        <v>14</v>
      </c>
      <c r="C591" s="36" t="s">
        <v>1363</v>
      </c>
      <c r="D591" s="36" t="s">
        <v>203</v>
      </c>
      <c r="E591" s="36" t="s">
        <v>229</v>
      </c>
      <c r="F591" s="35" t="s">
        <v>440</v>
      </c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34">
        <v>1</v>
      </c>
      <c r="AK591" s="34">
        <v>1</v>
      </c>
      <c r="AL591" s="10">
        <f t="shared" si="43"/>
        <v>2</v>
      </c>
      <c r="AM591" s="11">
        <v>32000</v>
      </c>
      <c r="AN591" s="12">
        <f t="shared" si="44"/>
        <v>64000</v>
      </c>
      <c r="AO591" s="76"/>
    </row>
    <row r="592" spans="1:41" ht="13.5" customHeight="1">
      <c r="A592" s="45" t="s">
        <v>62</v>
      </c>
      <c r="B592" s="35">
        <v>15</v>
      </c>
      <c r="C592" s="36" t="s">
        <v>134</v>
      </c>
      <c r="D592" s="36" t="s">
        <v>12</v>
      </c>
      <c r="E592" s="36" t="s">
        <v>11</v>
      </c>
      <c r="F592" s="35" t="s">
        <v>1364</v>
      </c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34">
        <v>1</v>
      </c>
      <c r="AK592" s="34">
        <v>1</v>
      </c>
      <c r="AL592" s="10">
        <f t="shared" si="43"/>
        <v>2</v>
      </c>
      <c r="AM592" s="12">
        <v>32000</v>
      </c>
      <c r="AN592" s="12">
        <f t="shared" si="44"/>
        <v>64000</v>
      </c>
      <c r="AO592" s="76"/>
    </row>
    <row r="593" spans="1:41" ht="13.5" customHeight="1">
      <c r="A593" s="51" t="s">
        <v>62</v>
      </c>
      <c r="B593" s="35">
        <v>15</v>
      </c>
      <c r="C593" s="36" t="s">
        <v>150</v>
      </c>
      <c r="D593" s="36" t="s">
        <v>151</v>
      </c>
      <c r="E593" s="36" t="s">
        <v>606</v>
      </c>
      <c r="F593" s="35" t="s">
        <v>607</v>
      </c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34">
        <v>1</v>
      </c>
      <c r="AK593" s="34">
        <v>1</v>
      </c>
      <c r="AL593" s="10">
        <f t="shared" si="43"/>
        <v>2</v>
      </c>
      <c r="AM593" s="11">
        <v>32000</v>
      </c>
      <c r="AN593" s="12">
        <f t="shared" si="44"/>
        <v>64000</v>
      </c>
      <c r="AO593" s="76"/>
    </row>
    <row r="594" spans="1:41" ht="13.5" customHeight="1">
      <c r="A594" s="45" t="s">
        <v>62</v>
      </c>
      <c r="B594" s="35">
        <v>16</v>
      </c>
      <c r="C594" s="36" t="s">
        <v>867</v>
      </c>
      <c r="D594" s="36" t="s">
        <v>146</v>
      </c>
      <c r="E594" s="36" t="s">
        <v>155</v>
      </c>
      <c r="F594" s="35" t="s">
        <v>1365</v>
      </c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34">
        <v>1</v>
      </c>
      <c r="AK594" s="34">
        <v>1</v>
      </c>
      <c r="AL594" s="10">
        <f t="shared" si="43"/>
        <v>2</v>
      </c>
      <c r="AM594" s="12">
        <v>32000</v>
      </c>
      <c r="AN594" s="12">
        <f t="shared" si="44"/>
        <v>64000</v>
      </c>
      <c r="AO594" s="76"/>
    </row>
    <row r="595" spans="1:41" ht="13.5" customHeight="1">
      <c r="A595" s="51" t="s">
        <v>62</v>
      </c>
      <c r="B595" s="35">
        <v>16</v>
      </c>
      <c r="C595" s="36" t="s">
        <v>867</v>
      </c>
      <c r="D595" s="36" t="s">
        <v>146</v>
      </c>
      <c r="E595" s="36" t="s">
        <v>825</v>
      </c>
      <c r="F595" s="35" t="s">
        <v>872</v>
      </c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34">
        <v>1</v>
      </c>
      <c r="AK595" s="34">
        <v>1</v>
      </c>
      <c r="AL595" s="10">
        <f t="shared" si="43"/>
        <v>2</v>
      </c>
      <c r="AM595" s="11">
        <v>32000</v>
      </c>
      <c r="AN595" s="12">
        <f t="shared" si="44"/>
        <v>64000</v>
      </c>
      <c r="AO595" s="76"/>
    </row>
    <row r="596" spans="1:41" ht="13.5" customHeight="1">
      <c r="A596" s="45" t="s">
        <v>62</v>
      </c>
      <c r="B596" s="35">
        <v>17</v>
      </c>
      <c r="C596" s="36" t="s">
        <v>608</v>
      </c>
      <c r="D596" s="36" t="s">
        <v>609</v>
      </c>
      <c r="E596" s="36" t="s">
        <v>610</v>
      </c>
      <c r="F596" s="35" t="s">
        <v>611</v>
      </c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34">
        <v>1</v>
      </c>
      <c r="AK596" s="34">
        <v>1</v>
      </c>
      <c r="AL596" s="10">
        <f t="shared" si="43"/>
        <v>2</v>
      </c>
      <c r="AM596" s="12">
        <v>32000</v>
      </c>
      <c r="AN596" s="12">
        <f t="shared" si="44"/>
        <v>64000</v>
      </c>
      <c r="AO596" s="76"/>
    </row>
    <row r="597" spans="1:41" ht="13.5" customHeight="1">
      <c r="A597" s="51" t="s">
        <v>62</v>
      </c>
      <c r="B597" s="35">
        <v>17</v>
      </c>
      <c r="C597" s="36" t="s">
        <v>159</v>
      </c>
      <c r="D597" s="36" t="s">
        <v>608</v>
      </c>
      <c r="E597" s="36" t="s">
        <v>184</v>
      </c>
      <c r="F597" s="35" t="s">
        <v>612</v>
      </c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34">
        <v>1</v>
      </c>
      <c r="AK597" s="34">
        <v>1</v>
      </c>
      <c r="AL597" s="10">
        <f t="shared" si="43"/>
        <v>2</v>
      </c>
      <c r="AM597" s="11">
        <v>32000</v>
      </c>
      <c r="AN597" s="12">
        <f t="shared" si="44"/>
        <v>64000</v>
      </c>
      <c r="AO597" s="76"/>
    </row>
    <row r="598" spans="1:41" ht="13.5" customHeight="1">
      <c r="A598" s="45" t="s">
        <v>62</v>
      </c>
      <c r="B598" s="35">
        <v>18</v>
      </c>
      <c r="C598" s="36" t="s">
        <v>47</v>
      </c>
      <c r="D598" s="36" t="s">
        <v>632</v>
      </c>
      <c r="E598" s="36" t="s">
        <v>196</v>
      </c>
      <c r="F598" s="35" t="s">
        <v>981</v>
      </c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34">
        <v>1</v>
      </c>
      <c r="AK598" s="34">
        <v>1</v>
      </c>
      <c r="AL598" s="10">
        <f t="shared" si="43"/>
        <v>2</v>
      </c>
      <c r="AM598" s="12">
        <v>32000</v>
      </c>
      <c r="AN598" s="12">
        <f t="shared" si="44"/>
        <v>64000</v>
      </c>
      <c r="AO598" s="76"/>
    </row>
    <row r="599" spans="1:41" ht="13.5" customHeight="1">
      <c r="A599" s="51" t="s">
        <v>62</v>
      </c>
      <c r="B599" s="35">
        <v>18</v>
      </c>
      <c r="C599" s="36" t="s">
        <v>700</v>
      </c>
      <c r="D599" s="36" t="s">
        <v>700</v>
      </c>
      <c r="E599" s="36" t="s">
        <v>978</v>
      </c>
      <c r="F599" s="35" t="s">
        <v>980</v>
      </c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34">
        <v>1</v>
      </c>
      <c r="AK599" s="34">
        <v>1</v>
      </c>
      <c r="AL599" s="10">
        <f t="shared" si="43"/>
        <v>2</v>
      </c>
      <c r="AM599" s="11">
        <v>32000</v>
      </c>
      <c r="AN599" s="12">
        <f t="shared" si="44"/>
        <v>64000</v>
      </c>
      <c r="AO599" s="76"/>
    </row>
    <row r="600" spans="1:41" ht="13.5" customHeight="1">
      <c r="A600" s="45" t="s">
        <v>62</v>
      </c>
      <c r="B600" s="35">
        <v>23</v>
      </c>
      <c r="C600" s="36" t="s">
        <v>1366</v>
      </c>
      <c r="D600" s="36" t="s">
        <v>1367</v>
      </c>
      <c r="E600" s="36" t="s">
        <v>1368</v>
      </c>
      <c r="F600" s="35" t="s">
        <v>1369</v>
      </c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34">
        <v>1</v>
      </c>
      <c r="AK600" s="34">
        <v>1</v>
      </c>
      <c r="AL600" s="10">
        <f t="shared" si="43"/>
        <v>2</v>
      </c>
      <c r="AM600" s="12">
        <v>32000</v>
      </c>
      <c r="AN600" s="12">
        <f t="shared" si="44"/>
        <v>64000</v>
      </c>
      <c r="AO600" s="76"/>
    </row>
    <row r="601" spans="1:41" ht="13.5" customHeight="1">
      <c r="A601" s="51" t="s">
        <v>62</v>
      </c>
      <c r="B601" s="35">
        <v>23</v>
      </c>
      <c r="C601" s="36" t="s">
        <v>179</v>
      </c>
      <c r="D601" s="36" t="s">
        <v>715</v>
      </c>
      <c r="E601" s="36" t="s">
        <v>140</v>
      </c>
      <c r="F601" s="35" t="s">
        <v>1347</v>
      </c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34">
        <v>1</v>
      </c>
      <c r="AK601" s="34">
        <v>1</v>
      </c>
      <c r="AL601" s="10">
        <f t="shared" si="43"/>
        <v>2</v>
      </c>
      <c r="AM601" s="11">
        <v>32000</v>
      </c>
      <c r="AN601" s="12">
        <f t="shared" si="44"/>
        <v>64000</v>
      </c>
      <c r="AO601" s="76"/>
    </row>
    <row r="602" spans="1:41" ht="13.5" customHeight="1">
      <c r="A602" s="45" t="s">
        <v>62</v>
      </c>
      <c r="B602" s="35">
        <v>24</v>
      </c>
      <c r="C602" s="36" t="s">
        <v>736</v>
      </c>
      <c r="D602" s="36" t="s">
        <v>737</v>
      </c>
      <c r="E602" s="36" t="s">
        <v>280</v>
      </c>
      <c r="F602" s="35" t="s">
        <v>738</v>
      </c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34">
        <v>1</v>
      </c>
      <c r="AK602" s="34">
        <v>1</v>
      </c>
      <c r="AL602" s="10">
        <f t="shared" si="43"/>
        <v>2</v>
      </c>
      <c r="AM602" s="12">
        <v>32000</v>
      </c>
      <c r="AN602" s="12">
        <f t="shared" si="44"/>
        <v>64000</v>
      </c>
      <c r="AO602" s="76"/>
    </row>
    <row r="603" spans="1:41" ht="13.5" customHeight="1">
      <c r="A603" s="51" t="s">
        <v>62</v>
      </c>
      <c r="B603" s="35">
        <v>24</v>
      </c>
      <c r="C603" s="36" t="s">
        <v>17</v>
      </c>
      <c r="D603" s="36" t="s">
        <v>1339</v>
      </c>
      <c r="E603" s="36" t="s">
        <v>1340</v>
      </c>
      <c r="F603" s="35" t="s">
        <v>1370</v>
      </c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34">
        <v>1</v>
      </c>
      <c r="AK603" s="34">
        <v>1</v>
      </c>
      <c r="AL603" s="10">
        <f t="shared" si="43"/>
        <v>2</v>
      </c>
      <c r="AM603" s="11">
        <v>32000</v>
      </c>
      <c r="AN603" s="12">
        <f t="shared" si="44"/>
        <v>64000</v>
      </c>
      <c r="AO603" s="76"/>
    </row>
    <row r="604" spans="1:41" ht="13.5" customHeight="1">
      <c r="A604" s="45" t="s">
        <v>62</v>
      </c>
      <c r="B604" s="35">
        <v>25</v>
      </c>
      <c r="C604" s="36" t="s">
        <v>1122</v>
      </c>
      <c r="D604" s="36" t="s">
        <v>1371</v>
      </c>
      <c r="E604" s="36" t="s">
        <v>1372</v>
      </c>
      <c r="F604" s="35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34">
        <v>1</v>
      </c>
      <c r="AK604" s="34">
        <v>1</v>
      </c>
      <c r="AL604" s="10">
        <f t="shared" si="43"/>
        <v>2</v>
      </c>
      <c r="AM604" s="12">
        <v>32000</v>
      </c>
      <c r="AN604" s="12">
        <f t="shared" si="44"/>
        <v>64000</v>
      </c>
      <c r="AO604" s="76"/>
    </row>
    <row r="605" spans="1:41" ht="13.5" customHeight="1">
      <c r="A605" s="51" t="s">
        <v>62</v>
      </c>
      <c r="B605" s="35">
        <v>25</v>
      </c>
      <c r="C605" s="36" t="s">
        <v>249</v>
      </c>
      <c r="D605" s="36" t="s">
        <v>197</v>
      </c>
      <c r="E605" s="36" t="s">
        <v>68</v>
      </c>
      <c r="F605" s="35" t="s">
        <v>250</v>
      </c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34">
        <v>1</v>
      </c>
      <c r="AK605" s="34">
        <v>1</v>
      </c>
      <c r="AL605" s="10">
        <f t="shared" si="43"/>
        <v>2</v>
      </c>
      <c r="AM605" s="11">
        <v>32000</v>
      </c>
      <c r="AN605" s="12">
        <f t="shared" si="44"/>
        <v>64000</v>
      </c>
      <c r="AO605" s="76"/>
    </row>
    <row r="606" spans="1:41" ht="13.5" customHeight="1">
      <c r="A606" s="45" t="s">
        <v>62</v>
      </c>
      <c r="B606" s="35">
        <v>28</v>
      </c>
      <c r="C606" s="36" t="s">
        <v>302</v>
      </c>
      <c r="D606" s="36" t="s">
        <v>760</v>
      </c>
      <c r="E606" s="36" t="s">
        <v>194</v>
      </c>
      <c r="F606" s="35" t="s">
        <v>761</v>
      </c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34">
        <v>1</v>
      </c>
      <c r="AK606" s="34">
        <v>1</v>
      </c>
      <c r="AL606" s="10">
        <f t="shared" si="43"/>
        <v>2</v>
      </c>
      <c r="AM606" s="12">
        <v>32000</v>
      </c>
      <c r="AN606" s="12">
        <f t="shared" si="44"/>
        <v>64000</v>
      </c>
      <c r="AO606" s="76"/>
    </row>
    <row r="607" spans="1:41" ht="13.5" customHeight="1">
      <c r="A607" s="51" t="s">
        <v>62</v>
      </c>
      <c r="B607" s="35">
        <v>28</v>
      </c>
      <c r="C607" s="36" t="s">
        <v>614</v>
      </c>
      <c r="D607" s="36" t="s">
        <v>1373</v>
      </c>
      <c r="E607" s="36" t="s">
        <v>9</v>
      </c>
      <c r="F607" s="35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34">
        <v>1</v>
      </c>
      <c r="AK607" s="34">
        <v>1</v>
      </c>
      <c r="AL607" s="10">
        <f t="shared" si="43"/>
        <v>2</v>
      </c>
      <c r="AM607" s="11">
        <v>32000</v>
      </c>
      <c r="AN607" s="12">
        <f t="shared" si="44"/>
        <v>64000</v>
      </c>
      <c r="AO607" s="76"/>
    </row>
    <row r="608" spans="1:41" ht="13.5" customHeight="1">
      <c r="A608" s="45" t="s">
        <v>62</v>
      </c>
      <c r="B608" s="35">
        <v>29</v>
      </c>
      <c r="C608" s="36" t="s">
        <v>594</v>
      </c>
      <c r="D608" s="36" t="s">
        <v>377</v>
      </c>
      <c r="E608" s="36" t="s">
        <v>9</v>
      </c>
      <c r="F608" s="35" t="s">
        <v>595</v>
      </c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34">
        <v>1</v>
      </c>
      <c r="AK608" s="34">
        <v>1</v>
      </c>
      <c r="AL608" s="10">
        <f t="shared" si="43"/>
        <v>2</v>
      </c>
      <c r="AM608" s="12">
        <v>32000</v>
      </c>
      <c r="AN608" s="12">
        <f t="shared" si="44"/>
        <v>64000</v>
      </c>
      <c r="AO608" s="76"/>
    </row>
    <row r="609" spans="1:41" ht="13.5" customHeight="1">
      <c r="A609" s="51" t="s">
        <v>62</v>
      </c>
      <c r="B609" s="35">
        <v>29</v>
      </c>
      <c r="C609" s="36" t="s">
        <v>618</v>
      </c>
      <c r="D609" s="36" t="s">
        <v>619</v>
      </c>
      <c r="E609" s="36" t="s">
        <v>620</v>
      </c>
      <c r="F609" s="35" t="s">
        <v>621</v>
      </c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34">
        <v>1</v>
      </c>
      <c r="AK609" s="34">
        <v>1</v>
      </c>
      <c r="AL609" s="10">
        <f t="shared" si="43"/>
        <v>2</v>
      </c>
      <c r="AM609" s="11">
        <v>32000</v>
      </c>
      <c r="AN609" s="12">
        <f t="shared" si="44"/>
        <v>64000</v>
      </c>
      <c r="AO609" s="76"/>
    </row>
    <row r="610" spans="1:41" ht="13.5" customHeight="1">
      <c r="A610" s="45" t="s">
        <v>62</v>
      </c>
      <c r="B610" s="35">
        <v>30</v>
      </c>
      <c r="C610" s="36" t="s">
        <v>170</v>
      </c>
      <c r="D610" s="36" t="s">
        <v>363</v>
      </c>
      <c r="E610" s="36" t="s">
        <v>625</v>
      </c>
      <c r="F610" s="35" t="s">
        <v>629</v>
      </c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34">
        <v>1</v>
      </c>
      <c r="AK610" s="34">
        <v>1</v>
      </c>
      <c r="AL610" s="10">
        <f t="shared" si="43"/>
        <v>2</v>
      </c>
      <c r="AM610" s="12">
        <v>32000</v>
      </c>
      <c r="AN610" s="12">
        <f t="shared" si="44"/>
        <v>64000</v>
      </c>
      <c r="AO610" s="76"/>
    </row>
    <row r="611" spans="1:41" ht="13.5" customHeight="1">
      <c r="A611" s="51" t="s">
        <v>62</v>
      </c>
      <c r="B611" s="35">
        <v>30</v>
      </c>
      <c r="C611" s="36" t="s">
        <v>591</v>
      </c>
      <c r="D611" s="36" t="s">
        <v>630</v>
      </c>
      <c r="E611" s="36" t="s">
        <v>11</v>
      </c>
      <c r="F611" s="35" t="s">
        <v>1374</v>
      </c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34">
        <v>1</v>
      </c>
      <c r="AK611" s="34">
        <v>1</v>
      </c>
      <c r="AL611" s="10">
        <f t="shared" si="43"/>
        <v>2</v>
      </c>
      <c r="AM611" s="11">
        <v>32000</v>
      </c>
      <c r="AN611" s="12">
        <f t="shared" si="44"/>
        <v>64000</v>
      </c>
      <c r="AO611" s="76"/>
    </row>
    <row r="612" spans="1:41" ht="13.5" customHeight="1">
      <c r="A612" s="45" t="s">
        <v>62</v>
      </c>
      <c r="B612" s="35">
        <v>31</v>
      </c>
      <c r="C612" s="36" t="s">
        <v>632</v>
      </c>
      <c r="D612" s="36" t="s">
        <v>159</v>
      </c>
      <c r="E612" s="36" t="s">
        <v>144</v>
      </c>
      <c r="F612" s="35" t="s">
        <v>633</v>
      </c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34">
        <v>1</v>
      </c>
      <c r="AK612" s="34">
        <v>1</v>
      </c>
      <c r="AL612" s="10">
        <f t="shared" si="43"/>
        <v>2</v>
      </c>
      <c r="AM612" s="12">
        <v>32000</v>
      </c>
      <c r="AN612" s="12">
        <f t="shared" si="44"/>
        <v>64000</v>
      </c>
      <c r="AO612" s="76"/>
    </row>
    <row r="613" spans="1:41" ht="13.5" customHeight="1">
      <c r="A613" s="51" t="s">
        <v>62</v>
      </c>
      <c r="B613" s="35">
        <v>31</v>
      </c>
      <c r="C613" s="36" t="s">
        <v>634</v>
      </c>
      <c r="D613" s="36" t="s">
        <v>635</v>
      </c>
      <c r="E613" s="36" t="s">
        <v>636</v>
      </c>
      <c r="F613" s="35" t="s">
        <v>637</v>
      </c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34">
        <v>1</v>
      </c>
      <c r="AK613" s="34">
        <v>1</v>
      </c>
      <c r="AL613" s="10">
        <f t="shared" si="43"/>
        <v>2</v>
      </c>
      <c r="AM613" s="11">
        <v>32000</v>
      </c>
      <c r="AN613" s="12">
        <f t="shared" si="44"/>
        <v>64000</v>
      </c>
      <c r="AO613" s="76"/>
    </row>
    <row r="614" spans="1:41" ht="13.5" customHeight="1">
      <c r="A614" s="45" t="s">
        <v>62</v>
      </c>
      <c r="B614" s="35">
        <v>33</v>
      </c>
      <c r="C614" s="36" t="s">
        <v>439</v>
      </c>
      <c r="D614" s="36" t="s">
        <v>139</v>
      </c>
      <c r="E614" s="36" t="s">
        <v>143</v>
      </c>
      <c r="F614" s="35" t="s">
        <v>1375</v>
      </c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34">
        <v>1</v>
      </c>
      <c r="AK614" s="34">
        <v>1</v>
      </c>
      <c r="AL614" s="10">
        <f t="shared" si="43"/>
        <v>2</v>
      </c>
      <c r="AM614" s="12">
        <v>32000</v>
      </c>
      <c r="AN614" s="12">
        <f t="shared" si="44"/>
        <v>64000</v>
      </c>
      <c r="AO614" s="76"/>
    </row>
    <row r="615" spans="1:41" ht="13.5" customHeight="1">
      <c r="A615" s="51" t="s">
        <v>62</v>
      </c>
      <c r="B615" s="35">
        <v>33</v>
      </c>
      <c r="C615" s="36" t="s">
        <v>391</v>
      </c>
      <c r="D615" s="36" t="s">
        <v>10</v>
      </c>
      <c r="E615" s="36" t="s">
        <v>188</v>
      </c>
      <c r="F615" s="35" t="s">
        <v>640</v>
      </c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34">
        <v>1</v>
      </c>
      <c r="AK615" s="34">
        <v>1</v>
      </c>
      <c r="AL615" s="10">
        <f t="shared" si="43"/>
        <v>2</v>
      </c>
      <c r="AM615" s="11">
        <v>32000</v>
      </c>
      <c r="AN615" s="12">
        <f t="shared" si="44"/>
        <v>64000</v>
      </c>
      <c r="AO615" s="76"/>
    </row>
    <row r="616" spans="1:41" ht="13.5" customHeight="1">
      <c r="A616" s="45" t="s">
        <v>62</v>
      </c>
      <c r="B616" s="35">
        <v>34</v>
      </c>
      <c r="C616" s="36" t="s">
        <v>10</v>
      </c>
      <c r="D616" s="36" t="s">
        <v>439</v>
      </c>
      <c r="E616" s="36" t="s">
        <v>641</v>
      </c>
      <c r="F616" s="35" t="s">
        <v>642</v>
      </c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34">
        <v>1</v>
      </c>
      <c r="AK616" s="34">
        <v>1</v>
      </c>
      <c r="AL616" s="10">
        <f t="shared" si="43"/>
        <v>2</v>
      </c>
      <c r="AM616" s="12">
        <v>32000</v>
      </c>
      <c r="AN616" s="12">
        <f t="shared" si="44"/>
        <v>64000</v>
      </c>
      <c r="AO616" s="76"/>
    </row>
    <row r="617" spans="1:41" ht="13.5" customHeight="1">
      <c r="A617" s="51" t="s">
        <v>62</v>
      </c>
      <c r="B617" s="35">
        <v>34</v>
      </c>
      <c r="C617" s="36" t="s">
        <v>312</v>
      </c>
      <c r="D617" s="36" t="s">
        <v>643</v>
      </c>
      <c r="E617" s="36" t="s">
        <v>644</v>
      </c>
      <c r="F617" s="35" t="s">
        <v>1376</v>
      </c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34">
        <v>1</v>
      </c>
      <c r="AK617" s="34">
        <v>1</v>
      </c>
      <c r="AL617" s="10">
        <f t="shared" si="43"/>
        <v>2</v>
      </c>
      <c r="AM617" s="11">
        <v>32000</v>
      </c>
      <c r="AN617" s="12">
        <f t="shared" si="44"/>
        <v>64000</v>
      </c>
      <c r="AO617" s="76"/>
    </row>
    <row r="618" spans="1:41" ht="13.5" customHeight="1">
      <c r="A618" s="45" t="s">
        <v>62</v>
      </c>
      <c r="B618" s="35">
        <v>36</v>
      </c>
      <c r="C618" s="36" t="s">
        <v>646</v>
      </c>
      <c r="D618" s="36" t="s">
        <v>19</v>
      </c>
      <c r="E618" s="36" t="s">
        <v>21</v>
      </c>
      <c r="F618" s="35" t="s">
        <v>647</v>
      </c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34">
        <v>1</v>
      </c>
      <c r="AK618" s="34">
        <v>1</v>
      </c>
      <c r="AL618" s="10">
        <f t="shared" si="43"/>
        <v>2</v>
      </c>
      <c r="AM618" s="12">
        <v>32000</v>
      </c>
      <c r="AN618" s="12">
        <f t="shared" si="44"/>
        <v>64000</v>
      </c>
      <c r="AO618" s="76"/>
    </row>
    <row r="619" spans="1:41" ht="13.5" customHeight="1">
      <c r="A619" s="51" t="s">
        <v>62</v>
      </c>
      <c r="B619" s="35">
        <v>36</v>
      </c>
      <c r="C619" s="36" t="s">
        <v>249</v>
      </c>
      <c r="D619" s="36" t="s">
        <v>47</v>
      </c>
      <c r="E619" s="36" t="s">
        <v>37</v>
      </c>
      <c r="F619" s="35" t="s">
        <v>648</v>
      </c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34">
        <v>1</v>
      </c>
      <c r="AK619" s="34">
        <v>1</v>
      </c>
      <c r="AL619" s="10">
        <f t="shared" si="43"/>
        <v>2</v>
      </c>
      <c r="AM619" s="11">
        <v>32000</v>
      </c>
      <c r="AN619" s="12">
        <f t="shared" si="44"/>
        <v>64000</v>
      </c>
      <c r="AO619" s="76"/>
    </row>
    <row r="620" spans="1:41" ht="13.5" customHeight="1">
      <c r="A620" s="45" t="s">
        <v>62</v>
      </c>
      <c r="B620" s="35">
        <v>37</v>
      </c>
      <c r="C620" s="36" t="s">
        <v>649</v>
      </c>
      <c r="D620" s="36" t="s">
        <v>650</v>
      </c>
      <c r="E620" s="36" t="s">
        <v>37</v>
      </c>
      <c r="F620" s="35" t="s">
        <v>651</v>
      </c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34">
        <v>1</v>
      </c>
      <c r="AK620" s="34">
        <v>1</v>
      </c>
      <c r="AL620" s="10">
        <f t="shared" si="43"/>
        <v>2</v>
      </c>
      <c r="AM620" s="12">
        <v>32000</v>
      </c>
      <c r="AN620" s="12">
        <f t="shared" si="44"/>
        <v>64000</v>
      </c>
      <c r="AO620" s="76"/>
    </row>
    <row r="621" spans="1:41" ht="13.5" customHeight="1">
      <c r="A621" s="51" t="s">
        <v>62</v>
      </c>
      <c r="B621" s="35">
        <v>37</v>
      </c>
      <c r="C621" s="36" t="s">
        <v>146</v>
      </c>
      <c r="D621" s="36" t="s">
        <v>650</v>
      </c>
      <c r="E621" s="36" t="s">
        <v>652</v>
      </c>
      <c r="F621" s="35" t="s">
        <v>653</v>
      </c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34">
        <v>1</v>
      </c>
      <c r="AK621" s="34">
        <v>1</v>
      </c>
      <c r="AL621" s="10">
        <f t="shared" si="43"/>
        <v>2</v>
      </c>
      <c r="AM621" s="11">
        <v>32000</v>
      </c>
      <c r="AN621" s="12">
        <f t="shared" si="44"/>
        <v>64000</v>
      </c>
      <c r="AO621" s="76"/>
    </row>
    <row r="622" spans="1:41" ht="13.5" customHeight="1">
      <c r="A622" s="45" t="s">
        <v>62</v>
      </c>
      <c r="B622" s="35">
        <v>38</v>
      </c>
      <c r="C622" s="36" t="s">
        <v>650</v>
      </c>
      <c r="D622" s="36" t="s">
        <v>145</v>
      </c>
      <c r="E622" s="36" t="s">
        <v>654</v>
      </c>
      <c r="F622" s="35" t="s">
        <v>655</v>
      </c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34">
        <v>1</v>
      </c>
      <c r="AK622" s="34">
        <v>1</v>
      </c>
      <c r="AL622" s="10">
        <f t="shared" si="43"/>
        <v>2</v>
      </c>
      <c r="AM622" s="12">
        <v>32000</v>
      </c>
      <c r="AN622" s="12">
        <f t="shared" si="44"/>
        <v>64000</v>
      </c>
      <c r="AO622" s="76"/>
    </row>
    <row r="623" spans="1:41" ht="13.5" customHeight="1">
      <c r="A623" s="51" t="s">
        <v>62</v>
      </c>
      <c r="B623" s="35">
        <v>38</v>
      </c>
      <c r="C623" s="36" t="s">
        <v>650</v>
      </c>
      <c r="D623" s="36" t="s">
        <v>656</v>
      </c>
      <c r="E623" s="36" t="s">
        <v>657</v>
      </c>
      <c r="F623" s="35" t="s">
        <v>658</v>
      </c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34">
        <v>1</v>
      </c>
      <c r="AK623" s="34">
        <v>1</v>
      </c>
      <c r="AL623" s="10">
        <f t="shared" si="43"/>
        <v>2</v>
      </c>
      <c r="AM623" s="11">
        <v>32000</v>
      </c>
      <c r="AN623" s="12">
        <f t="shared" si="44"/>
        <v>64000</v>
      </c>
      <c r="AO623" s="76"/>
    </row>
    <row r="624" spans="1:41" ht="13.5" customHeight="1">
      <c r="A624" s="45" t="s">
        <v>62</v>
      </c>
      <c r="B624" s="35">
        <v>39</v>
      </c>
      <c r="C624" s="36" t="s">
        <v>56</v>
      </c>
      <c r="D624" s="36" t="s">
        <v>873</v>
      </c>
      <c r="E624" s="36" t="s">
        <v>24</v>
      </c>
      <c r="F624" s="35" t="s">
        <v>874</v>
      </c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34">
        <v>1</v>
      </c>
      <c r="AK624" s="34">
        <v>1</v>
      </c>
      <c r="AL624" s="10">
        <f t="shared" si="43"/>
        <v>2</v>
      </c>
      <c r="AM624" s="12">
        <v>32000</v>
      </c>
      <c r="AN624" s="12">
        <f t="shared" si="44"/>
        <v>64000</v>
      </c>
      <c r="AO624" s="76"/>
    </row>
    <row r="625" spans="1:41" ht="13.5" customHeight="1">
      <c r="A625" s="51" t="s">
        <v>62</v>
      </c>
      <c r="B625" s="35">
        <v>39</v>
      </c>
      <c r="C625" s="36" t="s">
        <v>148</v>
      </c>
      <c r="D625" s="36" t="s">
        <v>835</v>
      </c>
      <c r="E625" s="36" t="s">
        <v>135</v>
      </c>
      <c r="F625" s="35" t="s">
        <v>836</v>
      </c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34">
        <v>1</v>
      </c>
      <c r="AK625" s="34">
        <v>1</v>
      </c>
      <c r="AL625" s="10">
        <f t="shared" si="43"/>
        <v>2</v>
      </c>
      <c r="AM625" s="11">
        <v>32000</v>
      </c>
      <c r="AN625" s="12">
        <f t="shared" si="44"/>
        <v>64000</v>
      </c>
      <c r="AO625" s="76"/>
    </row>
    <row r="626" spans="1:41" ht="13.5" customHeight="1">
      <c r="A626" s="45" t="s">
        <v>62</v>
      </c>
      <c r="B626" s="35">
        <v>40</v>
      </c>
      <c r="C626" s="36" t="s">
        <v>650</v>
      </c>
      <c r="D626" s="36" t="s">
        <v>145</v>
      </c>
      <c r="E626" s="36" t="s">
        <v>9</v>
      </c>
      <c r="F626" s="35" t="s">
        <v>1377</v>
      </c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34">
        <v>1</v>
      </c>
      <c r="AK626" s="34">
        <v>1</v>
      </c>
      <c r="AL626" s="10">
        <f t="shared" si="43"/>
        <v>2</v>
      </c>
      <c r="AM626" s="12">
        <v>32000</v>
      </c>
      <c r="AN626" s="12">
        <f t="shared" si="44"/>
        <v>64000</v>
      </c>
      <c r="AO626" s="76"/>
    </row>
    <row r="627" spans="1:41" ht="13.5" customHeight="1">
      <c r="A627" s="51" t="s">
        <v>62</v>
      </c>
      <c r="B627" s="35">
        <v>40</v>
      </c>
      <c r="C627" s="36" t="s">
        <v>227</v>
      </c>
      <c r="D627" s="36" t="s">
        <v>660</v>
      </c>
      <c r="E627" s="36" t="s">
        <v>11</v>
      </c>
      <c r="F627" s="35" t="s">
        <v>661</v>
      </c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34">
        <v>1</v>
      </c>
      <c r="AK627" s="34">
        <v>1</v>
      </c>
      <c r="AL627" s="10">
        <f t="shared" si="43"/>
        <v>2</v>
      </c>
      <c r="AM627" s="11">
        <v>32000</v>
      </c>
      <c r="AN627" s="12">
        <f t="shared" si="44"/>
        <v>64000</v>
      </c>
      <c r="AO627" s="76"/>
    </row>
    <row r="628" spans="1:41" ht="13.5" customHeight="1">
      <c r="A628" s="45" t="s">
        <v>62</v>
      </c>
      <c r="B628" s="35">
        <v>41</v>
      </c>
      <c r="C628" s="36" t="s">
        <v>662</v>
      </c>
      <c r="D628" s="36" t="s">
        <v>151</v>
      </c>
      <c r="E628" s="36" t="s">
        <v>25</v>
      </c>
      <c r="F628" s="35" t="s">
        <v>663</v>
      </c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34">
        <v>1</v>
      </c>
      <c r="AK628" s="34">
        <v>1</v>
      </c>
      <c r="AL628" s="10">
        <f t="shared" si="43"/>
        <v>2</v>
      </c>
      <c r="AM628" s="12">
        <v>32000</v>
      </c>
      <c r="AN628" s="12">
        <f t="shared" si="44"/>
        <v>64000</v>
      </c>
      <c r="AO628" s="76"/>
    </row>
    <row r="629" spans="1:41" ht="13.5" customHeight="1">
      <c r="A629" s="51" t="s">
        <v>62</v>
      </c>
      <c r="B629" s="35">
        <v>41</v>
      </c>
      <c r="C629" s="36" t="s">
        <v>664</v>
      </c>
      <c r="D629" s="36" t="s">
        <v>93</v>
      </c>
      <c r="E629" s="36" t="s">
        <v>665</v>
      </c>
      <c r="F629" s="35" t="s">
        <v>666</v>
      </c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34">
        <v>1</v>
      </c>
      <c r="AK629" s="34">
        <v>1</v>
      </c>
      <c r="AL629" s="10">
        <f t="shared" si="43"/>
        <v>2</v>
      </c>
      <c r="AM629" s="11">
        <v>32000</v>
      </c>
      <c r="AN629" s="12">
        <f t="shared" si="44"/>
        <v>64000</v>
      </c>
      <c r="AO629" s="76"/>
    </row>
    <row r="630" spans="1:41" ht="13.5" customHeight="1">
      <c r="A630" s="45" t="s">
        <v>62</v>
      </c>
      <c r="B630" s="35">
        <v>42</v>
      </c>
      <c r="C630" s="36" t="s">
        <v>1378</v>
      </c>
      <c r="D630" s="36" t="s">
        <v>966</v>
      </c>
      <c r="E630" s="36" t="s">
        <v>101</v>
      </c>
      <c r="F630" s="35" t="s">
        <v>1345</v>
      </c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34">
        <v>1</v>
      </c>
      <c r="AK630" s="34">
        <v>1</v>
      </c>
      <c r="AL630" s="10">
        <f t="shared" si="43"/>
        <v>2</v>
      </c>
      <c r="AM630" s="12">
        <v>32000</v>
      </c>
      <c r="AN630" s="12">
        <f t="shared" si="44"/>
        <v>64000</v>
      </c>
      <c r="AO630" s="76"/>
    </row>
    <row r="631" spans="1:41" ht="13.5" customHeight="1">
      <c r="A631" s="51" t="s">
        <v>62</v>
      </c>
      <c r="B631" s="35">
        <v>42</v>
      </c>
      <c r="C631" s="36" t="s">
        <v>377</v>
      </c>
      <c r="D631" s="36" t="s">
        <v>10</v>
      </c>
      <c r="E631" s="36" t="s">
        <v>1348</v>
      </c>
      <c r="F631" s="35" t="s">
        <v>1349</v>
      </c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34">
        <v>1</v>
      </c>
      <c r="AK631" s="34">
        <v>1</v>
      </c>
      <c r="AL631" s="10">
        <f t="shared" si="43"/>
        <v>2</v>
      </c>
      <c r="AM631" s="11">
        <v>32000</v>
      </c>
      <c r="AN631" s="12">
        <f t="shared" si="44"/>
        <v>64000</v>
      </c>
      <c r="AO631" s="76"/>
    </row>
    <row r="632" spans="1:41" ht="13.5" customHeight="1">
      <c r="A632" s="45" t="s">
        <v>62</v>
      </c>
      <c r="B632" s="35">
        <v>43</v>
      </c>
      <c r="C632" s="36" t="s">
        <v>674</v>
      </c>
      <c r="D632" s="36" t="s">
        <v>223</v>
      </c>
      <c r="E632" s="36" t="s">
        <v>188</v>
      </c>
      <c r="F632" s="35" t="s">
        <v>675</v>
      </c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34">
        <v>1</v>
      </c>
      <c r="AK632" s="34">
        <v>1</v>
      </c>
      <c r="AL632" s="10">
        <f t="shared" si="43"/>
        <v>2</v>
      </c>
      <c r="AM632" s="12">
        <v>32000</v>
      </c>
      <c r="AN632" s="12">
        <f t="shared" si="44"/>
        <v>64000</v>
      </c>
      <c r="AO632" s="76"/>
    </row>
    <row r="633" spans="1:41" ht="13.5" customHeight="1">
      <c r="A633" s="51" t="s">
        <v>62</v>
      </c>
      <c r="B633" s="35">
        <v>43</v>
      </c>
      <c r="C633" s="36" t="s">
        <v>224</v>
      </c>
      <c r="D633" s="36" t="s">
        <v>91</v>
      </c>
      <c r="E633" s="36" t="s">
        <v>46</v>
      </c>
      <c r="F633" s="35" t="s">
        <v>676</v>
      </c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34">
        <v>1</v>
      </c>
      <c r="AK633" s="34">
        <v>1</v>
      </c>
      <c r="AL633" s="10">
        <f t="shared" si="43"/>
        <v>2</v>
      </c>
      <c r="AM633" s="11">
        <v>32000</v>
      </c>
      <c r="AN633" s="12">
        <f t="shared" si="44"/>
        <v>64000</v>
      </c>
      <c r="AO633" s="76"/>
    </row>
    <row r="634" spans="1:41" ht="13.5" customHeight="1">
      <c r="A634" s="45" t="s">
        <v>62</v>
      </c>
      <c r="B634" s="35">
        <v>44</v>
      </c>
      <c r="C634" s="36" t="s">
        <v>10</v>
      </c>
      <c r="D634" s="36" t="s">
        <v>650</v>
      </c>
      <c r="E634" s="36" t="s">
        <v>37</v>
      </c>
      <c r="F634" s="35" t="s">
        <v>677</v>
      </c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34">
        <v>1</v>
      </c>
      <c r="AK634" s="34">
        <v>1</v>
      </c>
      <c r="AL634" s="10">
        <f t="shared" si="43"/>
        <v>2</v>
      </c>
      <c r="AM634" s="12">
        <v>32000</v>
      </c>
      <c r="AN634" s="12">
        <f t="shared" si="44"/>
        <v>64000</v>
      </c>
      <c r="AO634" s="76"/>
    </row>
    <row r="635" spans="1:41" ht="13.5" customHeight="1">
      <c r="A635" s="51" t="s">
        <v>62</v>
      </c>
      <c r="B635" s="35">
        <v>44</v>
      </c>
      <c r="C635" s="36" t="s">
        <v>273</v>
      </c>
      <c r="D635" s="36" t="s">
        <v>678</v>
      </c>
      <c r="E635" s="36" t="s">
        <v>652</v>
      </c>
      <c r="F635" s="35" t="s">
        <v>679</v>
      </c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34">
        <v>1</v>
      </c>
      <c r="AK635" s="34">
        <v>1</v>
      </c>
      <c r="AL635" s="10">
        <f t="shared" si="43"/>
        <v>2</v>
      </c>
      <c r="AM635" s="11">
        <v>32000</v>
      </c>
      <c r="AN635" s="12">
        <f t="shared" si="44"/>
        <v>64000</v>
      </c>
      <c r="AO635" s="76"/>
    </row>
    <row r="636" spans="1:41" ht="13.5" customHeight="1">
      <c r="A636" s="45" t="s">
        <v>62</v>
      </c>
      <c r="B636" s="35">
        <v>45</v>
      </c>
      <c r="C636" s="36" t="s">
        <v>682</v>
      </c>
      <c r="D636" s="36" t="s">
        <v>683</v>
      </c>
      <c r="E636" s="36" t="s">
        <v>684</v>
      </c>
      <c r="F636" s="35" t="s">
        <v>685</v>
      </c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34">
        <v>1</v>
      </c>
      <c r="AK636" s="34">
        <v>1</v>
      </c>
      <c r="AL636" s="10">
        <f t="shared" si="43"/>
        <v>2</v>
      </c>
      <c r="AM636" s="12">
        <v>32000</v>
      </c>
      <c r="AN636" s="12">
        <f t="shared" si="44"/>
        <v>64000</v>
      </c>
      <c r="AO636" s="76"/>
    </row>
    <row r="637" spans="1:41" ht="13.5" customHeight="1">
      <c r="A637" s="51" t="s">
        <v>62</v>
      </c>
      <c r="B637" s="35">
        <v>45</v>
      </c>
      <c r="C637" s="36" t="s">
        <v>319</v>
      </c>
      <c r="D637" s="36" t="s">
        <v>439</v>
      </c>
      <c r="E637" s="36" t="s">
        <v>680</v>
      </c>
      <c r="F637" s="35" t="s">
        <v>681</v>
      </c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34">
        <v>1</v>
      </c>
      <c r="AK637" s="34">
        <v>1</v>
      </c>
      <c r="AL637" s="10">
        <f t="shared" si="43"/>
        <v>2</v>
      </c>
      <c r="AM637" s="11">
        <v>32000</v>
      </c>
      <c r="AN637" s="12">
        <f t="shared" si="44"/>
        <v>64000</v>
      </c>
      <c r="AO637" s="76"/>
    </row>
    <row r="638" spans="1:41" ht="13.5" customHeight="1">
      <c r="A638" s="45" t="s">
        <v>62</v>
      </c>
      <c r="B638" s="35">
        <v>48</v>
      </c>
      <c r="C638" s="36" t="s">
        <v>26</v>
      </c>
      <c r="D638" s="36" t="s">
        <v>213</v>
      </c>
      <c r="E638" s="36" t="s">
        <v>11</v>
      </c>
      <c r="F638" s="35" t="s">
        <v>686</v>
      </c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34">
        <v>1</v>
      </c>
      <c r="AK638" s="34">
        <v>1</v>
      </c>
      <c r="AL638" s="10">
        <f t="shared" si="43"/>
        <v>2</v>
      </c>
      <c r="AM638" s="12">
        <v>32000</v>
      </c>
      <c r="AN638" s="12">
        <f t="shared" si="44"/>
        <v>64000</v>
      </c>
      <c r="AO638" s="76"/>
    </row>
    <row r="639" spans="1:41" ht="13.5" customHeight="1">
      <c r="A639" s="51" t="s">
        <v>62</v>
      </c>
      <c r="B639" s="35">
        <v>48</v>
      </c>
      <c r="C639" s="36" t="s">
        <v>512</v>
      </c>
      <c r="D639" s="36" t="s">
        <v>687</v>
      </c>
      <c r="E639" s="36" t="s">
        <v>11</v>
      </c>
      <c r="F639" s="35" t="s">
        <v>688</v>
      </c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34">
        <v>1</v>
      </c>
      <c r="AK639" s="34">
        <v>1</v>
      </c>
      <c r="AL639" s="10">
        <f t="shared" si="43"/>
        <v>2</v>
      </c>
      <c r="AM639" s="11">
        <v>32000</v>
      </c>
      <c r="AN639" s="12">
        <f t="shared" si="44"/>
        <v>64000</v>
      </c>
      <c r="AO639" s="76"/>
    </row>
    <row r="640" spans="1:41" ht="13.5" customHeight="1">
      <c r="A640" s="45" t="s">
        <v>62</v>
      </c>
      <c r="B640" s="35">
        <v>49</v>
      </c>
      <c r="C640" s="36" t="s">
        <v>687</v>
      </c>
      <c r="D640" s="36" t="s">
        <v>88</v>
      </c>
      <c r="E640" s="36" t="s">
        <v>135</v>
      </c>
      <c r="F640" s="35" t="s">
        <v>689</v>
      </c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34">
        <v>1</v>
      </c>
      <c r="AK640" s="34">
        <v>1</v>
      </c>
      <c r="AL640" s="10">
        <f t="shared" ref="AL640:AL703" si="45">SUM(G640:AK640)</f>
        <v>2</v>
      </c>
      <c r="AM640" s="12">
        <v>32000</v>
      </c>
      <c r="AN640" s="12">
        <f t="shared" ref="AN640:AN703" si="46">AM640*AL640</f>
        <v>64000</v>
      </c>
      <c r="AO640" s="76"/>
    </row>
    <row r="641" spans="1:41" ht="13.5" customHeight="1">
      <c r="A641" s="51" t="s">
        <v>62</v>
      </c>
      <c r="B641" s="35">
        <v>49</v>
      </c>
      <c r="C641" s="36" t="s">
        <v>591</v>
      </c>
      <c r="D641" s="36" t="s">
        <v>690</v>
      </c>
      <c r="E641" s="36" t="s">
        <v>610</v>
      </c>
      <c r="F641" s="35" t="s">
        <v>1379</v>
      </c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34">
        <v>1</v>
      </c>
      <c r="AK641" s="34">
        <v>1</v>
      </c>
      <c r="AL641" s="10">
        <f t="shared" si="45"/>
        <v>2</v>
      </c>
      <c r="AM641" s="11">
        <v>32000</v>
      </c>
      <c r="AN641" s="12">
        <f t="shared" si="46"/>
        <v>64000</v>
      </c>
      <c r="AO641" s="76"/>
    </row>
    <row r="642" spans="1:41" ht="13.5" customHeight="1">
      <c r="A642" s="45" t="s">
        <v>62</v>
      </c>
      <c r="B642" s="35">
        <v>51</v>
      </c>
      <c r="C642" s="36" t="s">
        <v>692</v>
      </c>
      <c r="D642" s="36" t="s">
        <v>268</v>
      </c>
      <c r="E642" s="36" t="s">
        <v>138</v>
      </c>
      <c r="F642" s="35" t="s">
        <v>693</v>
      </c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34">
        <v>1</v>
      </c>
      <c r="AK642" s="34">
        <v>1</v>
      </c>
      <c r="AL642" s="10">
        <f t="shared" si="45"/>
        <v>2</v>
      </c>
      <c r="AM642" s="12">
        <v>32000</v>
      </c>
      <c r="AN642" s="12">
        <f t="shared" si="46"/>
        <v>64000</v>
      </c>
      <c r="AO642" s="76"/>
    </row>
    <row r="643" spans="1:41" ht="13.5" customHeight="1">
      <c r="A643" s="51" t="s">
        <v>62</v>
      </c>
      <c r="B643" s="35">
        <v>51</v>
      </c>
      <c r="C643" s="36" t="s">
        <v>277</v>
      </c>
      <c r="D643" s="36" t="s">
        <v>694</v>
      </c>
      <c r="E643" s="36" t="s">
        <v>280</v>
      </c>
      <c r="F643" s="35" t="s">
        <v>695</v>
      </c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34">
        <v>1</v>
      </c>
      <c r="AK643" s="34">
        <v>1</v>
      </c>
      <c r="AL643" s="10">
        <f t="shared" si="45"/>
        <v>2</v>
      </c>
      <c r="AM643" s="11">
        <v>32000</v>
      </c>
      <c r="AN643" s="12">
        <f t="shared" si="46"/>
        <v>64000</v>
      </c>
      <c r="AO643" s="76"/>
    </row>
    <row r="644" spans="1:41" ht="13.5" customHeight="1">
      <c r="A644" s="45" t="s">
        <v>62</v>
      </c>
      <c r="B644" s="35">
        <v>52</v>
      </c>
      <c r="C644" s="36" t="s">
        <v>687</v>
      </c>
      <c r="D644" s="36" t="s">
        <v>696</v>
      </c>
      <c r="E644" s="36" t="s">
        <v>42</v>
      </c>
      <c r="F644" s="35" t="s">
        <v>697</v>
      </c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34">
        <v>1</v>
      </c>
      <c r="AK644" s="34">
        <v>1</v>
      </c>
      <c r="AL644" s="10">
        <f t="shared" si="45"/>
        <v>2</v>
      </c>
      <c r="AM644" s="12">
        <v>32000</v>
      </c>
      <c r="AN644" s="12">
        <f t="shared" si="46"/>
        <v>64000</v>
      </c>
      <c r="AO644" s="76"/>
    </row>
    <row r="645" spans="1:41" ht="13.5" customHeight="1">
      <c r="A645" s="51" t="s">
        <v>62</v>
      </c>
      <c r="B645" s="35">
        <v>52</v>
      </c>
      <c r="C645" s="36" t="s">
        <v>161</v>
      </c>
      <c r="D645" s="36" t="s">
        <v>159</v>
      </c>
      <c r="E645" s="36" t="s">
        <v>21</v>
      </c>
      <c r="F645" s="35" t="s">
        <v>698</v>
      </c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34">
        <v>1</v>
      </c>
      <c r="AK645" s="34">
        <v>1</v>
      </c>
      <c r="AL645" s="10">
        <f t="shared" si="45"/>
        <v>2</v>
      </c>
      <c r="AM645" s="11">
        <v>32000</v>
      </c>
      <c r="AN645" s="12">
        <f t="shared" si="46"/>
        <v>64000</v>
      </c>
      <c r="AO645" s="76"/>
    </row>
    <row r="646" spans="1:41" ht="13.5" customHeight="1">
      <c r="A646" s="45" t="s">
        <v>62</v>
      </c>
      <c r="B646" s="35">
        <v>53</v>
      </c>
      <c r="C646" s="36" t="s">
        <v>720</v>
      </c>
      <c r="D646" s="36" t="s">
        <v>152</v>
      </c>
      <c r="E646" s="36" t="s">
        <v>28</v>
      </c>
      <c r="F646" s="35" t="s">
        <v>721</v>
      </c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34">
        <v>1</v>
      </c>
      <c r="AK646" s="34">
        <v>1</v>
      </c>
      <c r="AL646" s="10">
        <f t="shared" si="45"/>
        <v>2</v>
      </c>
      <c r="AM646" s="12">
        <v>32000</v>
      </c>
      <c r="AN646" s="12">
        <f t="shared" si="46"/>
        <v>64000</v>
      </c>
      <c r="AO646" s="76"/>
    </row>
    <row r="647" spans="1:41" ht="13.5" customHeight="1">
      <c r="A647" s="51" t="s">
        <v>62</v>
      </c>
      <c r="B647" s="35">
        <v>53</v>
      </c>
      <c r="C647" s="36" t="s">
        <v>26</v>
      </c>
      <c r="D647" s="36" t="s">
        <v>722</v>
      </c>
      <c r="E647" s="36" t="s">
        <v>21</v>
      </c>
      <c r="F647" s="35" t="s">
        <v>1380</v>
      </c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34">
        <v>1</v>
      </c>
      <c r="AK647" s="34">
        <v>1</v>
      </c>
      <c r="AL647" s="10">
        <f t="shared" si="45"/>
        <v>2</v>
      </c>
      <c r="AM647" s="11">
        <v>32000</v>
      </c>
      <c r="AN647" s="12">
        <f t="shared" si="46"/>
        <v>64000</v>
      </c>
      <c r="AO647" s="76"/>
    </row>
    <row r="648" spans="1:41" ht="13.5" customHeight="1">
      <c r="A648" s="45" t="s">
        <v>62</v>
      </c>
      <c r="B648" s="35">
        <v>54</v>
      </c>
      <c r="C648" s="36" t="s">
        <v>755</v>
      </c>
      <c r="D648" s="36" t="s">
        <v>158</v>
      </c>
      <c r="E648" s="36" t="s">
        <v>20</v>
      </c>
      <c r="F648" s="35" t="s">
        <v>756</v>
      </c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34">
        <v>1</v>
      </c>
      <c r="AK648" s="34">
        <v>1</v>
      </c>
      <c r="AL648" s="10">
        <f t="shared" si="45"/>
        <v>2</v>
      </c>
      <c r="AM648" s="12">
        <v>32000</v>
      </c>
      <c r="AN648" s="12">
        <f t="shared" si="46"/>
        <v>64000</v>
      </c>
      <c r="AO648" s="76"/>
    </row>
    <row r="649" spans="1:41" ht="13.5" customHeight="1">
      <c r="A649" s="51" t="s">
        <v>62</v>
      </c>
      <c r="B649" s="35">
        <v>54</v>
      </c>
      <c r="C649" s="36" t="s">
        <v>757</v>
      </c>
      <c r="D649" s="36" t="s">
        <v>758</v>
      </c>
      <c r="E649" s="36" t="s">
        <v>9</v>
      </c>
      <c r="F649" s="35" t="s">
        <v>759</v>
      </c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34">
        <v>1</v>
      </c>
      <c r="AK649" s="34">
        <v>1</v>
      </c>
      <c r="AL649" s="10">
        <f t="shared" si="45"/>
        <v>2</v>
      </c>
      <c r="AM649" s="11">
        <v>32000</v>
      </c>
      <c r="AN649" s="12">
        <f t="shared" si="46"/>
        <v>64000</v>
      </c>
      <c r="AO649" s="76"/>
    </row>
    <row r="650" spans="1:41" ht="13.5" customHeight="1">
      <c r="A650" s="45" t="s">
        <v>62</v>
      </c>
      <c r="B650" s="35">
        <v>56</v>
      </c>
      <c r="C650" s="36" t="s">
        <v>424</v>
      </c>
      <c r="D650" s="36" t="s">
        <v>426</v>
      </c>
      <c r="E650" s="36" t="s">
        <v>188</v>
      </c>
      <c r="F650" s="35" t="s">
        <v>432</v>
      </c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34">
        <v>1</v>
      </c>
      <c r="AK650" s="34">
        <v>1</v>
      </c>
      <c r="AL650" s="10">
        <f t="shared" si="45"/>
        <v>2</v>
      </c>
      <c r="AM650" s="12">
        <v>32000</v>
      </c>
      <c r="AN650" s="12">
        <f t="shared" si="46"/>
        <v>64000</v>
      </c>
      <c r="AO650" s="76"/>
    </row>
    <row r="651" spans="1:41" ht="13.5" customHeight="1">
      <c r="A651" s="51" t="s">
        <v>62</v>
      </c>
      <c r="B651" s="35">
        <v>56</v>
      </c>
      <c r="C651" s="36" t="s">
        <v>424</v>
      </c>
      <c r="D651" s="36" t="s">
        <v>13</v>
      </c>
      <c r="E651" s="36" t="s">
        <v>425</v>
      </c>
      <c r="F651" s="35" t="s">
        <v>1381</v>
      </c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34">
        <v>1</v>
      </c>
      <c r="AK651" s="34">
        <v>1</v>
      </c>
      <c r="AL651" s="10">
        <f t="shared" si="45"/>
        <v>2</v>
      </c>
      <c r="AM651" s="11">
        <v>32000</v>
      </c>
      <c r="AN651" s="12">
        <f t="shared" si="46"/>
        <v>64000</v>
      </c>
      <c r="AO651" s="76"/>
    </row>
    <row r="652" spans="1:41" ht="13.5" customHeight="1">
      <c r="A652" s="45" t="s">
        <v>62</v>
      </c>
      <c r="B652" s="35">
        <v>57</v>
      </c>
      <c r="C652" s="36" t="s">
        <v>699</v>
      </c>
      <c r="D652" s="36" t="s">
        <v>700</v>
      </c>
      <c r="E652" s="36" t="s">
        <v>436</v>
      </c>
      <c r="F652" s="35" t="s">
        <v>701</v>
      </c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34">
        <v>1</v>
      </c>
      <c r="AK652" s="34">
        <v>1</v>
      </c>
      <c r="AL652" s="10">
        <f t="shared" si="45"/>
        <v>2</v>
      </c>
      <c r="AM652" s="12">
        <v>32000</v>
      </c>
      <c r="AN652" s="12">
        <f t="shared" si="46"/>
        <v>64000</v>
      </c>
      <c r="AO652" s="76"/>
    </row>
    <row r="653" spans="1:41" ht="13.5" customHeight="1">
      <c r="A653" s="51" t="s">
        <v>62</v>
      </c>
      <c r="B653" s="35">
        <v>57</v>
      </c>
      <c r="C653" s="36" t="s">
        <v>702</v>
      </c>
      <c r="D653" s="36" t="s">
        <v>167</v>
      </c>
      <c r="E653" s="36" t="s">
        <v>37</v>
      </c>
      <c r="F653" s="35" t="s">
        <v>703</v>
      </c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34">
        <v>1</v>
      </c>
      <c r="AK653" s="34">
        <v>1</v>
      </c>
      <c r="AL653" s="10">
        <f t="shared" si="45"/>
        <v>2</v>
      </c>
      <c r="AM653" s="11">
        <v>32000</v>
      </c>
      <c r="AN653" s="12">
        <f t="shared" si="46"/>
        <v>64000</v>
      </c>
      <c r="AO653" s="76"/>
    </row>
    <row r="654" spans="1:41" ht="13.5" customHeight="1">
      <c r="A654" s="45" t="s">
        <v>62</v>
      </c>
      <c r="B654" s="35">
        <v>58</v>
      </c>
      <c r="C654" s="36" t="s">
        <v>584</v>
      </c>
      <c r="D654" s="36" t="s">
        <v>585</v>
      </c>
      <c r="E654" s="36" t="s">
        <v>137</v>
      </c>
      <c r="F654" s="35" t="s">
        <v>1382</v>
      </c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34">
        <v>1</v>
      </c>
      <c r="AK654" s="34">
        <v>1</v>
      </c>
      <c r="AL654" s="10">
        <f t="shared" si="45"/>
        <v>2</v>
      </c>
      <c r="AM654" s="12">
        <v>32000</v>
      </c>
      <c r="AN654" s="12">
        <f t="shared" si="46"/>
        <v>64000</v>
      </c>
      <c r="AO654" s="76"/>
    </row>
    <row r="655" spans="1:41" ht="13.5" customHeight="1">
      <c r="A655" s="51" t="s">
        <v>62</v>
      </c>
      <c r="B655" s="35">
        <v>58</v>
      </c>
      <c r="C655" s="36" t="s">
        <v>151</v>
      </c>
      <c r="D655" s="36" t="s">
        <v>587</v>
      </c>
      <c r="E655" s="36" t="s">
        <v>20</v>
      </c>
      <c r="F655" s="35" t="s">
        <v>588</v>
      </c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34">
        <v>1</v>
      </c>
      <c r="AK655" s="34">
        <v>1</v>
      </c>
      <c r="AL655" s="10">
        <f t="shared" si="45"/>
        <v>2</v>
      </c>
      <c r="AM655" s="11">
        <v>32000</v>
      </c>
      <c r="AN655" s="12">
        <f t="shared" si="46"/>
        <v>64000</v>
      </c>
      <c r="AO655" s="76"/>
    </row>
    <row r="656" spans="1:41" ht="13.5" customHeight="1">
      <c r="A656" s="45" t="s">
        <v>62</v>
      </c>
      <c r="B656" s="35">
        <v>59</v>
      </c>
      <c r="C656" s="36" t="s">
        <v>206</v>
      </c>
      <c r="D656" s="36" t="s">
        <v>634</v>
      </c>
      <c r="E656" s="36" t="s">
        <v>707</v>
      </c>
      <c r="F656" s="35" t="s">
        <v>708</v>
      </c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34">
        <v>1</v>
      </c>
      <c r="AK656" s="34">
        <v>1</v>
      </c>
      <c r="AL656" s="10">
        <f t="shared" si="45"/>
        <v>2</v>
      </c>
      <c r="AM656" s="12">
        <v>32000</v>
      </c>
      <c r="AN656" s="12">
        <f t="shared" si="46"/>
        <v>64000</v>
      </c>
      <c r="AO656" s="76"/>
    </row>
    <row r="657" spans="1:41" ht="13.5" customHeight="1">
      <c r="A657" s="51" t="s">
        <v>62</v>
      </c>
      <c r="B657" s="35">
        <v>59</v>
      </c>
      <c r="C657" s="36" t="s">
        <v>312</v>
      </c>
      <c r="D657" s="36" t="s">
        <v>120</v>
      </c>
      <c r="E657" s="36" t="s">
        <v>43</v>
      </c>
      <c r="F657" s="35" t="s">
        <v>709</v>
      </c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34">
        <v>1</v>
      </c>
      <c r="AK657" s="34">
        <v>1</v>
      </c>
      <c r="AL657" s="10">
        <f t="shared" si="45"/>
        <v>2</v>
      </c>
      <c r="AM657" s="11">
        <v>32000</v>
      </c>
      <c r="AN657" s="12">
        <f t="shared" si="46"/>
        <v>64000</v>
      </c>
      <c r="AO657" s="76"/>
    </row>
    <row r="658" spans="1:41" ht="13.5" customHeight="1">
      <c r="A658" s="45" t="s">
        <v>62</v>
      </c>
      <c r="B658" s="35">
        <v>61</v>
      </c>
      <c r="C658" s="36" t="s">
        <v>710</v>
      </c>
      <c r="D658" s="36" t="s">
        <v>711</v>
      </c>
      <c r="E658" s="36" t="s">
        <v>669</v>
      </c>
      <c r="F658" s="35" t="s">
        <v>712</v>
      </c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34">
        <v>1</v>
      </c>
      <c r="AK658" s="34">
        <v>1</v>
      </c>
      <c r="AL658" s="10">
        <f t="shared" si="45"/>
        <v>2</v>
      </c>
      <c r="AM658" s="12">
        <v>32000</v>
      </c>
      <c r="AN658" s="12">
        <f t="shared" si="46"/>
        <v>64000</v>
      </c>
      <c r="AO658" s="76"/>
    </row>
    <row r="659" spans="1:41" ht="13.5" customHeight="1">
      <c r="A659" s="51" t="s">
        <v>62</v>
      </c>
      <c r="B659" s="35">
        <v>61</v>
      </c>
      <c r="C659" s="36" t="s">
        <v>13</v>
      </c>
      <c r="D659" s="36" t="s">
        <v>38</v>
      </c>
      <c r="E659" s="36" t="s">
        <v>713</v>
      </c>
      <c r="F659" s="35" t="s">
        <v>714</v>
      </c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34">
        <v>1</v>
      </c>
      <c r="AK659" s="34">
        <v>1</v>
      </c>
      <c r="AL659" s="10">
        <f t="shared" si="45"/>
        <v>2</v>
      </c>
      <c r="AM659" s="11">
        <v>32000</v>
      </c>
      <c r="AN659" s="12">
        <f t="shared" si="46"/>
        <v>64000</v>
      </c>
      <c r="AO659" s="76"/>
    </row>
    <row r="660" spans="1:41" ht="13.5" customHeight="1">
      <c r="A660" s="45" t="s">
        <v>62</v>
      </c>
      <c r="B660" s="35">
        <v>63</v>
      </c>
      <c r="C660" s="36" t="s">
        <v>718</v>
      </c>
      <c r="D660" s="36" t="s">
        <v>142</v>
      </c>
      <c r="E660" s="36" t="s">
        <v>64</v>
      </c>
      <c r="F660" s="35" t="s">
        <v>719</v>
      </c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34">
        <v>1</v>
      </c>
      <c r="AK660" s="34">
        <v>1</v>
      </c>
      <c r="AL660" s="10">
        <f t="shared" si="45"/>
        <v>2</v>
      </c>
      <c r="AM660" s="12">
        <v>32000</v>
      </c>
      <c r="AN660" s="12">
        <f t="shared" si="46"/>
        <v>64000</v>
      </c>
      <c r="AO660" s="76"/>
    </row>
    <row r="661" spans="1:41" ht="13.5" customHeight="1">
      <c r="A661" s="51" t="s">
        <v>62</v>
      </c>
      <c r="B661" s="35">
        <v>63</v>
      </c>
      <c r="C661" s="36" t="s">
        <v>715</v>
      </c>
      <c r="D661" s="36" t="s">
        <v>67</v>
      </c>
      <c r="E661" s="36" t="s">
        <v>625</v>
      </c>
      <c r="F661" s="35" t="s">
        <v>717</v>
      </c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34">
        <v>1</v>
      </c>
      <c r="AK661" s="34">
        <v>1</v>
      </c>
      <c r="AL661" s="10">
        <f t="shared" si="45"/>
        <v>2</v>
      </c>
      <c r="AM661" s="11">
        <v>32000</v>
      </c>
      <c r="AN661" s="12">
        <f t="shared" si="46"/>
        <v>64000</v>
      </c>
      <c r="AO661" s="76"/>
    </row>
    <row r="662" spans="1:41" ht="13.5" customHeight="1">
      <c r="A662" s="45" t="s">
        <v>62</v>
      </c>
      <c r="B662" s="35">
        <v>66</v>
      </c>
      <c r="C662" s="36" t="s">
        <v>1383</v>
      </c>
      <c r="D662" s="36" t="s">
        <v>159</v>
      </c>
      <c r="E662" s="36" t="s">
        <v>169</v>
      </c>
      <c r="F662" s="35" t="s">
        <v>429</v>
      </c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34">
        <v>1</v>
      </c>
      <c r="AK662" s="34">
        <v>1</v>
      </c>
      <c r="AL662" s="10">
        <f t="shared" si="45"/>
        <v>2</v>
      </c>
      <c r="AM662" s="12">
        <v>32000</v>
      </c>
      <c r="AN662" s="12">
        <f t="shared" si="46"/>
        <v>64000</v>
      </c>
      <c r="AO662" s="76"/>
    </row>
    <row r="663" spans="1:41" ht="13.5" customHeight="1">
      <c r="A663" s="51" t="s">
        <v>62</v>
      </c>
      <c r="B663" s="35">
        <v>66</v>
      </c>
      <c r="C663" s="36" t="s">
        <v>134</v>
      </c>
      <c r="D663" s="36" t="s">
        <v>364</v>
      </c>
      <c r="E663" s="36" t="s">
        <v>1384</v>
      </c>
      <c r="F663" s="35" t="s">
        <v>445</v>
      </c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34">
        <v>1</v>
      </c>
      <c r="AK663" s="34">
        <v>1</v>
      </c>
      <c r="AL663" s="10">
        <f t="shared" si="45"/>
        <v>2</v>
      </c>
      <c r="AM663" s="11">
        <v>32000</v>
      </c>
      <c r="AN663" s="12">
        <f t="shared" si="46"/>
        <v>64000</v>
      </c>
      <c r="AO663" s="76"/>
    </row>
    <row r="664" spans="1:41" ht="13.5" customHeight="1">
      <c r="A664" s="45" t="s">
        <v>62</v>
      </c>
      <c r="B664" s="35">
        <v>67</v>
      </c>
      <c r="C664" s="36" t="s">
        <v>221</v>
      </c>
      <c r="D664" s="36" t="s">
        <v>724</v>
      </c>
      <c r="E664" s="36" t="s">
        <v>725</v>
      </c>
      <c r="F664" s="35" t="s">
        <v>1385</v>
      </c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34">
        <v>1</v>
      </c>
      <c r="AK664" s="34">
        <v>1</v>
      </c>
      <c r="AL664" s="10">
        <f t="shared" si="45"/>
        <v>2</v>
      </c>
      <c r="AM664" s="12">
        <v>32000</v>
      </c>
      <c r="AN664" s="12">
        <f t="shared" si="46"/>
        <v>64000</v>
      </c>
      <c r="AO664" s="76"/>
    </row>
    <row r="665" spans="1:41" ht="13.5" customHeight="1">
      <c r="A665" s="51" t="s">
        <v>62</v>
      </c>
      <c r="B665" s="35">
        <v>67</v>
      </c>
      <c r="C665" s="36" t="s">
        <v>727</v>
      </c>
      <c r="D665" s="36" t="s">
        <v>728</v>
      </c>
      <c r="E665" s="36" t="s">
        <v>43</v>
      </c>
      <c r="F665" s="35" t="s">
        <v>729</v>
      </c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34">
        <v>1</v>
      </c>
      <c r="AK665" s="34">
        <v>1</v>
      </c>
      <c r="AL665" s="10">
        <f t="shared" si="45"/>
        <v>2</v>
      </c>
      <c r="AM665" s="11">
        <v>32000</v>
      </c>
      <c r="AN665" s="12">
        <f t="shared" si="46"/>
        <v>64000</v>
      </c>
      <c r="AO665" s="76"/>
    </row>
    <row r="666" spans="1:41" ht="13.5" customHeight="1">
      <c r="A666" s="45" t="s">
        <v>62</v>
      </c>
      <c r="B666" s="35">
        <v>68</v>
      </c>
      <c r="C666" s="36" t="s">
        <v>730</v>
      </c>
      <c r="D666" s="36" t="s">
        <v>145</v>
      </c>
      <c r="E666" s="36" t="s">
        <v>713</v>
      </c>
      <c r="F666" s="35" t="s">
        <v>731</v>
      </c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34">
        <v>1</v>
      </c>
      <c r="AK666" s="34">
        <v>1</v>
      </c>
      <c r="AL666" s="10">
        <f t="shared" si="45"/>
        <v>2</v>
      </c>
      <c r="AM666" s="12">
        <v>32000</v>
      </c>
      <c r="AN666" s="12">
        <f t="shared" si="46"/>
        <v>64000</v>
      </c>
      <c r="AO666" s="76"/>
    </row>
    <row r="667" spans="1:41" ht="13.5" customHeight="1">
      <c r="A667" s="51" t="s">
        <v>62</v>
      </c>
      <c r="B667" s="35">
        <v>68</v>
      </c>
      <c r="C667" s="36" t="s">
        <v>17</v>
      </c>
      <c r="D667" s="36" t="s">
        <v>187</v>
      </c>
      <c r="E667" s="36" t="s">
        <v>466</v>
      </c>
      <c r="F667" s="35" t="s">
        <v>732</v>
      </c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34">
        <v>1</v>
      </c>
      <c r="AK667" s="34">
        <v>1</v>
      </c>
      <c r="AL667" s="10">
        <f t="shared" si="45"/>
        <v>2</v>
      </c>
      <c r="AM667" s="11">
        <v>32000</v>
      </c>
      <c r="AN667" s="12">
        <f t="shared" si="46"/>
        <v>64000</v>
      </c>
      <c r="AO667" s="76"/>
    </row>
    <row r="668" spans="1:41" ht="13.5" customHeight="1">
      <c r="A668" s="45" t="s">
        <v>62</v>
      </c>
      <c r="B668" s="35">
        <v>70</v>
      </c>
      <c r="C668" s="36" t="s">
        <v>91</v>
      </c>
      <c r="D668" s="36" t="s">
        <v>739</v>
      </c>
      <c r="E668" s="36" t="s">
        <v>15</v>
      </c>
      <c r="F668" s="35" t="s">
        <v>740</v>
      </c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34">
        <v>1</v>
      </c>
      <c r="AK668" s="34">
        <v>1</v>
      </c>
      <c r="AL668" s="10">
        <f t="shared" si="45"/>
        <v>2</v>
      </c>
      <c r="AM668" s="12">
        <v>32000</v>
      </c>
      <c r="AN668" s="12">
        <f t="shared" si="46"/>
        <v>64000</v>
      </c>
      <c r="AO668" s="76"/>
    </row>
    <row r="669" spans="1:41" ht="13.5" customHeight="1">
      <c r="A669" s="51" t="s">
        <v>62</v>
      </c>
      <c r="B669" s="35">
        <v>71</v>
      </c>
      <c r="C669" s="36" t="s">
        <v>478</v>
      </c>
      <c r="D669" s="36" t="s">
        <v>741</v>
      </c>
      <c r="E669" s="36" t="s">
        <v>9</v>
      </c>
      <c r="F669" s="35" t="s">
        <v>1386</v>
      </c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34">
        <v>1</v>
      </c>
      <c r="AK669" s="34">
        <v>1</v>
      </c>
      <c r="AL669" s="10">
        <f t="shared" si="45"/>
        <v>2</v>
      </c>
      <c r="AM669" s="11">
        <v>32000</v>
      </c>
      <c r="AN669" s="12">
        <f t="shared" si="46"/>
        <v>64000</v>
      </c>
      <c r="AO669" s="76"/>
    </row>
    <row r="670" spans="1:41" ht="13.5" customHeight="1">
      <c r="A670" s="45" t="s">
        <v>62</v>
      </c>
      <c r="B670" s="35">
        <v>71</v>
      </c>
      <c r="C670" s="36" t="s">
        <v>743</v>
      </c>
      <c r="D670" s="36" t="s">
        <v>744</v>
      </c>
      <c r="E670" s="36" t="s">
        <v>11</v>
      </c>
      <c r="F670" s="35" t="s">
        <v>745</v>
      </c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34">
        <v>1</v>
      </c>
      <c r="AK670" s="34">
        <v>1</v>
      </c>
      <c r="AL670" s="10">
        <f t="shared" si="45"/>
        <v>2</v>
      </c>
      <c r="AM670" s="12">
        <v>32000</v>
      </c>
      <c r="AN670" s="12">
        <f t="shared" si="46"/>
        <v>64000</v>
      </c>
      <c r="AO670" s="76"/>
    </row>
    <row r="671" spans="1:41" ht="13.5" customHeight="1">
      <c r="A671" s="51" t="s">
        <v>62</v>
      </c>
      <c r="B671" s="35">
        <v>72</v>
      </c>
      <c r="C671" s="36" t="s">
        <v>746</v>
      </c>
      <c r="D671" s="36" t="s">
        <v>747</v>
      </c>
      <c r="E671" s="36" t="s">
        <v>207</v>
      </c>
      <c r="F671" s="35" t="s">
        <v>748</v>
      </c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34">
        <v>1</v>
      </c>
      <c r="AK671" s="34">
        <v>1</v>
      </c>
      <c r="AL671" s="10">
        <f t="shared" si="45"/>
        <v>2</v>
      </c>
      <c r="AM671" s="11">
        <v>32000</v>
      </c>
      <c r="AN671" s="12">
        <f t="shared" si="46"/>
        <v>64000</v>
      </c>
      <c r="AO671" s="76"/>
    </row>
    <row r="672" spans="1:41" ht="13.5" customHeight="1">
      <c r="A672" s="45" t="s">
        <v>62</v>
      </c>
      <c r="B672" s="35">
        <v>72</v>
      </c>
      <c r="C672" s="36" t="s">
        <v>183</v>
      </c>
      <c r="D672" s="36" t="s">
        <v>91</v>
      </c>
      <c r="E672" s="36" t="s">
        <v>359</v>
      </c>
      <c r="F672" s="35" t="s">
        <v>749</v>
      </c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34">
        <v>1</v>
      </c>
      <c r="AK672" s="34">
        <v>1</v>
      </c>
      <c r="AL672" s="10">
        <f t="shared" si="45"/>
        <v>2</v>
      </c>
      <c r="AM672" s="12">
        <v>32000</v>
      </c>
      <c r="AN672" s="12">
        <f t="shared" si="46"/>
        <v>64000</v>
      </c>
      <c r="AO672" s="76"/>
    </row>
    <row r="673" spans="1:41" ht="13.5" customHeight="1">
      <c r="A673" s="51" t="s">
        <v>62</v>
      </c>
      <c r="B673" s="35">
        <v>73</v>
      </c>
      <c r="C673" s="36" t="s">
        <v>255</v>
      </c>
      <c r="D673" s="36" t="s">
        <v>23</v>
      </c>
      <c r="E673" s="36" t="s">
        <v>875</v>
      </c>
      <c r="F673" s="35" t="s">
        <v>878</v>
      </c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34">
        <v>1</v>
      </c>
      <c r="AK673" s="34">
        <v>1</v>
      </c>
      <c r="AL673" s="10">
        <f t="shared" si="45"/>
        <v>2</v>
      </c>
      <c r="AM673" s="11">
        <v>32000</v>
      </c>
      <c r="AN673" s="12">
        <f t="shared" si="46"/>
        <v>64000</v>
      </c>
      <c r="AO673" s="76"/>
    </row>
    <row r="674" spans="1:41" ht="13.5" customHeight="1">
      <c r="A674" s="45" t="s">
        <v>62</v>
      </c>
      <c r="B674" s="35">
        <v>73</v>
      </c>
      <c r="C674" s="36" t="s">
        <v>632</v>
      </c>
      <c r="D674" s="36" t="s">
        <v>136</v>
      </c>
      <c r="E674" s="36" t="s">
        <v>1387</v>
      </c>
      <c r="F674" s="35" t="s">
        <v>1388</v>
      </c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34">
        <v>1</v>
      </c>
      <c r="AK674" s="34">
        <v>1</v>
      </c>
      <c r="AL674" s="10">
        <f t="shared" si="45"/>
        <v>2</v>
      </c>
      <c r="AM674" s="12">
        <v>32000</v>
      </c>
      <c r="AN674" s="12">
        <f t="shared" si="46"/>
        <v>64000</v>
      </c>
      <c r="AO674" s="76"/>
    </row>
    <row r="675" spans="1:41" ht="13.5" customHeight="1">
      <c r="A675" s="51" t="s">
        <v>62</v>
      </c>
      <c r="B675" s="35">
        <v>74</v>
      </c>
      <c r="C675" s="36" t="s">
        <v>23</v>
      </c>
      <c r="D675" s="36" t="s">
        <v>750</v>
      </c>
      <c r="E675" s="36" t="s">
        <v>138</v>
      </c>
      <c r="F675" s="35" t="s">
        <v>751</v>
      </c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34">
        <v>1</v>
      </c>
      <c r="AK675" s="34">
        <v>1</v>
      </c>
      <c r="AL675" s="10">
        <f t="shared" si="45"/>
        <v>2</v>
      </c>
      <c r="AM675" s="11">
        <v>32000</v>
      </c>
      <c r="AN675" s="12">
        <f t="shared" si="46"/>
        <v>64000</v>
      </c>
      <c r="AO675" s="76"/>
    </row>
    <row r="676" spans="1:41" ht="13.5" customHeight="1">
      <c r="A676" s="45" t="s">
        <v>62</v>
      </c>
      <c r="B676" s="35">
        <v>74</v>
      </c>
      <c r="C676" s="36" t="s">
        <v>752</v>
      </c>
      <c r="D676" s="36" t="s">
        <v>753</v>
      </c>
      <c r="E676" s="36" t="s">
        <v>160</v>
      </c>
      <c r="F676" s="35" t="s">
        <v>754</v>
      </c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34">
        <v>1</v>
      </c>
      <c r="AK676" s="34">
        <v>1</v>
      </c>
      <c r="AL676" s="10">
        <f t="shared" si="45"/>
        <v>2</v>
      </c>
      <c r="AM676" s="12">
        <v>32000</v>
      </c>
      <c r="AN676" s="12">
        <f t="shared" si="46"/>
        <v>64000</v>
      </c>
      <c r="AO676" s="76"/>
    </row>
    <row r="677" spans="1:41" ht="13.5" customHeight="1">
      <c r="A677" s="51" t="s">
        <v>62</v>
      </c>
      <c r="B677" s="35">
        <v>76</v>
      </c>
      <c r="C677" s="36" t="s">
        <v>810</v>
      </c>
      <c r="D677" s="36" t="s">
        <v>798</v>
      </c>
      <c r="E677" s="36" t="s">
        <v>135</v>
      </c>
      <c r="F677" s="35" t="s">
        <v>811</v>
      </c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34">
        <v>1</v>
      </c>
      <c r="AK677" s="34">
        <v>1</v>
      </c>
      <c r="AL677" s="10">
        <f t="shared" si="45"/>
        <v>2</v>
      </c>
      <c r="AM677" s="11">
        <v>32000</v>
      </c>
      <c r="AN677" s="12">
        <f t="shared" si="46"/>
        <v>64000</v>
      </c>
      <c r="AO677" s="76"/>
    </row>
    <row r="678" spans="1:41" ht="13.5" customHeight="1">
      <c r="A678" s="45" t="s">
        <v>62</v>
      </c>
      <c r="B678" s="35">
        <v>76</v>
      </c>
      <c r="C678" s="36" t="s">
        <v>139</v>
      </c>
      <c r="D678" s="36" t="s">
        <v>812</v>
      </c>
      <c r="E678" s="36" t="s">
        <v>140</v>
      </c>
      <c r="F678" s="35" t="s">
        <v>813</v>
      </c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34">
        <v>1</v>
      </c>
      <c r="AK678" s="34">
        <v>1</v>
      </c>
      <c r="AL678" s="10">
        <f t="shared" si="45"/>
        <v>2</v>
      </c>
      <c r="AM678" s="12">
        <v>32000</v>
      </c>
      <c r="AN678" s="12">
        <f t="shared" si="46"/>
        <v>64000</v>
      </c>
      <c r="AO678" s="76"/>
    </row>
    <row r="679" spans="1:41" ht="13.5" customHeight="1">
      <c r="A679" s="51" t="s">
        <v>62</v>
      </c>
      <c r="B679" s="35">
        <v>77</v>
      </c>
      <c r="C679" s="36" t="s">
        <v>297</v>
      </c>
      <c r="D679" s="36" t="s">
        <v>10</v>
      </c>
      <c r="E679" s="36" t="s">
        <v>977</v>
      </c>
      <c r="F679" s="35" t="s">
        <v>982</v>
      </c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34">
        <v>1</v>
      </c>
      <c r="AK679" s="34">
        <v>1</v>
      </c>
      <c r="AL679" s="10">
        <f t="shared" si="45"/>
        <v>2</v>
      </c>
      <c r="AM679" s="11">
        <v>32000</v>
      </c>
      <c r="AN679" s="12">
        <f t="shared" si="46"/>
        <v>64000</v>
      </c>
      <c r="AO679" s="76"/>
    </row>
    <row r="680" spans="1:41" ht="13.5" customHeight="1">
      <c r="A680" s="45" t="s">
        <v>62</v>
      </c>
      <c r="B680" s="35">
        <v>77</v>
      </c>
      <c r="C680" s="36"/>
      <c r="D680" s="36" t="s">
        <v>166</v>
      </c>
      <c r="E680" s="36" t="s">
        <v>1342</v>
      </c>
      <c r="F680" s="35" t="s">
        <v>1350</v>
      </c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34">
        <v>1</v>
      </c>
      <c r="AK680" s="34">
        <v>1</v>
      </c>
      <c r="AL680" s="10">
        <f t="shared" si="45"/>
        <v>2</v>
      </c>
      <c r="AM680" s="12">
        <v>32000</v>
      </c>
      <c r="AN680" s="12">
        <f t="shared" si="46"/>
        <v>64000</v>
      </c>
      <c r="AO680" s="76"/>
    </row>
    <row r="681" spans="1:41" ht="13.5" customHeight="1">
      <c r="A681" s="51" t="s">
        <v>62</v>
      </c>
      <c r="B681" s="35">
        <v>78</v>
      </c>
      <c r="C681" s="36" t="s">
        <v>1389</v>
      </c>
      <c r="D681" s="36" t="s">
        <v>13</v>
      </c>
      <c r="E681" s="36" t="s">
        <v>876</v>
      </c>
      <c r="F681" s="35" t="s">
        <v>877</v>
      </c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34">
        <v>1</v>
      </c>
      <c r="AK681" s="34">
        <v>1</v>
      </c>
      <c r="AL681" s="10">
        <f t="shared" si="45"/>
        <v>2</v>
      </c>
      <c r="AM681" s="11">
        <v>32000</v>
      </c>
      <c r="AN681" s="12">
        <f t="shared" si="46"/>
        <v>64000</v>
      </c>
      <c r="AO681" s="76"/>
    </row>
    <row r="682" spans="1:41" ht="13.5" customHeight="1">
      <c r="A682" s="45" t="s">
        <v>62</v>
      </c>
      <c r="B682" s="35">
        <v>79</v>
      </c>
      <c r="C682" s="36" t="s">
        <v>762</v>
      </c>
      <c r="D682" s="36" t="s">
        <v>233</v>
      </c>
      <c r="E682" s="36" t="s">
        <v>391</v>
      </c>
      <c r="F682" s="35" t="s">
        <v>763</v>
      </c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34">
        <v>1</v>
      </c>
      <c r="AK682" s="34">
        <v>1</v>
      </c>
      <c r="AL682" s="10">
        <f t="shared" si="45"/>
        <v>2</v>
      </c>
      <c r="AM682" s="12">
        <v>32000</v>
      </c>
      <c r="AN682" s="12">
        <f t="shared" si="46"/>
        <v>64000</v>
      </c>
      <c r="AO682" s="76"/>
    </row>
    <row r="683" spans="1:41" ht="13.5" customHeight="1">
      <c r="A683" s="51" t="s">
        <v>62</v>
      </c>
      <c r="B683" s="35">
        <v>80</v>
      </c>
      <c r="C683" s="36" t="s">
        <v>768</v>
      </c>
      <c r="D683" s="36" t="s">
        <v>769</v>
      </c>
      <c r="E683" s="36" t="s">
        <v>371</v>
      </c>
      <c r="F683" s="35" t="s">
        <v>770</v>
      </c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34">
        <v>1</v>
      </c>
      <c r="AK683" s="34">
        <v>1</v>
      </c>
      <c r="AL683" s="10">
        <f t="shared" si="45"/>
        <v>2</v>
      </c>
      <c r="AM683" s="11">
        <v>32000</v>
      </c>
      <c r="AN683" s="12">
        <f t="shared" si="46"/>
        <v>64000</v>
      </c>
      <c r="AO683" s="76"/>
    </row>
    <row r="684" spans="1:41" ht="13.5" customHeight="1">
      <c r="A684" s="45" t="s">
        <v>62</v>
      </c>
      <c r="B684" s="35">
        <v>80</v>
      </c>
      <c r="C684" s="36" t="s">
        <v>84</v>
      </c>
      <c r="D684" s="36" t="s">
        <v>771</v>
      </c>
      <c r="E684" s="36" t="s">
        <v>772</v>
      </c>
      <c r="F684" s="35" t="s">
        <v>773</v>
      </c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34">
        <v>1</v>
      </c>
      <c r="AK684" s="34">
        <v>1</v>
      </c>
      <c r="AL684" s="10">
        <f t="shared" si="45"/>
        <v>2</v>
      </c>
      <c r="AM684" s="12">
        <v>32000</v>
      </c>
      <c r="AN684" s="12">
        <f t="shared" si="46"/>
        <v>64000</v>
      </c>
      <c r="AO684" s="76"/>
    </row>
    <row r="685" spans="1:41" ht="13.5" customHeight="1">
      <c r="A685" s="51" t="s">
        <v>62</v>
      </c>
      <c r="B685" s="35">
        <v>81</v>
      </c>
      <c r="C685" s="36" t="s">
        <v>778</v>
      </c>
      <c r="D685" s="36" t="s">
        <v>779</v>
      </c>
      <c r="E685" s="36" t="s">
        <v>28</v>
      </c>
      <c r="F685" s="35" t="s">
        <v>780</v>
      </c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34">
        <v>1</v>
      </c>
      <c r="AK685" s="34">
        <v>1</v>
      </c>
      <c r="AL685" s="10">
        <f t="shared" si="45"/>
        <v>2</v>
      </c>
      <c r="AM685" s="11">
        <v>32000</v>
      </c>
      <c r="AN685" s="12">
        <f t="shared" si="46"/>
        <v>64000</v>
      </c>
      <c r="AO685" s="76"/>
    </row>
    <row r="686" spans="1:41" ht="13.5" customHeight="1">
      <c r="A686" s="45" t="s">
        <v>62</v>
      </c>
      <c r="B686" s="35">
        <v>81</v>
      </c>
      <c r="C686" s="36" t="s">
        <v>145</v>
      </c>
      <c r="D686" s="36" t="s">
        <v>457</v>
      </c>
      <c r="E686" s="36" t="s">
        <v>140</v>
      </c>
      <c r="F686" s="35" t="s">
        <v>781</v>
      </c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34">
        <v>1</v>
      </c>
      <c r="AK686" s="34">
        <v>1</v>
      </c>
      <c r="AL686" s="10">
        <f t="shared" si="45"/>
        <v>2</v>
      </c>
      <c r="AM686" s="12">
        <v>32000</v>
      </c>
      <c r="AN686" s="12">
        <f t="shared" si="46"/>
        <v>64000</v>
      </c>
      <c r="AO686" s="76"/>
    </row>
    <row r="687" spans="1:41" ht="13.5" customHeight="1">
      <c r="A687" s="51" t="s">
        <v>62</v>
      </c>
      <c r="B687" s="35">
        <v>83</v>
      </c>
      <c r="C687" s="36" t="s">
        <v>782</v>
      </c>
      <c r="D687" s="36" t="s">
        <v>19</v>
      </c>
      <c r="E687" s="36" t="s">
        <v>266</v>
      </c>
      <c r="F687" s="35" t="s">
        <v>783</v>
      </c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34">
        <v>1</v>
      </c>
      <c r="AK687" s="34">
        <v>1</v>
      </c>
      <c r="AL687" s="10">
        <f t="shared" si="45"/>
        <v>2</v>
      </c>
      <c r="AM687" s="11">
        <v>32000</v>
      </c>
      <c r="AN687" s="12">
        <f t="shared" si="46"/>
        <v>64000</v>
      </c>
      <c r="AO687" s="76"/>
    </row>
    <row r="688" spans="1:41" ht="13.5" customHeight="1">
      <c r="A688" s="45" t="s">
        <v>62</v>
      </c>
      <c r="B688" s="35">
        <v>83</v>
      </c>
      <c r="C688" s="36" t="s">
        <v>1390</v>
      </c>
      <c r="D688" s="36" t="s">
        <v>297</v>
      </c>
      <c r="E688" s="36" t="s">
        <v>11</v>
      </c>
      <c r="F688" s="35" t="s">
        <v>784</v>
      </c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34">
        <v>1</v>
      </c>
      <c r="AK688" s="34">
        <v>1</v>
      </c>
      <c r="AL688" s="10">
        <f t="shared" si="45"/>
        <v>2</v>
      </c>
      <c r="AM688" s="12">
        <v>32000</v>
      </c>
      <c r="AN688" s="12">
        <f t="shared" si="46"/>
        <v>64000</v>
      </c>
      <c r="AO688" s="76"/>
    </row>
    <row r="689" spans="1:41" ht="13.5" customHeight="1">
      <c r="A689" s="51" t="s">
        <v>62</v>
      </c>
      <c r="B689" s="35">
        <v>84</v>
      </c>
      <c r="C689" s="36" t="s">
        <v>196</v>
      </c>
      <c r="D689" s="36" t="s">
        <v>1391</v>
      </c>
      <c r="E689" s="36" t="s">
        <v>21</v>
      </c>
      <c r="F689" s="35" t="s">
        <v>1392</v>
      </c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34">
        <v>1</v>
      </c>
      <c r="AK689" s="34">
        <v>1</v>
      </c>
      <c r="AL689" s="10">
        <f t="shared" si="45"/>
        <v>2</v>
      </c>
      <c r="AM689" s="11">
        <v>32000</v>
      </c>
      <c r="AN689" s="12">
        <f t="shared" si="46"/>
        <v>64000</v>
      </c>
      <c r="AO689" s="76"/>
    </row>
    <row r="690" spans="1:41" ht="13.5" customHeight="1">
      <c r="A690" s="45" t="s">
        <v>62</v>
      </c>
      <c r="B690" s="35">
        <v>84</v>
      </c>
      <c r="C690" s="36" t="s">
        <v>157</v>
      </c>
      <c r="D690" s="36" t="s">
        <v>376</v>
      </c>
      <c r="E690" s="36" t="s">
        <v>135</v>
      </c>
      <c r="F690" s="35" t="s">
        <v>1393</v>
      </c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34">
        <v>1</v>
      </c>
      <c r="AK690" s="34">
        <v>1</v>
      </c>
      <c r="AL690" s="10">
        <f t="shared" si="45"/>
        <v>2</v>
      </c>
      <c r="AM690" s="12">
        <v>32000</v>
      </c>
      <c r="AN690" s="12">
        <f t="shared" si="46"/>
        <v>64000</v>
      </c>
      <c r="AO690" s="76"/>
    </row>
    <row r="691" spans="1:41" ht="13.5" customHeight="1">
      <c r="A691" s="51" t="s">
        <v>62</v>
      </c>
      <c r="B691" s="35">
        <v>85</v>
      </c>
      <c r="C691" s="36" t="s">
        <v>13</v>
      </c>
      <c r="D691" s="36" t="s">
        <v>26</v>
      </c>
      <c r="E691" s="36" t="s">
        <v>11</v>
      </c>
      <c r="F691" s="35" t="s">
        <v>789</v>
      </c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34">
        <v>1</v>
      </c>
      <c r="AK691" s="34">
        <v>1</v>
      </c>
      <c r="AL691" s="10">
        <f t="shared" si="45"/>
        <v>2</v>
      </c>
      <c r="AM691" s="11">
        <v>32000</v>
      </c>
      <c r="AN691" s="12">
        <f t="shared" si="46"/>
        <v>64000</v>
      </c>
      <c r="AO691" s="76"/>
    </row>
    <row r="692" spans="1:41" ht="13.5" customHeight="1">
      <c r="A692" s="45" t="s">
        <v>62</v>
      </c>
      <c r="B692" s="35">
        <v>85</v>
      </c>
      <c r="C692" s="36" t="s">
        <v>122</v>
      </c>
      <c r="D692" s="36"/>
      <c r="E692" s="36" t="s">
        <v>182</v>
      </c>
      <c r="F692" s="35" t="s">
        <v>790</v>
      </c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34">
        <v>1</v>
      </c>
      <c r="AK692" s="34">
        <v>1</v>
      </c>
      <c r="AL692" s="10">
        <f t="shared" si="45"/>
        <v>2</v>
      </c>
      <c r="AM692" s="12">
        <v>32000</v>
      </c>
      <c r="AN692" s="12">
        <f t="shared" si="46"/>
        <v>64000</v>
      </c>
      <c r="AO692" s="76"/>
    </row>
    <row r="693" spans="1:41" ht="13.5" customHeight="1">
      <c r="A693" s="51" t="s">
        <v>62</v>
      </c>
      <c r="B693" s="35">
        <v>86</v>
      </c>
      <c r="C693" s="36" t="s">
        <v>315</v>
      </c>
      <c r="D693" s="36" t="s">
        <v>183</v>
      </c>
      <c r="E693" s="36" t="s">
        <v>505</v>
      </c>
      <c r="F693" s="35" t="s">
        <v>1394</v>
      </c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34">
        <v>1</v>
      </c>
      <c r="AK693" s="34">
        <v>1</v>
      </c>
      <c r="AL693" s="10">
        <f t="shared" si="45"/>
        <v>2</v>
      </c>
      <c r="AM693" s="11">
        <v>32000</v>
      </c>
      <c r="AN693" s="12">
        <f t="shared" si="46"/>
        <v>64000</v>
      </c>
      <c r="AO693" s="76"/>
    </row>
    <row r="694" spans="1:41" ht="13.5" customHeight="1">
      <c r="A694" s="45" t="s">
        <v>62</v>
      </c>
      <c r="B694" s="35">
        <v>86</v>
      </c>
      <c r="C694" s="36" t="s">
        <v>949</v>
      </c>
      <c r="D694" s="36" t="s">
        <v>128</v>
      </c>
      <c r="E694" s="36" t="s">
        <v>24</v>
      </c>
      <c r="F694" s="35" t="s">
        <v>950</v>
      </c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34">
        <v>1</v>
      </c>
      <c r="AK694" s="34">
        <v>1</v>
      </c>
      <c r="AL694" s="10">
        <f t="shared" si="45"/>
        <v>2</v>
      </c>
      <c r="AM694" s="12">
        <v>32000</v>
      </c>
      <c r="AN694" s="12">
        <f t="shared" si="46"/>
        <v>64000</v>
      </c>
      <c r="AO694" s="76"/>
    </row>
    <row r="695" spans="1:41" ht="13.5" customHeight="1">
      <c r="A695" s="51" t="s">
        <v>62</v>
      </c>
      <c r="B695" s="35">
        <v>87</v>
      </c>
      <c r="C695" s="36" t="s">
        <v>319</v>
      </c>
      <c r="D695" s="36" t="s">
        <v>319</v>
      </c>
      <c r="E695" s="36" t="s">
        <v>160</v>
      </c>
      <c r="F695" s="35" t="s">
        <v>441</v>
      </c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34">
        <v>1</v>
      </c>
      <c r="AK695" s="34">
        <v>1</v>
      </c>
      <c r="AL695" s="10">
        <f t="shared" si="45"/>
        <v>2</v>
      </c>
      <c r="AM695" s="11">
        <v>32000</v>
      </c>
      <c r="AN695" s="12">
        <f t="shared" si="46"/>
        <v>64000</v>
      </c>
      <c r="AO695" s="76"/>
    </row>
    <row r="696" spans="1:41" ht="13.5" customHeight="1">
      <c r="A696" s="45" t="s">
        <v>62</v>
      </c>
      <c r="B696" s="35">
        <v>87</v>
      </c>
      <c r="C696" s="36" t="s">
        <v>414</v>
      </c>
      <c r="D696" s="36" t="s">
        <v>67</v>
      </c>
      <c r="E696" s="36" t="s">
        <v>75</v>
      </c>
      <c r="F696" s="35" t="s">
        <v>420</v>
      </c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34">
        <v>1</v>
      </c>
      <c r="AK696" s="34">
        <v>1</v>
      </c>
      <c r="AL696" s="10">
        <f t="shared" si="45"/>
        <v>2</v>
      </c>
      <c r="AM696" s="12">
        <v>32000</v>
      </c>
      <c r="AN696" s="12">
        <f t="shared" si="46"/>
        <v>64000</v>
      </c>
      <c r="AO696" s="76"/>
    </row>
    <row r="697" spans="1:41" ht="13.5" customHeight="1">
      <c r="A697" s="51" t="s">
        <v>62</v>
      </c>
      <c r="B697" s="35">
        <v>88</v>
      </c>
      <c r="C697" s="36" t="s">
        <v>791</v>
      </c>
      <c r="D697" s="36" t="s">
        <v>792</v>
      </c>
      <c r="E697" s="36" t="s">
        <v>793</v>
      </c>
      <c r="F697" s="35" t="s">
        <v>794</v>
      </c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34">
        <v>1</v>
      </c>
      <c r="AK697" s="34">
        <v>1</v>
      </c>
      <c r="AL697" s="10">
        <f t="shared" si="45"/>
        <v>2</v>
      </c>
      <c r="AM697" s="11">
        <v>32000</v>
      </c>
      <c r="AN697" s="12">
        <f t="shared" si="46"/>
        <v>64000</v>
      </c>
      <c r="AO697" s="76"/>
    </row>
    <row r="698" spans="1:41" ht="13.5" customHeight="1">
      <c r="A698" s="45" t="s">
        <v>62</v>
      </c>
      <c r="B698" s="35">
        <v>88</v>
      </c>
      <c r="C698" s="36" t="s">
        <v>327</v>
      </c>
      <c r="D698" s="36" t="s">
        <v>456</v>
      </c>
      <c r="E698" s="36" t="s">
        <v>795</v>
      </c>
      <c r="F698" s="35" t="s">
        <v>796</v>
      </c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34">
        <v>1</v>
      </c>
      <c r="AK698" s="34">
        <v>1</v>
      </c>
      <c r="AL698" s="10">
        <f t="shared" si="45"/>
        <v>2</v>
      </c>
      <c r="AM698" s="12">
        <v>32000</v>
      </c>
      <c r="AN698" s="12">
        <f t="shared" si="46"/>
        <v>64000</v>
      </c>
      <c r="AO698" s="76"/>
    </row>
    <row r="699" spans="1:41" ht="13.5" customHeight="1">
      <c r="A699" s="51" t="s">
        <v>62</v>
      </c>
      <c r="B699" s="35">
        <v>90</v>
      </c>
      <c r="C699" s="36" t="s">
        <v>750</v>
      </c>
      <c r="D699" s="36" t="s">
        <v>119</v>
      </c>
      <c r="E699" s="36" t="s">
        <v>28</v>
      </c>
      <c r="F699" s="35" t="s">
        <v>797</v>
      </c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34">
        <v>1</v>
      </c>
      <c r="AK699" s="34">
        <v>1</v>
      </c>
      <c r="AL699" s="10">
        <f t="shared" si="45"/>
        <v>2</v>
      </c>
      <c r="AM699" s="11">
        <v>32000</v>
      </c>
      <c r="AN699" s="12">
        <f t="shared" si="46"/>
        <v>64000</v>
      </c>
      <c r="AO699" s="76"/>
    </row>
    <row r="700" spans="1:41" ht="13.5" customHeight="1">
      <c r="A700" s="45" t="s">
        <v>62</v>
      </c>
      <c r="B700" s="35">
        <v>90</v>
      </c>
      <c r="C700" s="36" t="s">
        <v>798</v>
      </c>
      <c r="D700" s="36" t="s">
        <v>19</v>
      </c>
      <c r="E700" s="36" t="s">
        <v>799</v>
      </c>
      <c r="F700" s="35" t="s">
        <v>800</v>
      </c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34">
        <v>1</v>
      </c>
      <c r="AK700" s="34">
        <v>1</v>
      </c>
      <c r="AL700" s="10">
        <f t="shared" si="45"/>
        <v>2</v>
      </c>
      <c r="AM700" s="12">
        <v>32000</v>
      </c>
      <c r="AN700" s="12">
        <f t="shared" si="46"/>
        <v>64000</v>
      </c>
      <c r="AO700" s="76"/>
    </row>
    <row r="701" spans="1:41" ht="13.5" customHeight="1">
      <c r="A701" s="51" t="s">
        <v>62</v>
      </c>
      <c r="B701" s="35">
        <v>91</v>
      </c>
      <c r="C701" s="36" t="s">
        <v>785</v>
      </c>
      <c r="D701" s="36" t="s">
        <v>176</v>
      </c>
      <c r="E701" s="36" t="s">
        <v>625</v>
      </c>
      <c r="F701" s="35" t="s">
        <v>786</v>
      </c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34">
        <v>1</v>
      </c>
      <c r="AK701" s="34">
        <v>1</v>
      </c>
      <c r="AL701" s="10">
        <f t="shared" si="45"/>
        <v>2</v>
      </c>
      <c r="AM701" s="11">
        <v>32000</v>
      </c>
      <c r="AN701" s="12">
        <f t="shared" si="46"/>
        <v>64000</v>
      </c>
      <c r="AO701" s="76"/>
    </row>
    <row r="702" spans="1:41" ht="13.5" customHeight="1">
      <c r="A702" s="45" t="s">
        <v>62</v>
      </c>
      <c r="B702" s="35">
        <v>91</v>
      </c>
      <c r="C702" s="36" t="s">
        <v>88</v>
      </c>
      <c r="D702" s="36" t="s">
        <v>787</v>
      </c>
      <c r="E702" s="36" t="s">
        <v>46</v>
      </c>
      <c r="F702" s="35" t="s">
        <v>788</v>
      </c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34">
        <v>1</v>
      </c>
      <c r="AK702" s="34">
        <v>1</v>
      </c>
      <c r="AL702" s="10">
        <f t="shared" si="45"/>
        <v>2</v>
      </c>
      <c r="AM702" s="12">
        <v>32000</v>
      </c>
      <c r="AN702" s="12">
        <f t="shared" si="46"/>
        <v>64000</v>
      </c>
      <c r="AO702" s="76"/>
    </row>
    <row r="703" spans="1:41" ht="13.5" customHeight="1">
      <c r="A703" s="51" t="s">
        <v>62</v>
      </c>
      <c r="B703" s="35">
        <v>93</v>
      </c>
      <c r="C703" s="36" t="s">
        <v>364</v>
      </c>
      <c r="D703" s="36" t="s">
        <v>310</v>
      </c>
      <c r="E703" s="36" t="s">
        <v>774</v>
      </c>
      <c r="F703" s="35" t="s">
        <v>775</v>
      </c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34">
        <v>1</v>
      </c>
      <c r="AK703" s="34">
        <v>1</v>
      </c>
      <c r="AL703" s="10">
        <f t="shared" si="45"/>
        <v>2</v>
      </c>
      <c r="AM703" s="11">
        <v>32000</v>
      </c>
      <c r="AN703" s="12">
        <f t="shared" si="46"/>
        <v>64000</v>
      </c>
      <c r="AO703" s="76"/>
    </row>
    <row r="704" spans="1:41" ht="13.5" customHeight="1">
      <c r="A704" s="45" t="s">
        <v>62</v>
      </c>
      <c r="B704" s="35">
        <v>93</v>
      </c>
      <c r="C704" s="36" t="s">
        <v>591</v>
      </c>
      <c r="D704" s="36" t="s">
        <v>72</v>
      </c>
      <c r="E704" s="36" t="s">
        <v>776</v>
      </c>
      <c r="F704" s="35" t="s">
        <v>777</v>
      </c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34">
        <v>1</v>
      </c>
      <c r="AK704" s="34">
        <v>1</v>
      </c>
      <c r="AL704" s="10">
        <f t="shared" ref="AL704:AL760" si="47">SUM(G704:AK704)</f>
        <v>2</v>
      </c>
      <c r="AM704" s="12">
        <v>32000</v>
      </c>
      <c r="AN704" s="12">
        <f t="shared" ref="AN704:AN760" si="48">AM704*AL704</f>
        <v>64000</v>
      </c>
      <c r="AO704" s="76"/>
    </row>
    <row r="705" spans="1:41" ht="13.5" customHeight="1">
      <c r="A705" s="51" t="s">
        <v>62</v>
      </c>
      <c r="B705" s="35">
        <v>96</v>
      </c>
      <c r="C705" s="36" t="s">
        <v>8</v>
      </c>
      <c r="D705" s="36" t="s">
        <v>816</v>
      </c>
      <c r="E705" s="36" t="s">
        <v>234</v>
      </c>
      <c r="F705" s="35" t="s">
        <v>817</v>
      </c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34">
        <v>1</v>
      </c>
      <c r="AK705" s="34">
        <v>1</v>
      </c>
      <c r="AL705" s="10">
        <f t="shared" si="47"/>
        <v>2</v>
      </c>
      <c r="AM705" s="11">
        <v>32000</v>
      </c>
      <c r="AN705" s="12">
        <f t="shared" si="48"/>
        <v>64000</v>
      </c>
      <c r="AO705" s="76"/>
    </row>
    <row r="706" spans="1:41" ht="13.5" customHeight="1">
      <c r="A706" s="45" t="s">
        <v>62</v>
      </c>
      <c r="B706" s="35">
        <v>96</v>
      </c>
      <c r="C706" s="36" t="s">
        <v>814</v>
      </c>
      <c r="D706" s="36" t="s">
        <v>38</v>
      </c>
      <c r="E706" s="36" t="s">
        <v>9</v>
      </c>
      <c r="F706" s="35" t="s">
        <v>815</v>
      </c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34">
        <v>1</v>
      </c>
      <c r="AK706" s="34">
        <v>1</v>
      </c>
      <c r="AL706" s="10">
        <f t="shared" si="47"/>
        <v>2</v>
      </c>
      <c r="AM706" s="12">
        <v>32000</v>
      </c>
      <c r="AN706" s="12">
        <f t="shared" si="48"/>
        <v>64000</v>
      </c>
      <c r="AO706" s="76"/>
    </row>
    <row r="707" spans="1:41" ht="13.5" customHeight="1">
      <c r="A707" s="51" t="s">
        <v>62</v>
      </c>
      <c r="B707" s="35">
        <v>99</v>
      </c>
      <c r="C707" s="36" t="s">
        <v>591</v>
      </c>
      <c r="D707" s="36" t="s">
        <v>592</v>
      </c>
      <c r="E707" s="36" t="s">
        <v>53</v>
      </c>
      <c r="F707" s="35" t="s">
        <v>593</v>
      </c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34">
        <v>1</v>
      </c>
      <c r="AK707" s="34">
        <v>1</v>
      </c>
      <c r="AL707" s="10">
        <f t="shared" si="47"/>
        <v>2</v>
      </c>
      <c r="AM707" s="11">
        <v>32000</v>
      </c>
      <c r="AN707" s="12">
        <f t="shared" si="48"/>
        <v>64000</v>
      </c>
      <c r="AO707" s="76"/>
    </row>
    <row r="708" spans="1:41" ht="13.5" customHeight="1">
      <c r="A708" s="45" t="s">
        <v>62</v>
      </c>
      <c r="B708" s="35">
        <v>99</v>
      </c>
      <c r="C708" s="36" t="s">
        <v>482</v>
      </c>
      <c r="D708" s="36" t="s">
        <v>855</v>
      </c>
      <c r="E708" s="36" t="s">
        <v>43</v>
      </c>
      <c r="F708" s="35" t="s">
        <v>1332</v>
      </c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34">
        <v>1</v>
      </c>
      <c r="AK708" s="34">
        <v>1</v>
      </c>
      <c r="AL708" s="10">
        <f t="shared" si="47"/>
        <v>2</v>
      </c>
      <c r="AM708" s="12">
        <v>32000</v>
      </c>
      <c r="AN708" s="12">
        <f t="shared" si="48"/>
        <v>64000</v>
      </c>
      <c r="AO708" s="76"/>
    </row>
    <row r="709" spans="1:41" ht="13.5" customHeight="1">
      <c r="A709" s="51" t="s">
        <v>62</v>
      </c>
      <c r="B709" s="35">
        <v>100</v>
      </c>
      <c r="C709" s="36" t="s">
        <v>8</v>
      </c>
      <c r="D709" s="36" t="s">
        <v>181</v>
      </c>
      <c r="E709" s="36" t="s">
        <v>15</v>
      </c>
      <c r="F709" s="35" t="s">
        <v>613</v>
      </c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34">
        <v>1</v>
      </c>
      <c r="AK709" s="34">
        <v>1</v>
      </c>
      <c r="AL709" s="10">
        <f t="shared" si="47"/>
        <v>2</v>
      </c>
      <c r="AM709" s="11">
        <v>32000</v>
      </c>
      <c r="AN709" s="12">
        <f t="shared" si="48"/>
        <v>64000</v>
      </c>
      <c r="AO709" s="76"/>
    </row>
    <row r="710" spans="1:41" ht="13.5" customHeight="1">
      <c r="A710" s="45" t="s">
        <v>62</v>
      </c>
      <c r="B710" s="35">
        <v>100</v>
      </c>
      <c r="C710" s="36" t="s">
        <v>879</v>
      </c>
      <c r="D710" s="36" t="s">
        <v>88</v>
      </c>
      <c r="E710" s="36" t="s">
        <v>40</v>
      </c>
      <c r="F710" s="35" t="s">
        <v>1395</v>
      </c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34">
        <v>1</v>
      </c>
      <c r="AK710" s="34">
        <v>1</v>
      </c>
      <c r="AL710" s="10">
        <f t="shared" si="47"/>
        <v>2</v>
      </c>
      <c r="AM710" s="12">
        <v>32000</v>
      </c>
      <c r="AN710" s="12">
        <f t="shared" si="48"/>
        <v>64000</v>
      </c>
      <c r="AO710" s="76"/>
    </row>
    <row r="711" spans="1:41" ht="13.5" customHeight="1">
      <c r="A711" s="51" t="s">
        <v>62</v>
      </c>
      <c r="B711" s="35">
        <v>101</v>
      </c>
      <c r="C711" s="36" t="s">
        <v>1396</v>
      </c>
      <c r="D711" s="36" t="s">
        <v>1397</v>
      </c>
      <c r="E711" s="36" t="s">
        <v>1398</v>
      </c>
      <c r="F711" s="35" t="s">
        <v>1399</v>
      </c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34">
        <v>1</v>
      </c>
      <c r="AK711" s="34">
        <v>1</v>
      </c>
      <c r="AL711" s="10">
        <f t="shared" si="47"/>
        <v>2</v>
      </c>
      <c r="AM711" s="11">
        <v>32000</v>
      </c>
      <c r="AN711" s="12">
        <f t="shared" si="48"/>
        <v>64000</v>
      </c>
      <c r="AO711" s="76"/>
    </row>
    <row r="712" spans="1:41" ht="13.5" customHeight="1">
      <c r="A712" s="45" t="s">
        <v>62</v>
      </c>
      <c r="B712" s="35">
        <v>101</v>
      </c>
      <c r="C712" s="36" t="s">
        <v>233</v>
      </c>
      <c r="D712" s="36" t="s">
        <v>8</v>
      </c>
      <c r="E712" s="36" t="s">
        <v>1400</v>
      </c>
      <c r="F712" s="35" t="s">
        <v>1401</v>
      </c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34">
        <v>1</v>
      </c>
      <c r="AK712" s="34">
        <v>1</v>
      </c>
      <c r="AL712" s="10">
        <f t="shared" si="47"/>
        <v>2</v>
      </c>
      <c r="AM712" s="12">
        <v>32000</v>
      </c>
      <c r="AN712" s="12">
        <f t="shared" si="48"/>
        <v>64000</v>
      </c>
      <c r="AO712" s="76"/>
    </row>
    <row r="713" spans="1:41" ht="13.5" customHeight="1">
      <c r="A713" s="51" t="s">
        <v>62</v>
      </c>
      <c r="B713" s="35">
        <v>103</v>
      </c>
      <c r="C713" s="36" t="s">
        <v>227</v>
      </c>
      <c r="D713" s="36" t="s">
        <v>750</v>
      </c>
      <c r="E713" s="36" t="s">
        <v>1111</v>
      </c>
      <c r="F713" s="35" t="s">
        <v>1402</v>
      </c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34">
        <v>1</v>
      </c>
      <c r="AK713" s="34">
        <v>1</v>
      </c>
      <c r="AL713" s="10">
        <f t="shared" si="47"/>
        <v>2</v>
      </c>
      <c r="AM713" s="11">
        <v>32000</v>
      </c>
      <c r="AN713" s="12">
        <f t="shared" si="48"/>
        <v>64000</v>
      </c>
      <c r="AO713" s="76"/>
    </row>
    <row r="714" spans="1:41" ht="13.5" customHeight="1">
      <c r="A714" s="45" t="s">
        <v>62</v>
      </c>
      <c r="B714" s="35">
        <v>107</v>
      </c>
      <c r="C714" s="36" t="s">
        <v>1193</v>
      </c>
      <c r="D714" s="36" t="s">
        <v>1403</v>
      </c>
      <c r="E714" s="36" t="s">
        <v>168</v>
      </c>
      <c r="F714" s="35" t="s">
        <v>1404</v>
      </c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34">
        <v>1</v>
      </c>
      <c r="AK714" s="34">
        <v>1</v>
      </c>
      <c r="AL714" s="10">
        <f t="shared" si="47"/>
        <v>2</v>
      </c>
      <c r="AM714" s="12">
        <v>32000</v>
      </c>
      <c r="AN714" s="12">
        <f t="shared" si="48"/>
        <v>64000</v>
      </c>
      <c r="AO714" s="76"/>
    </row>
    <row r="715" spans="1:41" ht="13.5" customHeight="1">
      <c r="A715" s="51" t="s">
        <v>62</v>
      </c>
      <c r="B715" s="35">
        <v>107</v>
      </c>
      <c r="C715" s="36" t="s">
        <v>19</v>
      </c>
      <c r="D715" s="36" t="s">
        <v>47</v>
      </c>
      <c r="E715" s="36" t="s">
        <v>1405</v>
      </c>
      <c r="F715" s="35" t="s">
        <v>1406</v>
      </c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34">
        <v>1</v>
      </c>
      <c r="AK715" s="34">
        <v>1</v>
      </c>
      <c r="AL715" s="10">
        <f t="shared" si="47"/>
        <v>2</v>
      </c>
      <c r="AM715" s="11">
        <v>32000</v>
      </c>
      <c r="AN715" s="12">
        <f t="shared" si="48"/>
        <v>64000</v>
      </c>
      <c r="AO715" s="76"/>
    </row>
    <row r="716" spans="1:41" ht="13.5" customHeight="1">
      <c r="A716" s="45" t="s">
        <v>62</v>
      </c>
      <c r="B716" s="35">
        <v>109</v>
      </c>
      <c r="C716" s="36" t="s">
        <v>1407</v>
      </c>
      <c r="D716" s="36" t="s">
        <v>668</v>
      </c>
      <c r="E716" s="36" t="s">
        <v>229</v>
      </c>
      <c r="F716" s="35" t="s">
        <v>1408</v>
      </c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34">
        <v>1</v>
      </c>
      <c r="AK716" s="34">
        <v>1</v>
      </c>
      <c r="AL716" s="10">
        <f t="shared" si="47"/>
        <v>2</v>
      </c>
      <c r="AM716" s="12">
        <v>32000</v>
      </c>
      <c r="AN716" s="12">
        <f t="shared" si="48"/>
        <v>64000</v>
      </c>
      <c r="AO716" s="76"/>
    </row>
    <row r="717" spans="1:41" ht="13.5" customHeight="1">
      <c r="A717" s="51" t="s">
        <v>62</v>
      </c>
      <c r="B717" s="35">
        <v>109</v>
      </c>
      <c r="C717" s="36" t="s">
        <v>1409</v>
      </c>
      <c r="D717" s="36" t="s">
        <v>1410</v>
      </c>
      <c r="E717" s="36" t="s">
        <v>9</v>
      </c>
      <c r="F717" s="35" t="s">
        <v>1411</v>
      </c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34">
        <v>1</v>
      </c>
      <c r="AK717" s="34">
        <v>1</v>
      </c>
      <c r="AL717" s="10">
        <f t="shared" si="47"/>
        <v>2</v>
      </c>
      <c r="AM717" s="11">
        <v>32000</v>
      </c>
      <c r="AN717" s="12">
        <f t="shared" si="48"/>
        <v>64000</v>
      </c>
      <c r="AO717" s="76"/>
    </row>
    <row r="718" spans="1:41" ht="13.5" customHeight="1">
      <c r="A718" s="45" t="s">
        <v>62</v>
      </c>
      <c r="B718" s="35">
        <v>111</v>
      </c>
      <c r="C718" s="36" t="s">
        <v>1412</v>
      </c>
      <c r="D718" s="36" t="s">
        <v>1413</v>
      </c>
      <c r="E718" s="36" t="s">
        <v>1414</v>
      </c>
      <c r="F718" s="35" t="s">
        <v>1415</v>
      </c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34">
        <v>1</v>
      </c>
      <c r="AK718" s="34">
        <v>1</v>
      </c>
      <c r="AL718" s="10">
        <f t="shared" si="47"/>
        <v>2</v>
      </c>
      <c r="AM718" s="12">
        <v>32000</v>
      </c>
      <c r="AN718" s="12">
        <f t="shared" si="48"/>
        <v>64000</v>
      </c>
      <c r="AO718" s="76"/>
    </row>
    <row r="719" spans="1:41" ht="13.5" customHeight="1">
      <c r="A719" s="51" t="s">
        <v>62</v>
      </c>
      <c r="B719" s="35">
        <v>111</v>
      </c>
      <c r="C719" s="36" t="s">
        <v>1416</v>
      </c>
      <c r="D719" s="36" t="s">
        <v>97</v>
      </c>
      <c r="E719" s="36" t="s">
        <v>1417</v>
      </c>
      <c r="F719" s="35" t="s">
        <v>1418</v>
      </c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34">
        <v>1</v>
      </c>
      <c r="AK719" s="34">
        <v>1</v>
      </c>
      <c r="AL719" s="10">
        <f t="shared" si="47"/>
        <v>2</v>
      </c>
      <c r="AM719" s="11">
        <v>32000</v>
      </c>
      <c r="AN719" s="12">
        <f t="shared" si="48"/>
        <v>64000</v>
      </c>
      <c r="AO719" s="76"/>
    </row>
    <row r="720" spans="1:41" ht="13.5" customHeight="1">
      <c r="A720" s="45" t="s">
        <v>62</v>
      </c>
      <c r="B720" s="35">
        <v>118</v>
      </c>
      <c r="C720" s="36" t="s">
        <v>919</v>
      </c>
      <c r="D720" s="36" t="s">
        <v>417</v>
      </c>
      <c r="E720" s="36" t="s">
        <v>359</v>
      </c>
      <c r="F720" s="35" t="s">
        <v>418</v>
      </c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34">
        <v>1</v>
      </c>
      <c r="AK720" s="34">
        <v>1</v>
      </c>
      <c r="AL720" s="10">
        <f t="shared" si="47"/>
        <v>2</v>
      </c>
      <c r="AM720" s="12">
        <v>32000</v>
      </c>
      <c r="AN720" s="12">
        <f t="shared" si="48"/>
        <v>64000</v>
      </c>
      <c r="AO720" s="76"/>
    </row>
    <row r="721" spans="1:41" ht="13.5" customHeight="1">
      <c r="A721" s="51" t="s">
        <v>62</v>
      </c>
      <c r="B721" s="35">
        <v>118</v>
      </c>
      <c r="C721" s="36" t="s">
        <v>170</v>
      </c>
      <c r="D721" s="36" t="s">
        <v>307</v>
      </c>
      <c r="E721" s="36" t="s">
        <v>1419</v>
      </c>
      <c r="F721" s="35" t="s">
        <v>308</v>
      </c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34">
        <v>1</v>
      </c>
      <c r="AK721" s="34">
        <v>1</v>
      </c>
      <c r="AL721" s="10">
        <f t="shared" si="47"/>
        <v>2</v>
      </c>
      <c r="AM721" s="11">
        <v>32000</v>
      </c>
      <c r="AN721" s="12">
        <f t="shared" si="48"/>
        <v>64000</v>
      </c>
      <c r="AO721" s="76"/>
    </row>
    <row r="722" spans="1:41" ht="13.5" customHeight="1">
      <c r="A722" s="45" t="s">
        <v>62</v>
      </c>
      <c r="B722" s="35">
        <v>119</v>
      </c>
      <c r="C722" s="36" t="s">
        <v>846</v>
      </c>
      <c r="D722" s="36" t="s">
        <v>67</v>
      </c>
      <c r="E722" s="36" t="s">
        <v>207</v>
      </c>
      <c r="F722" s="35" t="s">
        <v>847</v>
      </c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34">
        <v>1</v>
      </c>
      <c r="AK722" s="34">
        <v>1</v>
      </c>
      <c r="AL722" s="10">
        <f t="shared" si="47"/>
        <v>2</v>
      </c>
      <c r="AM722" s="12">
        <v>32000</v>
      </c>
      <c r="AN722" s="12">
        <f t="shared" si="48"/>
        <v>64000</v>
      </c>
      <c r="AO722" s="76"/>
    </row>
    <row r="723" spans="1:41" ht="13.5" customHeight="1">
      <c r="A723" s="51" t="s">
        <v>62</v>
      </c>
      <c r="B723" s="35">
        <v>119</v>
      </c>
      <c r="C723" s="36" t="s">
        <v>757</v>
      </c>
      <c r="D723" s="36" t="s">
        <v>757</v>
      </c>
      <c r="E723" s="36" t="s">
        <v>140</v>
      </c>
      <c r="F723" s="35" t="s">
        <v>848</v>
      </c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34">
        <v>1</v>
      </c>
      <c r="AK723" s="34">
        <v>1</v>
      </c>
      <c r="AL723" s="10">
        <f t="shared" si="47"/>
        <v>2</v>
      </c>
      <c r="AM723" s="11">
        <v>32000</v>
      </c>
      <c r="AN723" s="12">
        <f t="shared" si="48"/>
        <v>64000</v>
      </c>
      <c r="AO723" s="76"/>
    </row>
    <row r="724" spans="1:41" ht="13.5" customHeight="1">
      <c r="A724" s="45" t="s">
        <v>62</v>
      </c>
      <c r="B724" s="35">
        <v>120</v>
      </c>
      <c r="C724" s="36" t="s">
        <v>13</v>
      </c>
      <c r="D724" s="36" t="s">
        <v>849</v>
      </c>
      <c r="E724" s="36" t="s">
        <v>143</v>
      </c>
      <c r="F724" s="35" t="s">
        <v>850</v>
      </c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34">
        <v>1</v>
      </c>
      <c r="AK724" s="34">
        <v>1</v>
      </c>
      <c r="AL724" s="10">
        <f t="shared" si="47"/>
        <v>2</v>
      </c>
      <c r="AM724" s="12">
        <v>32000</v>
      </c>
      <c r="AN724" s="12">
        <f t="shared" si="48"/>
        <v>64000</v>
      </c>
      <c r="AO724" s="76"/>
    </row>
    <row r="725" spans="1:41" ht="14.25" customHeight="1">
      <c r="A725" s="51" t="s">
        <v>62</v>
      </c>
      <c r="B725" s="35">
        <v>120</v>
      </c>
      <c r="C725" s="36" t="s">
        <v>178</v>
      </c>
      <c r="D725" s="36" t="s">
        <v>720</v>
      </c>
      <c r="E725" s="36" t="s">
        <v>160</v>
      </c>
      <c r="F725" s="35" t="s">
        <v>1420</v>
      </c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34">
        <v>1</v>
      </c>
      <c r="AK725" s="34">
        <v>1</v>
      </c>
      <c r="AL725" s="10">
        <f t="shared" si="47"/>
        <v>2</v>
      </c>
      <c r="AM725" s="11">
        <v>32000</v>
      </c>
      <c r="AN725" s="12">
        <f t="shared" si="48"/>
        <v>64000</v>
      </c>
      <c r="AO725" s="76"/>
    </row>
    <row r="726" spans="1:41" ht="14.25" customHeight="1">
      <c r="A726" s="45" t="s">
        <v>62</v>
      </c>
      <c r="B726" s="35">
        <v>24</v>
      </c>
      <c r="C726" s="36" t="s">
        <v>757</v>
      </c>
      <c r="D726" s="36" t="s">
        <v>757</v>
      </c>
      <c r="E726" s="36" t="s">
        <v>20</v>
      </c>
      <c r="F726" s="35" t="s">
        <v>1499</v>
      </c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34">
        <v>1</v>
      </c>
      <c r="AK726" s="34">
        <v>1</v>
      </c>
      <c r="AL726" s="10">
        <f t="shared" ref="AL726:AL732" si="49">SUM(G726:AK726)</f>
        <v>2</v>
      </c>
      <c r="AM726" s="12">
        <v>32000</v>
      </c>
      <c r="AN726" s="12">
        <f t="shared" ref="AN726:AN732" si="50">AM726*AL726</f>
        <v>64000</v>
      </c>
      <c r="AO726" s="76"/>
    </row>
    <row r="727" spans="1:41" ht="14.25" customHeight="1">
      <c r="A727" s="51" t="s">
        <v>62</v>
      </c>
      <c r="B727" s="35">
        <v>78</v>
      </c>
      <c r="C727" s="36" t="s">
        <v>26</v>
      </c>
      <c r="D727" s="36" t="s">
        <v>91</v>
      </c>
      <c r="E727" s="36" t="s">
        <v>1428</v>
      </c>
      <c r="F727" s="35" t="s">
        <v>1498</v>
      </c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34">
        <v>1</v>
      </c>
      <c r="AK727" s="34">
        <v>1</v>
      </c>
      <c r="AL727" s="10">
        <f t="shared" si="49"/>
        <v>2</v>
      </c>
      <c r="AM727" s="11">
        <v>32000</v>
      </c>
      <c r="AN727" s="12">
        <f t="shared" si="50"/>
        <v>64000</v>
      </c>
      <c r="AO727" s="76"/>
    </row>
    <row r="728" spans="1:41" ht="14.25" customHeight="1">
      <c r="A728" s="45" t="s">
        <v>62</v>
      </c>
      <c r="B728" s="35">
        <v>25</v>
      </c>
      <c r="C728" s="36" t="s">
        <v>98</v>
      </c>
      <c r="D728" s="36" t="s">
        <v>1487</v>
      </c>
      <c r="E728" s="36" t="s">
        <v>1488</v>
      </c>
      <c r="F728" s="35" t="s">
        <v>1497</v>
      </c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34">
        <v>1</v>
      </c>
      <c r="AK728" s="34">
        <v>1</v>
      </c>
      <c r="AL728" s="10">
        <f t="shared" si="49"/>
        <v>2</v>
      </c>
      <c r="AM728" s="12">
        <v>32000</v>
      </c>
      <c r="AN728" s="12">
        <f t="shared" si="50"/>
        <v>64000</v>
      </c>
      <c r="AO728" s="76"/>
    </row>
    <row r="729" spans="1:41" ht="14.25" customHeight="1">
      <c r="A729" s="51" t="s">
        <v>62</v>
      </c>
      <c r="B729" s="35">
        <v>56</v>
      </c>
      <c r="C729" s="36" t="s">
        <v>161</v>
      </c>
      <c r="D729" s="36" t="s">
        <v>271</v>
      </c>
      <c r="E729" s="36" t="s">
        <v>359</v>
      </c>
      <c r="F729" s="35" t="s">
        <v>1496</v>
      </c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34">
        <v>1</v>
      </c>
      <c r="AK729" s="34">
        <v>1</v>
      </c>
      <c r="AL729" s="10">
        <f t="shared" si="49"/>
        <v>2</v>
      </c>
      <c r="AM729" s="11">
        <v>32000</v>
      </c>
      <c r="AN729" s="12">
        <f t="shared" si="50"/>
        <v>64000</v>
      </c>
      <c r="AO729" s="76"/>
    </row>
    <row r="730" spans="1:41" ht="14.25" customHeight="1">
      <c r="A730" s="45" t="s">
        <v>62</v>
      </c>
      <c r="B730" s="35">
        <v>70</v>
      </c>
      <c r="C730" s="36" t="s">
        <v>1489</v>
      </c>
      <c r="D730" s="36" t="s">
        <v>218</v>
      </c>
      <c r="E730" s="36" t="s">
        <v>144</v>
      </c>
      <c r="F730" s="35" t="s">
        <v>1495</v>
      </c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34">
        <v>1</v>
      </c>
      <c r="AK730" s="34">
        <v>1</v>
      </c>
      <c r="AL730" s="10">
        <f t="shared" si="49"/>
        <v>2</v>
      </c>
      <c r="AM730" s="12">
        <v>32000</v>
      </c>
      <c r="AN730" s="12">
        <f t="shared" si="50"/>
        <v>64000</v>
      </c>
      <c r="AO730" s="76"/>
    </row>
    <row r="731" spans="1:41" ht="14.25" customHeight="1">
      <c r="A731" s="51" t="s">
        <v>62</v>
      </c>
      <c r="B731" s="35">
        <v>103</v>
      </c>
      <c r="C731" s="36" t="s">
        <v>785</v>
      </c>
      <c r="D731" s="36" t="s">
        <v>1341</v>
      </c>
      <c r="E731" s="36" t="s">
        <v>46</v>
      </c>
      <c r="F731" s="35" t="s">
        <v>1494</v>
      </c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34">
        <v>1</v>
      </c>
      <c r="AK731" s="34">
        <v>1</v>
      </c>
      <c r="AL731" s="10">
        <f t="shared" si="49"/>
        <v>2</v>
      </c>
      <c r="AM731" s="11">
        <v>32000</v>
      </c>
      <c r="AN731" s="12">
        <f t="shared" si="50"/>
        <v>64000</v>
      </c>
      <c r="AO731" s="76"/>
    </row>
    <row r="732" spans="1:41" ht="14.25" customHeight="1">
      <c r="A732" s="45" t="s">
        <v>62</v>
      </c>
      <c r="B732" s="35">
        <v>79</v>
      </c>
      <c r="C732" s="36" t="s">
        <v>704</v>
      </c>
      <c r="D732" s="36"/>
      <c r="E732" s="36" t="s">
        <v>24</v>
      </c>
      <c r="F732" s="35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34">
        <v>1</v>
      </c>
      <c r="AK732" s="34">
        <v>1</v>
      </c>
      <c r="AL732" s="10">
        <f t="shared" si="49"/>
        <v>2</v>
      </c>
      <c r="AM732" s="12">
        <v>32000</v>
      </c>
      <c r="AN732" s="12">
        <f t="shared" si="50"/>
        <v>64000</v>
      </c>
      <c r="AO732" s="76"/>
    </row>
    <row r="733" spans="1:41" ht="13.5" customHeight="1">
      <c r="A733" s="45" t="s">
        <v>1486</v>
      </c>
      <c r="B733" s="35">
        <v>4</v>
      </c>
      <c r="C733" s="36" t="s">
        <v>854</v>
      </c>
      <c r="D733" s="36" t="s">
        <v>855</v>
      </c>
      <c r="E733" s="36" t="s">
        <v>25</v>
      </c>
      <c r="F733" s="35" t="s">
        <v>856</v>
      </c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34">
        <v>1</v>
      </c>
      <c r="AK733" s="34">
        <v>1</v>
      </c>
      <c r="AL733" s="10">
        <f t="shared" ref="AL733:AL756" si="51">SUM(G733:AK733)</f>
        <v>2</v>
      </c>
      <c r="AM733" s="12">
        <v>32000</v>
      </c>
      <c r="AN733" s="12">
        <f t="shared" ref="AN733:AN756" si="52">AM733*AL733</f>
        <v>64000</v>
      </c>
      <c r="AO733" s="76"/>
    </row>
    <row r="734" spans="1:41" ht="13.5" customHeight="1">
      <c r="A734" s="45" t="s">
        <v>1486</v>
      </c>
      <c r="B734" s="35">
        <v>5</v>
      </c>
      <c r="C734" s="36" t="s">
        <v>858</v>
      </c>
      <c r="D734" s="36" t="s">
        <v>859</v>
      </c>
      <c r="E734" s="36" t="s">
        <v>860</v>
      </c>
      <c r="F734" s="35" t="s">
        <v>1421</v>
      </c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34">
        <v>1</v>
      </c>
      <c r="AK734" s="34">
        <v>1</v>
      </c>
      <c r="AL734" s="10">
        <f t="shared" si="51"/>
        <v>2</v>
      </c>
      <c r="AM734" s="11">
        <v>32000</v>
      </c>
      <c r="AN734" s="12">
        <f t="shared" si="52"/>
        <v>64000</v>
      </c>
      <c r="AO734" s="76"/>
    </row>
    <row r="735" spans="1:41" ht="13.5" customHeight="1">
      <c r="A735" s="45" t="s">
        <v>1486</v>
      </c>
      <c r="B735" s="35">
        <v>5</v>
      </c>
      <c r="C735" s="36" t="s">
        <v>23</v>
      </c>
      <c r="D735" s="36" t="s">
        <v>862</v>
      </c>
      <c r="E735" s="36" t="s">
        <v>135</v>
      </c>
      <c r="F735" s="35" t="s">
        <v>863</v>
      </c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34">
        <v>1</v>
      </c>
      <c r="AK735" s="34">
        <v>1</v>
      </c>
      <c r="AL735" s="10">
        <f t="shared" si="51"/>
        <v>2</v>
      </c>
      <c r="AM735" s="12">
        <v>32000</v>
      </c>
      <c r="AN735" s="12">
        <f t="shared" si="52"/>
        <v>64000</v>
      </c>
      <c r="AO735" s="76"/>
    </row>
    <row r="736" spans="1:41" ht="13.5" customHeight="1">
      <c r="A736" s="45" t="s">
        <v>1486</v>
      </c>
      <c r="B736" s="35">
        <v>11</v>
      </c>
      <c r="C736" s="36" t="s">
        <v>38</v>
      </c>
      <c r="D736" s="36" t="s">
        <v>844</v>
      </c>
      <c r="E736" s="36" t="s">
        <v>467</v>
      </c>
      <c r="F736" s="35" t="s">
        <v>845</v>
      </c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34">
        <v>1</v>
      </c>
      <c r="AK736" s="34">
        <v>1</v>
      </c>
      <c r="AL736" s="10">
        <f t="shared" si="51"/>
        <v>2</v>
      </c>
      <c r="AM736" s="11">
        <v>32000</v>
      </c>
      <c r="AN736" s="12">
        <f t="shared" si="52"/>
        <v>64000</v>
      </c>
      <c r="AO736" s="76"/>
    </row>
    <row r="737" spans="1:41" ht="13.5" customHeight="1">
      <c r="A737" s="45" t="s">
        <v>1486</v>
      </c>
      <c r="B737" s="35">
        <v>11</v>
      </c>
      <c r="C737" s="36" t="s">
        <v>696</v>
      </c>
      <c r="D737" s="36" t="s">
        <v>91</v>
      </c>
      <c r="E737" s="36" t="s">
        <v>168</v>
      </c>
      <c r="F737" s="35" t="s">
        <v>706</v>
      </c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34">
        <v>1</v>
      </c>
      <c r="AK737" s="34">
        <v>1</v>
      </c>
      <c r="AL737" s="10">
        <f t="shared" si="51"/>
        <v>2</v>
      </c>
      <c r="AM737" s="12">
        <v>32000</v>
      </c>
      <c r="AN737" s="12">
        <f t="shared" si="52"/>
        <v>64000</v>
      </c>
      <c r="AO737" s="76"/>
    </row>
    <row r="738" spans="1:41" ht="13.5" customHeight="1">
      <c r="A738" s="45" t="s">
        <v>1486</v>
      </c>
      <c r="B738" s="35">
        <v>12</v>
      </c>
      <c r="C738" s="36" t="s">
        <v>829</v>
      </c>
      <c r="D738" s="36" t="s">
        <v>830</v>
      </c>
      <c r="E738" s="36" t="s">
        <v>831</v>
      </c>
      <c r="F738" s="35" t="s">
        <v>832</v>
      </c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34">
        <v>1</v>
      </c>
      <c r="AK738" s="34">
        <v>1</v>
      </c>
      <c r="AL738" s="10">
        <f t="shared" si="51"/>
        <v>2</v>
      </c>
      <c r="AM738" s="11">
        <v>32000</v>
      </c>
      <c r="AN738" s="12">
        <f t="shared" si="52"/>
        <v>64000</v>
      </c>
      <c r="AO738" s="76"/>
    </row>
    <row r="739" spans="1:41" ht="13.5" customHeight="1">
      <c r="A739" s="45" t="s">
        <v>1486</v>
      </c>
      <c r="B739" s="35">
        <v>14</v>
      </c>
      <c r="C739" s="36" t="s">
        <v>173</v>
      </c>
      <c r="D739" s="36" t="s">
        <v>622</v>
      </c>
      <c r="E739" s="36" t="s">
        <v>46</v>
      </c>
      <c r="F739" s="35" t="s">
        <v>623</v>
      </c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34">
        <v>1</v>
      </c>
      <c r="AK739" s="34">
        <v>1</v>
      </c>
      <c r="AL739" s="10">
        <f t="shared" si="51"/>
        <v>2</v>
      </c>
      <c r="AM739" s="12">
        <v>32000</v>
      </c>
      <c r="AN739" s="12">
        <f t="shared" si="52"/>
        <v>64000</v>
      </c>
      <c r="AO739" s="76"/>
    </row>
    <row r="740" spans="1:41" ht="13.5" customHeight="1">
      <c r="A740" s="45" t="s">
        <v>1486</v>
      </c>
      <c r="B740" s="35">
        <v>14</v>
      </c>
      <c r="C740" s="36" t="s">
        <v>687</v>
      </c>
      <c r="D740" s="36" t="s">
        <v>868</v>
      </c>
      <c r="E740" s="36" t="s">
        <v>43</v>
      </c>
      <c r="F740" s="35" t="s">
        <v>869</v>
      </c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34">
        <v>1</v>
      </c>
      <c r="AK740" s="34">
        <v>1</v>
      </c>
      <c r="AL740" s="10">
        <f t="shared" si="51"/>
        <v>2</v>
      </c>
      <c r="AM740" s="11">
        <v>32000</v>
      </c>
      <c r="AN740" s="12">
        <f t="shared" si="52"/>
        <v>64000</v>
      </c>
      <c r="AO740" s="76"/>
    </row>
    <row r="741" spans="1:41" ht="13.5" customHeight="1">
      <c r="A741" s="45" t="s">
        <v>1486</v>
      </c>
      <c r="B741" s="35">
        <v>15</v>
      </c>
      <c r="C741" s="36" t="s">
        <v>361</v>
      </c>
      <c r="D741" s="36" t="s">
        <v>120</v>
      </c>
      <c r="E741" s="36" t="s">
        <v>46</v>
      </c>
      <c r="F741" s="35" t="s">
        <v>823</v>
      </c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34">
        <v>1</v>
      </c>
      <c r="AK741" s="34">
        <v>1</v>
      </c>
      <c r="AL741" s="10">
        <f t="shared" si="51"/>
        <v>2</v>
      </c>
      <c r="AM741" s="12">
        <v>32000</v>
      </c>
      <c r="AN741" s="12">
        <f t="shared" si="52"/>
        <v>64000</v>
      </c>
      <c r="AO741" s="76"/>
    </row>
    <row r="742" spans="1:41" ht="13.5" customHeight="1">
      <c r="A742" s="45" t="s">
        <v>1486</v>
      </c>
      <c r="B742" s="35">
        <v>15</v>
      </c>
      <c r="C742" s="36" t="s">
        <v>114</v>
      </c>
      <c r="D742" s="36" t="s">
        <v>824</v>
      </c>
      <c r="E742" s="36" t="s">
        <v>825</v>
      </c>
      <c r="F742" s="35" t="s">
        <v>826</v>
      </c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34">
        <v>1</v>
      </c>
      <c r="AK742" s="34">
        <v>1</v>
      </c>
      <c r="AL742" s="10">
        <f t="shared" si="51"/>
        <v>2</v>
      </c>
      <c r="AM742" s="11">
        <v>32000</v>
      </c>
      <c r="AN742" s="12">
        <f t="shared" si="52"/>
        <v>64000</v>
      </c>
      <c r="AO742" s="76"/>
    </row>
    <row r="743" spans="1:41" ht="13.5" customHeight="1">
      <c r="A743" s="45" t="s">
        <v>1486</v>
      </c>
      <c r="B743" s="35">
        <v>27</v>
      </c>
      <c r="C743" s="36" t="s">
        <v>682</v>
      </c>
      <c r="D743" s="36" t="s">
        <v>1158</v>
      </c>
      <c r="E743" s="36" t="s">
        <v>11</v>
      </c>
      <c r="F743" s="35" t="s">
        <v>838</v>
      </c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34">
        <v>1</v>
      </c>
      <c r="AK743" s="34">
        <v>1</v>
      </c>
      <c r="AL743" s="10">
        <f t="shared" si="51"/>
        <v>2</v>
      </c>
      <c r="AM743" s="12">
        <v>32000</v>
      </c>
      <c r="AN743" s="12">
        <f t="shared" si="52"/>
        <v>64000</v>
      </c>
      <c r="AO743" s="76"/>
    </row>
    <row r="744" spans="1:41" ht="13.5" customHeight="1">
      <c r="A744" s="45" t="s">
        <v>1486</v>
      </c>
      <c r="B744" s="35">
        <v>27</v>
      </c>
      <c r="C744" s="36" t="s">
        <v>227</v>
      </c>
      <c r="D744" s="36" t="s">
        <v>798</v>
      </c>
      <c r="E744" s="36" t="s">
        <v>24</v>
      </c>
      <c r="F744" s="35" t="s">
        <v>839</v>
      </c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34">
        <v>1</v>
      </c>
      <c r="AK744" s="34">
        <v>1</v>
      </c>
      <c r="AL744" s="10">
        <f t="shared" si="51"/>
        <v>2</v>
      </c>
      <c r="AM744" s="11">
        <v>32000</v>
      </c>
      <c r="AN744" s="12">
        <f t="shared" si="52"/>
        <v>64000</v>
      </c>
      <c r="AO744" s="76"/>
    </row>
    <row r="745" spans="1:41" ht="13.5" customHeight="1">
      <c r="A745" s="45" t="s">
        <v>1486</v>
      </c>
      <c r="B745" s="35">
        <v>28</v>
      </c>
      <c r="C745" s="36" t="s">
        <v>125</v>
      </c>
      <c r="D745" s="36" t="s">
        <v>125</v>
      </c>
      <c r="E745" s="36" t="s">
        <v>96</v>
      </c>
      <c r="F745" s="35" t="s">
        <v>801</v>
      </c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34">
        <v>1</v>
      </c>
      <c r="AK745" s="34">
        <v>1</v>
      </c>
      <c r="AL745" s="10">
        <f t="shared" si="51"/>
        <v>2</v>
      </c>
      <c r="AM745" s="12">
        <v>32000</v>
      </c>
      <c r="AN745" s="12">
        <f t="shared" si="52"/>
        <v>64000</v>
      </c>
      <c r="AO745" s="76"/>
    </row>
    <row r="746" spans="1:41" ht="13.5" customHeight="1">
      <c r="A746" s="45" t="s">
        <v>1486</v>
      </c>
      <c r="B746" s="35">
        <v>28</v>
      </c>
      <c r="C746" s="36" t="s">
        <v>802</v>
      </c>
      <c r="D746" s="36" t="s">
        <v>400</v>
      </c>
      <c r="E746" s="36" t="s">
        <v>803</v>
      </c>
      <c r="F746" s="35" t="s">
        <v>804</v>
      </c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34">
        <v>1</v>
      </c>
      <c r="AK746" s="34">
        <v>1</v>
      </c>
      <c r="AL746" s="10">
        <f t="shared" si="51"/>
        <v>2</v>
      </c>
      <c r="AM746" s="11">
        <v>32000</v>
      </c>
      <c r="AN746" s="12">
        <f t="shared" si="52"/>
        <v>64000</v>
      </c>
      <c r="AO746" s="76"/>
    </row>
    <row r="747" spans="1:41" ht="13.5" customHeight="1">
      <c r="A747" s="45" t="s">
        <v>1486</v>
      </c>
      <c r="B747" s="35">
        <v>31</v>
      </c>
      <c r="C747" s="36" t="s">
        <v>14</v>
      </c>
      <c r="D747" s="36" t="s">
        <v>13</v>
      </c>
      <c r="E747" s="36" t="s">
        <v>207</v>
      </c>
      <c r="F747" s="35" t="s">
        <v>827</v>
      </c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34">
        <v>1</v>
      </c>
      <c r="AK747" s="34">
        <v>1</v>
      </c>
      <c r="AL747" s="10">
        <f t="shared" si="51"/>
        <v>2</v>
      </c>
      <c r="AM747" s="12">
        <v>32000</v>
      </c>
      <c r="AN747" s="12">
        <f t="shared" si="52"/>
        <v>64000</v>
      </c>
      <c r="AO747" s="76"/>
    </row>
    <row r="748" spans="1:41" ht="13.5" customHeight="1">
      <c r="A748" s="45" t="s">
        <v>1486</v>
      </c>
      <c r="B748" s="35">
        <v>31</v>
      </c>
      <c r="C748" s="36" t="s">
        <v>38</v>
      </c>
      <c r="D748" s="36" t="s">
        <v>13</v>
      </c>
      <c r="E748" s="36" t="s">
        <v>46</v>
      </c>
      <c r="F748" s="35" t="s">
        <v>828</v>
      </c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34">
        <v>1</v>
      </c>
      <c r="AK748" s="34">
        <v>1</v>
      </c>
      <c r="AL748" s="10">
        <f t="shared" si="51"/>
        <v>2</v>
      </c>
      <c r="AM748" s="11">
        <v>32000</v>
      </c>
      <c r="AN748" s="12">
        <f t="shared" si="52"/>
        <v>64000</v>
      </c>
      <c r="AO748" s="76"/>
    </row>
    <row r="749" spans="1:41" ht="13.5" customHeight="1">
      <c r="A749" s="45" t="s">
        <v>1486</v>
      </c>
      <c r="B749" s="35">
        <v>33</v>
      </c>
      <c r="C749" s="36" t="s">
        <v>12</v>
      </c>
      <c r="D749" s="36" t="s">
        <v>377</v>
      </c>
      <c r="E749" s="36" t="s">
        <v>24</v>
      </c>
      <c r="F749" s="35" t="s">
        <v>841</v>
      </c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34">
        <v>1</v>
      </c>
      <c r="AK749" s="34">
        <v>1</v>
      </c>
      <c r="AL749" s="10">
        <f t="shared" si="51"/>
        <v>2</v>
      </c>
      <c r="AM749" s="12">
        <v>32000</v>
      </c>
      <c r="AN749" s="12">
        <f t="shared" si="52"/>
        <v>64000</v>
      </c>
      <c r="AO749" s="76"/>
    </row>
    <row r="750" spans="1:41" ht="13.5" customHeight="1">
      <c r="A750" s="45" t="s">
        <v>1486</v>
      </c>
      <c r="B750" s="35">
        <v>33</v>
      </c>
      <c r="C750" s="36" t="s">
        <v>105</v>
      </c>
      <c r="D750" s="36" t="s">
        <v>176</v>
      </c>
      <c r="E750" s="36" t="s">
        <v>15</v>
      </c>
      <c r="F750" s="35" t="s">
        <v>840</v>
      </c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34">
        <v>1</v>
      </c>
      <c r="AK750" s="34">
        <v>1</v>
      </c>
      <c r="AL750" s="10">
        <f t="shared" si="51"/>
        <v>2</v>
      </c>
      <c r="AM750" s="11">
        <v>32000</v>
      </c>
      <c r="AN750" s="12">
        <f t="shared" si="52"/>
        <v>64000</v>
      </c>
      <c r="AO750" s="76"/>
    </row>
    <row r="751" spans="1:41" ht="13.5" customHeight="1">
      <c r="A751" s="45" t="s">
        <v>1486</v>
      </c>
      <c r="B751" s="35">
        <v>39</v>
      </c>
      <c r="C751" s="36" t="s">
        <v>17</v>
      </c>
      <c r="D751" s="36" t="s">
        <v>151</v>
      </c>
      <c r="E751" s="36" t="s">
        <v>24</v>
      </c>
      <c r="F751" s="35" t="s">
        <v>976</v>
      </c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34">
        <v>1</v>
      </c>
      <c r="AK751" s="34">
        <v>1</v>
      </c>
      <c r="AL751" s="10">
        <f t="shared" si="51"/>
        <v>2</v>
      </c>
      <c r="AM751" s="12">
        <v>32000</v>
      </c>
      <c r="AN751" s="12">
        <f t="shared" si="52"/>
        <v>64000</v>
      </c>
      <c r="AO751" s="76"/>
    </row>
    <row r="752" spans="1:41" ht="13.5" customHeight="1">
      <c r="A752" s="45" t="s">
        <v>1486</v>
      </c>
      <c r="B752" s="35">
        <v>39</v>
      </c>
      <c r="C752" s="36" t="s">
        <v>325</v>
      </c>
      <c r="D752" s="36" t="s">
        <v>271</v>
      </c>
      <c r="E752" s="36" t="s">
        <v>821</v>
      </c>
      <c r="F752" s="35" t="s">
        <v>822</v>
      </c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34">
        <v>1</v>
      </c>
      <c r="AK752" s="34">
        <v>1</v>
      </c>
      <c r="AL752" s="10">
        <f t="shared" si="51"/>
        <v>2</v>
      </c>
      <c r="AM752" s="11">
        <v>32000</v>
      </c>
      <c r="AN752" s="12">
        <f t="shared" si="52"/>
        <v>64000</v>
      </c>
      <c r="AO752" s="76"/>
    </row>
    <row r="753" spans="1:41" ht="13.5" customHeight="1">
      <c r="A753" s="45" t="s">
        <v>1486</v>
      </c>
      <c r="B753" s="35">
        <v>41</v>
      </c>
      <c r="C753" s="36" t="s">
        <v>335</v>
      </c>
      <c r="D753" s="36" t="s">
        <v>859</v>
      </c>
      <c r="E753" s="36" t="s">
        <v>1422</v>
      </c>
      <c r="F753" s="35" t="s">
        <v>1423</v>
      </c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34">
        <v>1</v>
      </c>
      <c r="AK753" s="34">
        <v>1</v>
      </c>
      <c r="AL753" s="10">
        <f t="shared" si="51"/>
        <v>2</v>
      </c>
      <c r="AM753" s="12">
        <v>32000</v>
      </c>
      <c r="AN753" s="12">
        <f t="shared" si="52"/>
        <v>64000</v>
      </c>
      <c r="AO753" s="76"/>
    </row>
    <row r="754" spans="1:41" ht="13.5" customHeight="1">
      <c r="A754" s="45" t="s">
        <v>1486</v>
      </c>
      <c r="B754" s="35">
        <v>41</v>
      </c>
      <c r="C754" s="36" t="s">
        <v>1122</v>
      </c>
      <c r="D754" s="36" t="s">
        <v>702</v>
      </c>
      <c r="E754" s="36" t="s">
        <v>11</v>
      </c>
      <c r="F754" s="35" t="s">
        <v>1424</v>
      </c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34">
        <v>1</v>
      </c>
      <c r="AK754" s="34">
        <v>1</v>
      </c>
      <c r="AL754" s="10">
        <f t="shared" si="51"/>
        <v>2</v>
      </c>
      <c r="AM754" s="11">
        <v>32000</v>
      </c>
      <c r="AN754" s="12">
        <f t="shared" si="52"/>
        <v>64000</v>
      </c>
      <c r="AO754" s="76"/>
    </row>
    <row r="755" spans="1:41" ht="13.5" customHeight="1">
      <c r="A755" s="45" t="s">
        <v>1486</v>
      </c>
      <c r="B755" s="35">
        <v>43</v>
      </c>
      <c r="C755" s="36" t="s">
        <v>1425</v>
      </c>
      <c r="D755" s="36" t="s">
        <v>622</v>
      </c>
      <c r="E755" s="36" t="s">
        <v>196</v>
      </c>
      <c r="F755" s="35" t="s">
        <v>1426</v>
      </c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34">
        <v>1</v>
      </c>
      <c r="AK755" s="34">
        <v>1</v>
      </c>
      <c r="AL755" s="10">
        <f t="shared" si="51"/>
        <v>2</v>
      </c>
      <c r="AM755" s="12">
        <v>32000</v>
      </c>
      <c r="AN755" s="12">
        <f t="shared" si="52"/>
        <v>64000</v>
      </c>
      <c r="AO755" s="76"/>
    </row>
    <row r="756" spans="1:41" ht="13.5" customHeight="1">
      <c r="A756" s="45" t="s">
        <v>1486</v>
      </c>
      <c r="B756" s="35">
        <v>43</v>
      </c>
      <c r="C756" s="36" t="s">
        <v>491</v>
      </c>
      <c r="D756" s="36" t="s">
        <v>1106</v>
      </c>
      <c r="E756" s="36" t="s">
        <v>104</v>
      </c>
      <c r="F756" s="35" t="s">
        <v>1427</v>
      </c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34">
        <v>1</v>
      </c>
      <c r="AK756" s="34">
        <v>1</v>
      </c>
      <c r="AL756" s="10">
        <f t="shared" si="51"/>
        <v>2</v>
      </c>
      <c r="AM756" s="12">
        <v>32000</v>
      </c>
      <c r="AN756" s="12">
        <f t="shared" si="52"/>
        <v>64000</v>
      </c>
      <c r="AO756" s="76"/>
    </row>
    <row r="757" spans="1:41" ht="13.5" customHeight="1">
      <c r="A757" s="45" t="s">
        <v>1486</v>
      </c>
      <c r="B757" s="35">
        <v>44</v>
      </c>
      <c r="C757" s="36" t="s">
        <v>624</v>
      </c>
      <c r="D757" s="36" t="s">
        <v>171</v>
      </c>
      <c r="E757" s="36" t="s">
        <v>625</v>
      </c>
      <c r="F757" s="35" t="s">
        <v>626</v>
      </c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34">
        <v>1</v>
      </c>
      <c r="AK757" s="34">
        <v>1</v>
      </c>
      <c r="AL757" s="10">
        <f t="shared" si="47"/>
        <v>2</v>
      </c>
      <c r="AM757" s="12">
        <v>32000</v>
      </c>
      <c r="AN757" s="12">
        <f t="shared" si="48"/>
        <v>64000</v>
      </c>
      <c r="AO757" s="76"/>
    </row>
    <row r="758" spans="1:41" ht="13.5" customHeight="1">
      <c r="A758" s="45" t="s">
        <v>1486</v>
      </c>
      <c r="B758" s="35">
        <v>44</v>
      </c>
      <c r="C758" s="36" t="s">
        <v>84</v>
      </c>
      <c r="D758" s="36" t="s">
        <v>172</v>
      </c>
      <c r="E758" s="36" t="s">
        <v>627</v>
      </c>
      <c r="F758" s="35" t="s">
        <v>628</v>
      </c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34">
        <v>1</v>
      </c>
      <c r="AK758" s="34">
        <v>1</v>
      </c>
      <c r="AL758" s="10">
        <f t="shared" si="47"/>
        <v>2</v>
      </c>
      <c r="AM758" s="11">
        <v>32000</v>
      </c>
      <c r="AN758" s="12">
        <f t="shared" si="48"/>
        <v>64000</v>
      </c>
      <c r="AO758" s="76"/>
    </row>
    <row r="759" spans="1:41" ht="13.5" customHeight="1">
      <c r="A759" s="45" t="s">
        <v>1486</v>
      </c>
      <c r="B759" s="35">
        <v>45</v>
      </c>
      <c r="C759" s="36" t="s">
        <v>491</v>
      </c>
      <c r="D759" s="36" t="s">
        <v>492</v>
      </c>
      <c r="E759" s="36" t="s">
        <v>53</v>
      </c>
      <c r="F759" s="35" t="s">
        <v>493</v>
      </c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34">
        <v>1</v>
      </c>
      <c r="AK759" s="34">
        <v>1</v>
      </c>
      <c r="AL759" s="10">
        <f t="shared" si="47"/>
        <v>2</v>
      </c>
      <c r="AM759" s="12">
        <v>32000</v>
      </c>
      <c r="AN759" s="12">
        <f t="shared" si="48"/>
        <v>64000</v>
      </c>
      <c r="AO759" s="76"/>
    </row>
    <row r="760" spans="1:41" ht="13.5" customHeight="1">
      <c r="A760" s="45" t="s">
        <v>1486</v>
      </c>
      <c r="B760" s="35">
        <v>45</v>
      </c>
      <c r="C760" s="36" t="s">
        <v>223</v>
      </c>
      <c r="D760" s="36" t="s">
        <v>403</v>
      </c>
      <c r="E760" s="36" t="s">
        <v>25</v>
      </c>
      <c r="F760" s="35" t="s">
        <v>617</v>
      </c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34">
        <v>1</v>
      </c>
      <c r="AK760" s="34">
        <v>1</v>
      </c>
      <c r="AL760" s="10">
        <f t="shared" si="47"/>
        <v>2</v>
      </c>
      <c r="AM760" s="11">
        <v>32000</v>
      </c>
      <c r="AN760" s="12">
        <f t="shared" si="48"/>
        <v>64000</v>
      </c>
      <c r="AO760" s="76"/>
    </row>
    <row r="761" spans="1:41" ht="13.5" customHeight="1">
      <c r="A761" s="45" t="s">
        <v>1486</v>
      </c>
      <c r="B761" s="32">
        <v>39</v>
      </c>
      <c r="C761" s="36" t="s">
        <v>145</v>
      </c>
      <c r="D761" s="36" t="s">
        <v>273</v>
      </c>
      <c r="E761" s="36" t="s">
        <v>70</v>
      </c>
      <c r="F761" s="35" t="s">
        <v>1492</v>
      </c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34">
        <v>1</v>
      </c>
      <c r="AK761" s="34">
        <v>1</v>
      </c>
      <c r="AL761" s="10">
        <f t="shared" ref="AL761:AL762" si="53">SUM(G761:AK761)</f>
        <v>2</v>
      </c>
      <c r="AM761" s="12">
        <v>32000</v>
      </c>
      <c r="AN761" s="12">
        <f t="shared" ref="AN761:AN762" si="54">AM761*AL761</f>
        <v>64000</v>
      </c>
      <c r="AO761" s="76"/>
    </row>
    <row r="762" spans="1:41" ht="13.5" customHeight="1">
      <c r="A762" s="45" t="s">
        <v>1486</v>
      </c>
      <c r="B762" s="32">
        <v>12</v>
      </c>
      <c r="C762" s="36" t="s">
        <v>1490</v>
      </c>
      <c r="D762" s="36" t="s">
        <v>1491</v>
      </c>
      <c r="E762" s="36" t="s">
        <v>1061</v>
      </c>
      <c r="F762" s="35" t="s">
        <v>1493</v>
      </c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34">
        <v>1</v>
      </c>
      <c r="AK762" s="34">
        <v>1</v>
      </c>
      <c r="AL762" s="10">
        <f t="shared" si="53"/>
        <v>2</v>
      </c>
      <c r="AM762" s="12">
        <v>32000</v>
      </c>
      <c r="AN762" s="12">
        <f t="shared" si="54"/>
        <v>64000</v>
      </c>
      <c r="AO762" s="76"/>
    </row>
    <row r="763" spans="1:41" ht="13.5" customHeight="1">
      <c r="A763" s="45" t="s">
        <v>62</v>
      </c>
      <c r="B763" s="32" t="s">
        <v>1229</v>
      </c>
      <c r="F763" s="3"/>
      <c r="G763" s="46"/>
      <c r="H763" s="34">
        <v>6</v>
      </c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10">
        <f t="shared" ref="AL763" si="55">SUM(G763:AK763)</f>
        <v>6</v>
      </c>
      <c r="AM763" s="11">
        <v>32000</v>
      </c>
      <c r="AN763" s="12">
        <f t="shared" ref="AN763" si="56">AM763*AL763</f>
        <v>192000</v>
      </c>
      <c r="AO763" s="1"/>
    </row>
    <row r="764" spans="1:41" ht="12.75" customHeight="1">
      <c r="A764" s="40"/>
      <c r="B764" s="40"/>
      <c r="C764" s="82" t="s">
        <v>1463</v>
      </c>
      <c r="D764" s="83"/>
      <c r="E764" s="83"/>
      <c r="F764" s="84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42"/>
      <c r="AM764" s="43"/>
      <c r="AN764" s="43"/>
    </row>
    <row r="765" spans="1:41">
      <c r="A765" s="3"/>
      <c r="G765" s="16">
        <f>SUM(G10:G764)</f>
        <v>164</v>
      </c>
      <c r="H765" s="16">
        <f t="shared" ref="H765:AK765" si="57">SUM(H10:H764)</f>
        <v>181</v>
      </c>
      <c r="I765" s="16">
        <f t="shared" si="57"/>
        <v>175</v>
      </c>
      <c r="J765" s="16">
        <f t="shared" si="57"/>
        <v>177</v>
      </c>
      <c r="K765" s="16">
        <f t="shared" si="57"/>
        <v>177</v>
      </c>
      <c r="L765" s="16">
        <f t="shared" si="57"/>
        <v>176</v>
      </c>
      <c r="M765" s="16">
        <f t="shared" si="57"/>
        <v>172</v>
      </c>
      <c r="N765" s="16">
        <f t="shared" si="57"/>
        <v>186</v>
      </c>
      <c r="O765" s="16">
        <f t="shared" si="57"/>
        <v>174</v>
      </c>
      <c r="P765" s="16">
        <f t="shared" si="57"/>
        <v>169</v>
      </c>
      <c r="Q765" s="16">
        <f t="shared" si="57"/>
        <v>169</v>
      </c>
      <c r="R765" s="16">
        <f t="shared" si="57"/>
        <v>169</v>
      </c>
      <c r="S765" s="16">
        <f t="shared" si="57"/>
        <v>169</v>
      </c>
      <c r="T765" s="16">
        <f t="shared" si="57"/>
        <v>169</v>
      </c>
      <c r="U765" s="16">
        <f t="shared" si="57"/>
        <v>169</v>
      </c>
      <c r="V765" s="16">
        <f t="shared" si="57"/>
        <v>162</v>
      </c>
      <c r="W765" s="16">
        <f t="shared" si="57"/>
        <v>162</v>
      </c>
      <c r="X765" s="16">
        <f t="shared" si="57"/>
        <v>162</v>
      </c>
      <c r="Y765" s="16">
        <f t="shared" si="57"/>
        <v>162</v>
      </c>
      <c r="Z765" s="16">
        <f t="shared" si="57"/>
        <v>162</v>
      </c>
      <c r="AA765" s="16">
        <f t="shared" si="57"/>
        <v>162</v>
      </c>
      <c r="AB765" s="16">
        <f t="shared" si="57"/>
        <v>162</v>
      </c>
      <c r="AC765" s="16">
        <f t="shared" si="57"/>
        <v>186</v>
      </c>
      <c r="AD765" s="16">
        <f t="shared" si="57"/>
        <v>186</v>
      </c>
      <c r="AE765" s="16">
        <f t="shared" si="57"/>
        <v>186</v>
      </c>
      <c r="AF765" s="16">
        <f t="shared" si="57"/>
        <v>186</v>
      </c>
      <c r="AG765" s="16">
        <f t="shared" si="57"/>
        <v>186</v>
      </c>
      <c r="AH765" s="16">
        <f t="shared" si="57"/>
        <v>186</v>
      </c>
      <c r="AI765" s="16">
        <f t="shared" si="57"/>
        <v>203</v>
      </c>
      <c r="AJ765" s="16">
        <f t="shared" si="57"/>
        <v>187</v>
      </c>
      <c r="AK765" s="16">
        <f t="shared" si="57"/>
        <v>187</v>
      </c>
      <c r="AL765" s="16">
        <f t="shared" ref="AL765" si="58">SUM(AL10:AL764)</f>
        <v>5423</v>
      </c>
      <c r="AO765" s="3" t="s">
        <v>29</v>
      </c>
    </row>
    <row r="766" spans="1:41">
      <c r="A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41">
      <c r="A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7" t="s">
        <v>30</v>
      </c>
      <c r="AN767" s="18">
        <f>SUM(AN8:AN765)</f>
        <v>173536000</v>
      </c>
    </row>
    <row r="768" spans="1:41">
      <c r="A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61"/>
      <c r="AN768" s="62"/>
    </row>
    <row r="769" spans="1:41">
      <c r="A769" s="3"/>
      <c r="B769" s="85" t="s">
        <v>573</v>
      </c>
      <c r="C769" s="85"/>
      <c r="D769" s="85"/>
      <c r="E769" s="85"/>
      <c r="F769" s="85"/>
      <c r="G769" s="63">
        <f>SUM(G765,'H3'!G216,LT!G33,ACONCAGUA!G117)</f>
        <v>211</v>
      </c>
      <c r="H769" s="63">
        <f>SUM(H765,'H3'!H216,LT!H33,ACONCAGUA!H117)</f>
        <v>267</v>
      </c>
      <c r="I769" s="63">
        <f>SUM(I765,'H3'!I216,LT!I33,ACONCAGUA!I117)</f>
        <v>269</v>
      </c>
      <c r="J769" s="63">
        <f>SUM(J765,'H3'!J216,LT!J33,ACONCAGUA!J117)</f>
        <v>255</v>
      </c>
      <c r="K769" s="63">
        <f>SUM(K765,'H3'!K216,LT!K33,ACONCAGUA!K117)</f>
        <v>254</v>
      </c>
      <c r="L769" s="63">
        <f>SUM(L765,'H3'!L216,LT!L33,ACONCAGUA!L117)</f>
        <v>255</v>
      </c>
      <c r="M769" s="63">
        <f>SUM(M765,'H3'!M216,LT!M33,ACONCAGUA!M117)</f>
        <v>252</v>
      </c>
      <c r="N769" s="63">
        <f>SUM(N765,'H3'!N216,LT!N33,ACONCAGUA!N117)</f>
        <v>266</v>
      </c>
      <c r="O769" s="63">
        <f>SUM(O765,'H3'!O216,LT!O33,ACONCAGUA!O117)</f>
        <v>255</v>
      </c>
      <c r="P769" s="63">
        <f>SUM(P765,'H3'!P216,LT!P33,ACONCAGUA!P117)</f>
        <v>246</v>
      </c>
      <c r="Q769" s="63">
        <f>SUM(Q765,'H3'!Q216,LT!Q33,ACONCAGUA!Q117)</f>
        <v>245</v>
      </c>
      <c r="R769" s="63">
        <f>SUM(R765,'H3'!R216,LT!R33,ACONCAGUA!R117)</f>
        <v>245</v>
      </c>
      <c r="S769" s="63">
        <f>SUM(S765,'H3'!S216,LT!S33,ACONCAGUA!S117)</f>
        <v>245</v>
      </c>
      <c r="T769" s="63">
        <f>SUM(T765,'H3'!T216,LT!T33,ACONCAGUA!T117)</f>
        <v>246</v>
      </c>
      <c r="U769" s="63">
        <f>SUM(U765,'H3'!U216,LT!U33,ACONCAGUA!U117)</f>
        <v>246</v>
      </c>
      <c r="V769" s="63">
        <f>SUM(V765,'H3'!V216,LT!V33,ACONCAGUA!V117)</f>
        <v>193</v>
      </c>
      <c r="W769" s="63">
        <f>SUM(W765,'H3'!W216,LT!W33,ACONCAGUA!W117)</f>
        <v>209</v>
      </c>
      <c r="X769" s="63">
        <f>SUM(X765,'H3'!X216,LT!X33,ACONCAGUA!X117)</f>
        <v>198</v>
      </c>
      <c r="Y769" s="63">
        <f>SUM(Y765,'H3'!Y216,LT!Y33,ACONCAGUA!Y117)</f>
        <v>213</v>
      </c>
      <c r="Z769" s="63">
        <f>SUM(Z765,'H3'!Z216,LT!Z33,ACONCAGUA!Z117)</f>
        <v>213</v>
      </c>
      <c r="AA769" s="63">
        <f>SUM(AA765,'H3'!AA216,LT!AA33,ACONCAGUA!AA117)</f>
        <v>215</v>
      </c>
      <c r="AB769" s="63">
        <f>SUM(AB765,'H3'!AB216,LT!AB33,ACONCAGUA!AB117)</f>
        <v>246</v>
      </c>
      <c r="AC769" s="63">
        <f>SUM(AC765,'H3'!AC216,LT!AC33,ACONCAGUA!AC117)</f>
        <v>258</v>
      </c>
      <c r="AD769" s="63">
        <f>SUM(AD765,'H3'!AD216,LT!AD33,ACONCAGUA!AD117)</f>
        <v>265</v>
      </c>
      <c r="AE769" s="63">
        <f>SUM(AE765,'H3'!AE216,LT!AE33,ACONCAGUA!AE117)</f>
        <v>269</v>
      </c>
      <c r="AF769" s="63">
        <f>SUM(AF765,'H3'!AF216,LT!AF33,ACONCAGUA!AF117)</f>
        <v>269</v>
      </c>
      <c r="AG769" s="63">
        <f>SUM(AG765,'H3'!AG216,LT!AG33,ACONCAGUA!AG117)</f>
        <v>267</v>
      </c>
      <c r="AH769" s="63">
        <f>SUM(AH765,'H3'!AH216,LT!AH33,ACONCAGUA!AH117)</f>
        <v>268</v>
      </c>
      <c r="AI769" s="63">
        <f>SUM(AI765,'H3'!AI216,LT!AI33,ACONCAGUA!AI117)</f>
        <v>285</v>
      </c>
      <c r="AJ769" s="63">
        <f>SUM(AJ765,'H3'!AI216,LT!AI33,ACONCAGUA!AI117)</f>
        <v>269</v>
      </c>
      <c r="AK769" s="63">
        <f>SUM(AK765,'H3'!AK216,LT!AJ33,ACONCAGUA!AK117)</f>
        <v>283</v>
      </c>
      <c r="AL769" s="64">
        <f>SUM(G769:AK769)</f>
        <v>7677</v>
      </c>
    </row>
    <row r="770" spans="1:41" ht="13.5" thickBot="1">
      <c r="A770" s="3"/>
    </row>
    <row r="771" spans="1:41" ht="17.25" customHeight="1" thickBot="1">
      <c r="A771" s="81" t="s">
        <v>574</v>
      </c>
      <c r="B771" s="81"/>
      <c r="C771" s="81"/>
      <c r="D771" s="81"/>
      <c r="E771" s="81"/>
      <c r="F771" s="81"/>
      <c r="G771" s="79">
        <v>45839</v>
      </c>
      <c r="H771" s="79">
        <v>45840</v>
      </c>
      <c r="I771" s="79">
        <v>45841</v>
      </c>
      <c r="J771" s="79">
        <v>45842</v>
      </c>
      <c r="K771" s="79">
        <v>45843</v>
      </c>
      <c r="L771" s="79">
        <v>45844</v>
      </c>
      <c r="M771" s="79">
        <v>45845</v>
      </c>
      <c r="N771" s="79">
        <v>45846</v>
      </c>
      <c r="O771" s="79">
        <v>45847</v>
      </c>
      <c r="P771" s="79">
        <v>45848</v>
      </c>
      <c r="Q771" s="79">
        <v>45849</v>
      </c>
      <c r="R771" s="79">
        <v>45850</v>
      </c>
      <c r="S771" s="79">
        <v>45851</v>
      </c>
      <c r="T771" s="79">
        <v>45852</v>
      </c>
      <c r="U771" s="79">
        <v>45853</v>
      </c>
      <c r="V771" s="79">
        <v>45854</v>
      </c>
      <c r="W771" s="79">
        <v>45855</v>
      </c>
      <c r="X771" s="79">
        <v>45856</v>
      </c>
      <c r="Y771" s="79">
        <v>45857</v>
      </c>
      <c r="Z771" s="79">
        <v>45858</v>
      </c>
      <c r="AA771" s="79">
        <v>45859</v>
      </c>
      <c r="AB771" s="79">
        <v>45860</v>
      </c>
      <c r="AC771" s="79">
        <v>45861</v>
      </c>
      <c r="AD771" s="79">
        <v>45862</v>
      </c>
      <c r="AE771" s="79">
        <v>45863</v>
      </c>
      <c r="AF771" s="79">
        <v>45864</v>
      </c>
      <c r="AG771" s="79">
        <v>45865</v>
      </c>
      <c r="AH771" s="79">
        <v>45866</v>
      </c>
      <c r="AI771" s="79">
        <v>45867</v>
      </c>
      <c r="AJ771" s="79">
        <v>45868</v>
      </c>
      <c r="AK771" s="79">
        <v>45869</v>
      </c>
      <c r="AL771" s="87" t="s">
        <v>452</v>
      </c>
      <c r="AM771" s="87"/>
      <c r="AN771" s="87"/>
    </row>
    <row r="772" spans="1:41" ht="12.75" customHeight="1" thickBot="1">
      <c r="A772" s="81"/>
      <c r="B772" s="81"/>
      <c r="C772" s="81"/>
      <c r="D772" s="81"/>
      <c r="E772" s="81"/>
      <c r="F772" s="81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87"/>
      <c r="AM772" s="87"/>
      <c r="AN772" s="87"/>
    </row>
    <row r="773" spans="1:41" ht="13.5" customHeight="1" thickBot="1">
      <c r="A773" s="81"/>
      <c r="B773" s="81"/>
      <c r="C773" s="81"/>
      <c r="D773" s="81"/>
      <c r="E773" s="81"/>
      <c r="F773" s="81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87"/>
      <c r="AM773" s="87"/>
      <c r="AN773" s="87"/>
    </row>
    <row r="774" spans="1:41" ht="17.25" customHeight="1">
      <c r="A774" s="80" t="s">
        <v>31</v>
      </c>
      <c r="B774" s="80"/>
      <c r="C774" s="80"/>
      <c r="D774" s="80"/>
      <c r="E774" s="80"/>
      <c r="F774" s="80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21" t="s">
        <v>5</v>
      </c>
      <c r="AM774" s="21" t="s">
        <v>6</v>
      </c>
      <c r="AN774" s="22" t="s">
        <v>7</v>
      </c>
    </row>
    <row r="775" spans="1:41" ht="17.25" customHeight="1">
      <c r="A775" s="23">
        <v>1</v>
      </c>
      <c r="B775" s="78" t="s">
        <v>32</v>
      </c>
      <c r="C775" s="78"/>
      <c r="D775" s="78"/>
      <c r="E775" s="78"/>
      <c r="F775" s="78"/>
      <c r="G775" s="49"/>
      <c r="H775" s="49"/>
      <c r="I775" s="44">
        <v>3</v>
      </c>
      <c r="J775" s="44">
        <v>4</v>
      </c>
      <c r="K775" s="44">
        <v>6</v>
      </c>
      <c r="L775" s="44">
        <v>2</v>
      </c>
      <c r="M775" s="44">
        <v>4</v>
      </c>
      <c r="N775" s="44">
        <v>2</v>
      </c>
      <c r="O775" s="44">
        <v>2</v>
      </c>
      <c r="P775" s="44">
        <v>1</v>
      </c>
      <c r="Q775" s="44">
        <v>1</v>
      </c>
      <c r="R775" s="44">
        <v>2</v>
      </c>
      <c r="S775" s="44">
        <v>1</v>
      </c>
      <c r="T775" s="49"/>
      <c r="U775" s="49"/>
      <c r="V775" s="49"/>
      <c r="W775" s="44">
        <v>2</v>
      </c>
      <c r="X775" s="44">
        <v>3</v>
      </c>
      <c r="Y775" s="44">
        <v>1</v>
      </c>
      <c r="Z775" s="44">
        <v>1</v>
      </c>
      <c r="AA775" s="44">
        <v>2</v>
      </c>
      <c r="AB775" s="49"/>
      <c r="AC775" s="49"/>
      <c r="AD775" s="49"/>
      <c r="AE775" s="49"/>
      <c r="AF775" s="44">
        <v>4</v>
      </c>
      <c r="AG775" s="44">
        <v>5</v>
      </c>
      <c r="AH775" s="44">
        <v>2</v>
      </c>
      <c r="AI775" s="44">
        <v>3</v>
      </c>
      <c r="AJ775" s="44">
        <v>5</v>
      </c>
      <c r="AK775" s="44">
        <v>20</v>
      </c>
      <c r="AL775" s="24">
        <f>SUM(G775:AK775)</f>
        <v>76</v>
      </c>
      <c r="AM775" s="15">
        <v>8500</v>
      </c>
      <c r="AN775" s="15">
        <f>AM775*AL775</f>
        <v>646000</v>
      </c>
    </row>
    <row r="776" spans="1:41" ht="17.25" customHeight="1">
      <c r="A776" s="53"/>
      <c r="B776" s="78" t="s">
        <v>334</v>
      </c>
      <c r="C776" s="78"/>
      <c r="D776" s="78"/>
      <c r="E776" s="78"/>
      <c r="F776" s="78"/>
      <c r="G776" s="44">
        <f>SUM(G765,'H3'!G216,LT!G33,ACONCAGUA!G117)</f>
        <v>211</v>
      </c>
      <c r="H776" s="44">
        <f>SUM(H765,'H3'!H216,LT!H33,ACONCAGUA!H117)</f>
        <v>267</v>
      </c>
      <c r="I776" s="44">
        <f>SUM(I765,'H3'!I216,LT!I33,ACONCAGUA!I117)</f>
        <v>269</v>
      </c>
      <c r="J776" s="44">
        <f>SUM(J765,'H3'!J216,LT!J33,ACONCAGUA!J117)</f>
        <v>255</v>
      </c>
      <c r="K776" s="44">
        <f>SUM(K765,'H3'!K216,LT!K33,ACONCAGUA!K117)</f>
        <v>254</v>
      </c>
      <c r="L776" s="44">
        <f>SUM(L765,'H3'!L216,LT!L33,ACONCAGUA!L117)</f>
        <v>255</v>
      </c>
      <c r="M776" s="44">
        <f>SUM(M765,'H3'!M216,LT!M33,ACONCAGUA!M117)</f>
        <v>252</v>
      </c>
      <c r="N776" s="44">
        <f>SUM(N765,'H3'!N216,LT!N33,ACONCAGUA!N117)</f>
        <v>266</v>
      </c>
      <c r="O776" s="44">
        <f>SUM(O765,'H3'!O216,LT!O33,ACONCAGUA!O117)</f>
        <v>255</v>
      </c>
      <c r="P776" s="44">
        <f>SUM(P765,'H3'!P216,LT!P33,ACONCAGUA!P117)</f>
        <v>246</v>
      </c>
      <c r="Q776" s="44">
        <f>SUM(Q765,'H3'!Q216,LT!Q33,ACONCAGUA!Q117)</f>
        <v>245</v>
      </c>
      <c r="R776" s="44">
        <f>SUM(R765,'H3'!R216,LT!R33,ACONCAGUA!R117)</f>
        <v>245</v>
      </c>
      <c r="S776" s="44">
        <f>SUM(S765,'H3'!S216,LT!S33,ACONCAGUA!S117)</f>
        <v>245</v>
      </c>
      <c r="T776" s="44">
        <f>SUM(T765,'H3'!T216,LT!T33,ACONCAGUA!T117)</f>
        <v>246</v>
      </c>
      <c r="U776" s="44">
        <f>SUM(U765,'H3'!U216,LT!U33,ACONCAGUA!U117)</f>
        <v>246</v>
      </c>
      <c r="V776" s="44">
        <f>SUM(V765,'H3'!V216,LT!V33,ACONCAGUA!V117)</f>
        <v>193</v>
      </c>
      <c r="W776" s="44">
        <f>SUM(W765,'H3'!W216,LT!W33,ACONCAGUA!W117)</f>
        <v>209</v>
      </c>
      <c r="X776" s="44">
        <f>SUM(X765,'H3'!X216,LT!X33,ACONCAGUA!X117)</f>
        <v>198</v>
      </c>
      <c r="Y776" s="44">
        <f>SUM(Y765,'H3'!Y216,LT!Y33,ACONCAGUA!Y117)</f>
        <v>213</v>
      </c>
      <c r="Z776" s="44">
        <f>SUM(Z765,'H3'!Z216,LT!Z33,ACONCAGUA!Z117)</f>
        <v>213</v>
      </c>
      <c r="AA776" s="44">
        <f>SUM(AA765,'H3'!AA216,LT!AA33,ACONCAGUA!AA117)</f>
        <v>215</v>
      </c>
      <c r="AB776" s="44">
        <f>SUM(AB765,'H3'!AB216,LT!AB33,ACONCAGUA!AB117)</f>
        <v>246</v>
      </c>
      <c r="AC776" s="44">
        <f>SUM(AC765,'H3'!AC216,LT!AC33,ACONCAGUA!AC117)</f>
        <v>258</v>
      </c>
      <c r="AD776" s="44">
        <f>SUM(AD765,'H3'!AD216,LT!AD33,ACONCAGUA!AD117)</f>
        <v>265</v>
      </c>
      <c r="AE776" s="44">
        <f>SUM(AE765,'H3'!AE216,LT!AE33,ACONCAGUA!AE117)</f>
        <v>269</v>
      </c>
      <c r="AF776" s="44">
        <f>SUM(AF765,'H3'!AF216,LT!AF33,ACONCAGUA!AF117)</f>
        <v>269</v>
      </c>
      <c r="AG776" s="44">
        <f>SUM(AG765,'H3'!AG216,LT!AG33,ACONCAGUA!AG117)</f>
        <v>267</v>
      </c>
      <c r="AH776" s="44">
        <f>SUM(AH765,'H3'!AH216,LT!AH33,ACONCAGUA!AH117)</f>
        <v>268</v>
      </c>
      <c r="AI776" s="44">
        <f>SUM(AI765,'H3'!AI216,LT!AI33,ACONCAGUA!AI117)</f>
        <v>285</v>
      </c>
      <c r="AJ776" s="44">
        <f>SUM(AJ765,'H3'!AI216,LT!AI33,ACONCAGUA!AI117)</f>
        <v>269</v>
      </c>
      <c r="AK776" s="44">
        <f>SUM(AK765,'H3'!AK216,LT!AJ33,ACONCAGUA!AK117)</f>
        <v>283</v>
      </c>
      <c r="AL776" s="24">
        <f>SUM(G776:AK776)</f>
        <v>7677</v>
      </c>
      <c r="AM776" s="15">
        <v>1900</v>
      </c>
      <c r="AN776" s="15">
        <f>AM776*AL776</f>
        <v>14586300</v>
      </c>
    </row>
    <row r="778" spans="1:41" ht="20.25">
      <c r="AL778" s="25"/>
      <c r="AM778" s="26" t="s">
        <v>385</v>
      </c>
      <c r="AN778" s="27">
        <f>AN767</f>
        <v>173536000</v>
      </c>
      <c r="AO778" s="25"/>
    </row>
    <row r="779" spans="1:41" ht="20.25">
      <c r="AL779" s="25"/>
      <c r="AM779" s="26" t="s">
        <v>386</v>
      </c>
      <c r="AN779" s="27">
        <f>'H3'!AN218</f>
        <v>51136000</v>
      </c>
      <c r="AO779" s="25"/>
    </row>
    <row r="780" spans="1:41" ht="20.25">
      <c r="AL780" s="25"/>
      <c r="AM780" s="26" t="s">
        <v>387</v>
      </c>
      <c r="AN780" s="27">
        <f>ACONCAGUA!AN132</f>
        <v>21325500</v>
      </c>
      <c r="AO780" s="25"/>
    </row>
    <row r="781" spans="1:41" ht="20.25">
      <c r="AL781" s="25"/>
      <c r="AM781" s="26" t="s">
        <v>1456</v>
      </c>
      <c r="AN781" s="27">
        <f>LT!AM43</f>
        <v>1408000</v>
      </c>
      <c r="AO781" s="25"/>
    </row>
    <row r="782" spans="1:41" ht="20.25">
      <c r="AL782" s="25"/>
      <c r="AM782" s="26" t="s">
        <v>1457</v>
      </c>
      <c r="AN782" s="27">
        <f>'H2'!K71</f>
        <v>3104000</v>
      </c>
      <c r="AO782" s="25"/>
    </row>
    <row r="783" spans="1:41" ht="20.25">
      <c r="AL783" s="25"/>
      <c r="AM783" s="26" t="s">
        <v>389</v>
      </c>
      <c r="AN783" s="27">
        <f>AN775</f>
        <v>646000</v>
      </c>
      <c r="AO783" s="25"/>
    </row>
    <row r="784" spans="1:41" ht="20.25">
      <c r="AL784" s="25"/>
      <c r="AM784" s="26" t="s">
        <v>1459</v>
      </c>
      <c r="AN784" s="27">
        <f>'H3'!AN227</f>
        <v>875500</v>
      </c>
      <c r="AO784" s="25"/>
    </row>
    <row r="785" spans="38:43" ht="20.25">
      <c r="AL785" s="25"/>
      <c r="AM785" s="26" t="s">
        <v>388</v>
      </c>
      <c r="AN785" s="27">
        <f>ACONCAGUA!AN133</f>
        <v>8500</v>
      </c>
      <c r="AO785" s="25"/>
    </row>
    <row r="786" spans="38:43" ht="20.25">
      <c r="AL786" s="25"/>
      <c r="AM786" s="26" t="s">
        <v>1460</v>
      </c>
      <c r="AN786" s="27">
        <f>LT!AM44</f>
        <v>246500</v>
      </c>
      <c r="AO786" s="25"/>
    </row>
    <row r="787" spans="38:43" ht="20.25">
      <c r="AL787" s="25"/>
      <c r="AM787" s="26" t="s">
        <v>1458</v>
      </c>
      <c r="AN787" s="27">
        <f>'H2'!K72</f>
        <v>153000</v>
      </c>
      <c r="AO787" s="25"/>
    </row>
    <row r="788" spans="38:43" ht="20.25">
      <c r="AL788" s="25"/>
      <c r="AM788" s="26" t="s">
        <v>390</v>
      </c>
      <c r="AN788" s="27">
        <f>AN776</f>
        <v>14586300</v>
      </c>
      <c r="AO788" s="25"/>
    </row>
    <row r="789" spans="38:43" ht="14.25" customHeight="1">
      <c r="AL789" s="25"/>
      <c r="AM789" s="28"/>
      <c r="AN789" s="28"/>
      <c r="AO789" s="25"/>
    </row>
    <row r="790" spans="38:43" ht="14.25" customHeight="1">
      <c r="AL790" s="25"/>
      <c r="AM790" s="29" t="s">
        <v>34</v>
      </c>
      <c r="AN790" s="30">
        <f>SUM(AN778:AN789)</f>
        <v>267025300</v>
      </c>
      <c r="AO790" s="25"/>
    </row>
    <row r="791" spans="38:43" ht="14.25" customHeight="1">
      <c r="AL791" s="25"/>
      <c r="AM791" s="29" t="s">
        <v>35</v>
      </c>
      <c r="AN791" s="30">
        <f>AN790*0.19</f>
        <v>50734807</v>
      </c>
      <c r="AO791" s="25"/>
      <c r="AP791" s="86"/>
      <c r="AQ791" s="86"/>
    </row>
    <row r="792" spans="38:43" ht="14.25" customHeight="1">
      <c r="AL792" s="25"/>
      <c r="AM792" s="29" t="s">
        <v>30</v>
      </c>
      <c r="AN792" s="30">
        <f>+AN790+AN791</f>
        <v>317760107</v>
      </c>
      <c r="AO792" s="25"/>
      <c r="AP792" s="2"/>
      <c r="AQ792" s="2"/>
    </row>
    <row r="793" spans="38:43" ht="14.25" customHeight="1">
      <c r="AL793" s="25"/>
      <c r="AM793" s="25"/>
      <c r="AN793" s="25"/>
      <c r="AO793" s="25"/>
      <c r="AP793" s="2"/>
      <c r="AQ793" s="2"/>
    </row>
    <row r="794" spans="38:43" ht="14.25" customHeight="1">
      <c r="AL794" s="25"/>
      <c r="AM794" s="25"/>
      <c r="AN794" s="25"/>
      <c r="AO794" s="25"/>
      <c r="AP794" s="2"/>
      <c r="AQ794" s="2"/>
    </row>
    <row r="795" spans="38:43" ht="14.25" customHeight="1">
      <c r="AL795" s="28"/>
      <c r="AO795" s="28"/>
      <c r="AP795" s="2"/>
      <c r="AQ795" s="2"/>
    </row>
    <row r="796" spans="38:43" ht="14.25" customHeight="1">
      <c r="AL796" s="25"/>
      <c r="AO796" s="25"/>
      <c r="AP796" s="31"/>
      <c r="AQ796" s="31"/>
    </row>
    <row r="797" spans="38:43" ht="14.25" customHeight="1">
      <c r="AL797" s="25"/>
      <c r="AO797" s="25"/>
      <c r="AP797" s="31"/>
      <c r="AQ797" s="31"/>
    </row>
    <row r="798" spans="38:43" ht="14.25" customHeight="1">
      <c r="AL798" s="25"/>
      <c r="AO798" s="25"/>
    </row>
    <row r="799" spans="38:43" ht="20.25">
      <c r="AL799" s="25"/>
      <c r="AO799" s="25"/>
    </row>
    <row r="800" spans="38:43" ht="20.25">
      <c r="AL800" s="25"/>
      <c r="AO800" s="25"/>
    </row>
    <row r="802" spans="3:4">
      <c r="C802" s="77"/>
      <c r="D802" s="77"/>
    </row>
  </sheetData>
  <autoFilter ref="B9:F153" xr:uid="{DD1DA04F-FEC7-4DF1-B52C-03C46657B1E5}"/>
  <sortState xmlns:xlrd2="http://schemas.microsoft.com/office/spreadsheetml/2017/richdata2" ref="A511:AN534">
    <sortCondition ref="B511:B534"/>
  </sortState>
  <mergeCells count="76">
    <mergeCell ref="A1:F5"/>
    <mergeCell ref="G1:AN3"/>
    <mergeCell ref="G4:AN5"/>
    <mergeCell ref="A6:F8"/>
    <mergeCell ref="G6:G9"/>
    <mergeCell ref="H6:H9"/>
    <mergeCell ref="I6:I9"/>
    <mergeCell ref="J6:J9"/>
    <mergeCell ref="K6:K9"/>
    <mergeCell ref="L6:L9"/>
    <mergeCell ref="Z6:Z9"/>
    <mergeCell ref="AA6:AA9"/>
    <mergeCell ref="AB6:AB9"/>
    <mergeCell ref="W6:W9"/>
    <mergeCell ref="V6:V9"/>
    <mergeCell ref="S6:S9"/>
    <mergeCell ref="X6:X9"/>
    <mergeCell ref="AC6:AC9"/>
    <mergeCell ref="AJ771:AJ774"/>
    <mergeCell ref="AK771:AK774"/>
    <mergeCell ref="AF771:AF774"/>
    <mergeCell ref="AI771:AI774"/>
    <mergeCell ref="Z771:Z774"/>
    <mergeCell ref="AA771:AA774"/>
    <mergeCell ref="AB771:AB774"/>
    <mergeCell ref="AG771:AG774"/>
    <mergeCell ref="AH771:AH774"/>
    <mergeCell ref="AE771:AE774"/>
    <mergeCell ref="AC771:AC774"/>
    <mergeCell ref="AL6:AN8"/>
    <mergeCell ref="AJ6:AJ9"/>
    <mergeCell ref="AK6:AK9"/>
    <mergeCell ref="Y6:Y9"/>
    <mergeCell ref="AD6:AD9"/>
    <mergeCell ref="AE6:AE9"/>
    <mergeCell ref="AF6:AF9"/>
    <mergeCell ref="AG6:AG9"/>
    <mergeCell ref="AH6:AH9"/>
    <mergeCell ref="AI6:AI9"/>
    <mergeCell ref="B769:F769"/>
    <mergeCell ref="AP791:AQ791"/>
    <mergeCell ref="AL771:AN773"/>
    <mergeCell ref="W771:W774"/>
    <mergeCell ref="X771:X774"/>
    <mergeCell ref="Y771:Y774"/>
    <mergeCell ref="AD771:AD774"/>
    <mergeCell ref="O771:O774"/>
    <mergeCell ref="M771:M774"/>
    <mergeCell ref="N771:N774"/>
    <mergeCell ref="S771:S774"/>
    <mergeCell ref="T771:T774"/>
    <mergeCell ref="C764:F764"/>
    <mergeCell ref="Q6:Q9"/>
    <mergeCell ref="R6:R9"/>
    <mergeCell ref="T6:T9"/>
    <mergeCell ref="U6:U9"/>
    <mergeCell ref="M6:M9"/>
    <mergeCell ref="N6:N9"/>
    <mergeCell ref="O6:O9"/>
    <mergeCell ref="P6:P9"/>
    <mergeCell ref="C802:D802"/>
    <mergeCell ref="B775:F775"/>
    <mergeCell ref="U771:U774"/>
    <mergeCell ref="V771:V774"/>
    <mergeCell ref="H771:H774"/>
    <mergeCell ref="I771:I774"/>
    <mergeCell ref="J771:J774"/>
    <mergeCell ref="K771:K774"/>
    <mergeCell ref="B776:F776"/>
    <mergeCell ref="A774:F774"/>
    <mergeCell ref="A771:F773"/>
    <mergeCell ref="G771:G774"/>
    <mergeCell ref="P771:P774"/>
    <mergeCell ref="Q771:Q774"/>
    <mergeCell ref="R771:R774"/>
    <mergeCell ref="L771:L774"/>
  </mergeCells>
  <phoneticPr fontId="23" type="noConversion"/>
  <conditionalFormatting sqref="B104">
    <cfRule type="containsText" dxfId="2" priority="10" operator="containsText" text="1 DESCANSO">
      <formula>NOT(ISERROR(SEARCH("1 DESCANSO",B104)))</formula>
    </cfRule>
    <cfRule type="containsText" dxfId="1" priority="11" operator="containsText" text="1 LICENCIA">
      <formula>NOT(ISERROR(SEARCH("1 LICENCIA",B104)))</formula>
    </cfRule>
    <cfRule type="containsText" dxfId="0" priority="12" operator="containsText" text="1 PERMISO">
      <formula>NOT(ISERROR(SEARCH("1 PERMISO",B104)))</formula>
    </cfRule>
  </conditionalFormatting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7AA2-908A-4A32-9084-5DE35C09A3D9}">
  <dimension ref="A1:AQ238"/>
  <sheetViews>
    <sheetView zoomScale="118" zoomScaleNormal="118" workbookViewId="0">
      <pane xSplit="6" ySplit="9" topLeftCell="G201" activePane="bottomRight" state="frozen"/>
      <selection pane="topRight" activeCell="I1" sqref="I1"/>
      <selection pane="bottomLeft" activeCell="A46" sqref="A46"/>
      <selection pane="bottomRight" activeCell="E233" sqref="E233"/>
    </sheetView>
  </sheetViews>
  <sheetFormatPr baseColWidth="10" defaultColWidth="11.42578125" defaultRowHeight="12.75"/>
  <cols>
    <col min="1" max="1" width="6.425781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37" width="3.7109375" style="3" customWidth="1"/>
    <col min="38" max="38" width="5.5703125" style="3" customWidth="1"/>
    <col min="39" max="39" width="18.28515625" style="3" customWidth="1"/>
    <col min="40" max="40" width="15.5703125" style="3" customWidth="1"/>
    <col min="41" max="41" width="6.28515625" style="3" customWidth="1"/>
    <col min="42" max="44" width="3" style="3" customWidth="1"/>
    <col min="45" max="16384" width="11.42578125" style="3"/>
  </cols>
  <sheetData>
    <row r="1" spans="1:40" ht="12.75" customHeight="1" thickBot="1">
      <c r="A1" s="88"/>
      <c r="B1" s="88"/>
      <c r="C1" s="88"/>
      <c r="D1" s="88"/>
      <c r="E1" s="88"/>
      <c r="F1" s="88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</row>
    <row r="2" spans="1:40" ht="12.75" customHeight="1" thickBot="1">
      <c r="A2" s="88"/>
      <c r="B2" s="88"/>
      <c r="C2" s="88"/>
      <c r="D2" s="88"/>
      <c r="E2" s="88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</row>
    <row r="3" spans="1:40" ht="20.25" customHeight="1" thickBot="1">
      <c r="A3" s="88"/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</row>
    <row r="4" spans="1:40" ht="12.75" customHeight="1" thickBot="1">
      <c r="A4" s="88"/>
      <c r="B4" s="88"/>
      <c r="C4" s="88"/>
      <c r="D4" s="88"/>
      <c r="E4" s="88"/>
      <c r="F4" s="88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</row>
    <row r="5" spans="1:40" ht="7.5" customHeight="1" thickBot="1">
      <c r="A5" s="88"/>
      <c r="B5" s="88"/>
      <c r="C5" s="88"/>
      <c r="D5" s="88"/>
      <c r="E5" s="88"/>
      <c r="F5" s="88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</row>
    <row r="6" spans="1:40" ht="12.75" customHeight="1" thickBot="1">
      <c r="A6" s="81" t="s">
        <v>574</v>
      </c>
      <c r="B6" s="81"/>
      <c r="C6" s="81"/>
      <c r="D6" s="81"/>
      <c r="E6" s="81"/>
      <c r="F6" s="81"/>
      <c r="G6" s="91">
        <v>45839</v>
      </c>
      <c r="H6" s="91">
        <v>45840</v>
      </c>
      <c r="I6" s="91">
        <v>45841</v>
      </c>
      <c r="J6" s="91">
        <v>45842</v>
      </c>
      <c r="K6" s="91">
        <v>45843</v>
      </c>
      <c r="L6" s="91">
        <v>45844</v>
      </c>
      <c r="M6" s="91">
        <v>45845</v>
      </c>
      <c r="N6" s="91">
        <v>45846</v>
      </c>
      <c r="O6" s="91">
        <v>45847</v>
      </c>
      <c r="P6" s="91">
        <v>45848</v>
      </c>
      <c r="Q6" s="91">
        <v>45849</v>
      </c>
      <c r="R6" s="91">
        <v>45850</v>
      </c>
      <c r="S6" s="91">
        <v>45851</v>
      </c>
      <c r="T6" s="91">
        <v>45852</v>
      </c>
      <c r="U6" s="91">
        <v>45853</v>
      </c>
      <c r="V6" s="91">
        <v>45854</v>
      </c>
      <c r="W6" s="91">
        <v>45855</v>
      </c>
      <c r="X6" s="91">
        <v>45856</v>
      </c>
      <c r="Y6" s="91">
        <v>45857</v>
      </c>
      <c r="Z6" s="91">
        <v>45858</v>
      </c>
      <c r="AA6" s="91">
        <v>45859</v>
      </c>
      <c r="AB6" s="91">
        <v>45860</v>
      </c>
      <c r="AC6" s="91">
        <v>45861</v>
      </c>
      <c r="AD6" s="91">
        <v>45862</v>
      </c>
      <c r="AE6" s="91">
        <v>45863</v>
      </c>
      <c r="AF6" s="91">
        <v>45864</v>
      </c>
      <c r="AG6" s="91">
        <v>45865</v>
      </c>
      <c r="AH6" s="91">
        <v>45866</v>
      </c>
      <c r="AI6" s="91">
        <v>45867</v>
      </c>
      <c r="AJ6" s="91">
        <v>45868</v>
      </c>
      <c r="AK6" s="91">
        <v>45869</v>
      </c>
      <c r="AL6" s="87" t="s">
        <v>575</v>
      </c>
      <c r="AM6" s="87"/>
      <c r="AN6" s="87"/>
    </row>
    <row r="7" spans="1:40" ht="15" customHeight="1" thickBot="1">
      <c r="A7" s="81"/>
      <c r="B7" s="81"/>
      <c r="C7" s="81"/>
      <c r="D7" s="81"/>
      <c r="E7" s="81"/>
      <c r="F7" s="8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87"/>
      <c r="AM7" s="87"/>
      <c r="AN7" s="87"/>
    </row>
    <row r="8" spans="1:40" ht="15.75" customHeight="1" thickBot="1">
      <c r="A8" s="81"/>
      <c r="B8" s="81"/>
      <c r="C8" s="81"/>
      <c r="D8" s="81"/>
      <c r="E8" s="81"/>
      <c r="F8" s="8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87"/>
      <c r="AM8" s="87"/>
      <c r="AN8" s="87"/>
    </row>
    <row r="9" spans="1:40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7" t="s">
        <v>5</v>
      </c>
      <c r="AM9" s="8" t="s">
        <v>6</v>
      </c>
      <c r="AN9" s="9" t="s">
        <v>7</v>
      </c>
    </row>
    <row r="10" spans="1:40">
      <c r="A10" s="48" t="s">
        <v>226</v>
      </c>
      <c r="B10" s="35">
        <v>1</v>
      </c>
      <c r="C10" s="36" t="s">
        <v>297</v>
      </c>
      <c r="D10" s="36" t="s">
        <v>928</v>
      </c>
      <c r="E10" s="36" t="s">
        <v>321</v>
      </c>
      <c r="F10" s="35" t="s">
        <v>929</v>
      </c>
      <c r="G10" s="34">
        <v>1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2">
        <f t="shared" ref="AL10:AL22" si="0">SUM(G10:AK10)</f>
        <v>1</v>
      </c>
      <c r="AM10" s="11">
        <v>32000</v>
      </c>
      <c r="AN10" s="11">
        <f t="shared" ref="AN10:AN22" si="1">AM10*AL10</f>
        <v>32000</v>
      </c>
    </row>
    <row r="11" spans="1:40">
      <c r="A11" s="48" t="s">
        <v>226</v>
      </c>
      <c r="B11" s="35">
        <v>1</v>
      </c>
      <c r="C11" s="36" t="s">
        <v>702</v>
      </c>
      <c r="D11" s="36" t="s">
        <v>930</v>
      </c>
      <c r="E11" s="36" t="s">
        <v>9</v>
      </c>
      <c r="F11" s="35" t="s">
        <v>931</v>
      </c>
      <c r="G11" s="34">
        <v>1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10">
        <f t="shared" si="0"/>
        <v>1</v>
      </c>
      <c r="AM11" s="11">
        <v>32000</v>
      </c>
      <c r="AN11" s="12">
        <f t="shared" si="1"/>
        <v>32000</v>
      </c>
    </row>
    <row r="12" spans="1:40">
      <c r="A12" s="48" t="s">
        <v>226</v>
      </c>
      <c r="B12" s="35">
        <v>2</v>
      </c>
      <c r="C12" s="36" t="s">
        <v>223</v>
      </c>
      <c r="D12" s="36" t="s">
        <v>139</v>
      </c>
      <c r="E12" s="36" t="s">
        <v>21</v>
      </c>
      <c r="F12" s="35" t="s">
        <v>932</v>
      </c>
      <c r="G12" s="34">
        <v>1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10">
        <f t="shared" si="0"/>
        <v>1</v>
      </c>
      <c r="AM12" s="11">
        <v>32000</v>
      </c>
      <c r="AN12" s="12">
        <f t="shared" si="1"/>
        <v>32000</v>
      </c>
    </row>
    <row r="13" spans="1:40">
      <c r="A13" s="48" t="s">
        <v>226</v>
      </c>
      <c r="B13" s="35">
        <v>2</v>
      </c>
      <c r="C13" s="36" t="s">
        <v>162</v>
      </c>
      <c r="D13" s="36" t="s">
        <v>928</v>
      </c>
      <c r="E13" s="36" t="s">
        <v>37</v>
      </c>
      <c r="F13" s="35" t="s">
        <v>933</v>
      </c>
      <c r="G13" s="34">
        <v>1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10">
        <f t="shared" si="0"/>
        <v>1</v>
      </c>
      <c r="AM13" s="11">
        <v>32000</v>
      </c>
      <c r="AN13" s="12">
        <f t="shared" si="1"/>
        <v>32000</v>
      </c>
    </row>
    <row r="14" spans="1:40">
      <c r="A14" s="48" t="s">
        <v>226</v>
      </c>
      <c r="B14" s="35">
        <v>11</v>
      </c>
      <c r="C14" s="36" t="s">
        <v>332</v>
      </c>
      <c r="D14" s="36" t="s">
        <v>13</v>
      </c>
      <c r="E14" s="36" t="s">
        <v>169</v>
      </c>
      <c r="F14" s="35" t="s">
        <v>983</v>
      </c>
      <c r="G14" s="34">
        <v>1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10">
        <f t="shared" si="0"/>
        <v>1</v>
      </c>
      <c r="AM14" s="11">
        <v>32000</v>
      </c>
      <c r="AN14" s="12">
        <f t="shared" si="1"/>
        <v>32000</v>
      </c>
    </row>
    <row r="15" spans="1:40">
      <c r="A15" s="48" t="s">
        <v>226</v>
      </c>
      <c r="B15" s="35">
        <v>11</v>
      </c>
      <c r="C15" s="36" t="s">
        <v>224</v>
      </c>
      <c r="D15" s="36" t="s">
        <v>916</v>
      </c>
      <c r="E15" s="36" t="s">
        <v>37</v>
      </c>
      <c r="F15" s="35" t="s">
        <v>917</v>
      </c>
      <c r="G15" s="34">
        <v>1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10">
        <f t="shared" si="0"/>
        <v>1</v>
      </c>
      <c r="AM15" s="11">
        <v>32000</v>
      </c>
      <c r="AN15" s="12">
        <f t="shared" si="1"/>
        <v>32000</v>
      </c>
    </row>
    <row r="16" spans="1:40">
      <c r="A16" s="48" t="s">
        <v>226</v>
      </c>
      <c r="B16" s="35">
        <v>12</v>
      </c>
      <c r="C16" s="36" t="s">
        <v>984</v>
      </c>
      <c r="D16" s="36" t="s">
        <v>67</v>
      </c>
      <c r="E16" s="36" t="s">
        <v>21</v>
      </c>
      <c r="F16" s="35" t="s">
        <v>934</v>
      </c>
      <c r="G16" s="34">
        <v>1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10">
        <f t="shared" si="0"/>
        <v>1</v>
      </c>
      <c r="AM16" s="11">
        <v>32000</v>
      </c>
      <c r="AN16" s="12">
        <f t="shared" si="1"/>
        <v>32000</v>
      </c>
    </row>
    <row r="17" spans="1:40">
      <c r="A17" s="48" t="s">
        <v>226</v>
      </c>
      <c r="B17" s="35">
        <v>13</v>
      </c>
      <c r="C17" s="36" t="s">
        <v>966</v>
      </c>
      <c r="D17" s="36" t="s">
        <v>47</v>
      </c>
      <c r="E17" s="36" t="s">
        <v>133</v>
      </c>
      <c r="F17" s="35" t="s">
        <v>967</v>
      </c>
      <c r="G17" s="34">
        <v>1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10">
        <f t="shared" si="0"/>
        <v>1</v>
      </c>
      <c r="AM17" s="11">
        <v>32000</v>
      </c>
      <c r="AN17" s="12">
        <f t="shared" si="1"/>
        <v>32000</v>
      </c>
    </row>
    <row r="18" spans="1:40">
      <c r="A18" s="48" t="s">
        <v>226</v>
      </c>
      <c r="B18" s="35">
        <v>13</v>
      </c>
      <c r="C18" s="36" t="s">
        <v>985</v>
      </c>
      <c r="D18" s="36" t="s">
        <v>271</v>
      </c>
      <c r="E18" s="36" t="s">
        <v>266</v>
      </c>
      <c r="F18" s="35" t="s">
        <v>968</v>
      </c>
      <c r="G18" s="34">
        <v>1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10">
        <f t="shared" si="0"/>
        <v>1</v>
      </c>
      <c r="AM18" s="11">
        <v>32000</v>
      </c>
      <c r="AN18" s="12">
        <f t="shared" si="1"/>
        <v>32000</v>
      </c>
    </row>
    <row r="19" spans="1:40">
      <c r="A19" s="48" t="s">
        <v>226</v>
      </c>
      <c r="B19" s="35">
        <v>15</v>
      </c>
      <c r="C19" s="36" t="s">
        <v>332</v>
      </c>
      <c r="D19" s="36" t="s">
        <v>361</v>
      </c>
      <c r="E19" s="36" t="s">
        <v>184</v>
      </c>
      <c r="F19" s="35" t="s">
        <v>939</v>
      </c>
      <c r="G19" s="34">
        <v>1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10">
        <f t="shared" si="0"/>
        <v>1</v>
      </c>
      <c r="AM19" s="11">
        <v>32000</v>
      </c>
      <c r="AN19" s="12">
        <f t="shared" si="1"/>
        <v>32000</v>
      </c>
    </row>
    <row r="20" spans="1:40">
      <c r="A20" s="48" t="s">
        <v>226</v>
      </c>
      <c r="B20" s="35">
        <v>15</v>
      </c>
      <c r="C20" s="36" t="s">
        <v>940</v>
      </c>
      <c r="D20" s="36" t="s">
        <v>941</v>
      </c>
      <c r="E20" s="36" t="s">
        <v>135</v>
      </c>
      <c r="F20" s="35" t="s">
        <v>942</v>
      </c>
      <c r="G20" s="34">
        <v>1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10">
        <f t="shared" si="0"/>
        <v>1</v>
      </c>
      <c r="AM20" s="11">
        <v>32000</v>
      </c>
      <c r="AN20" s="12">
        <f t="shared" si="1"/>
        <v>32000</v>
      </c>
    </row>
    <row r="21" spans="1:40">
      <c r="A21" s="54" t="s">
        <v>226</v>
      </c>
      <c r="B21" s="35">
        <v>17</v>
      </c>
      <c r="C21" s="36" t="s">
        <v>173</v>
      </c>
      <c r="D21" s="36" t="s">
        <v>325</v>
      </c>
      <c r="E21" s="36" t="s">
        <v>606</v>
      </c>
      <c r="F21" s="35" t="s">
        <v>969</v>
      </c>
      <c r="G21" s="34">
        <v>1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10">
        <f t="shared" si="0"/>
        <v>1</v>
      </c>
      <c r="AM21" s="12">
        <v>32000</v>
      </c>
      <c r="AN21" s="12">
        <f t="shared" si="1"/>
        <v>32000</v>
      </c>
    </row>
    <row r="22" spans="1:40">
      <c r="A22" s="54" t="s">
        <v>226</v>
      </c>
      <c r="B22" s="35">
        <v>17</v>
      </c>
      <c r="C22" s="36" t="s">
        <v>743</v>
      </c>
      <c r="D22" s="36" t="s">
        <v>325</v>
      </c>
      <c r="E22" s="36" t="s">
        <v>970</v>
      </c>
      <c r="F22" s="35" t="s">
        <v>971</v>
      </c>
      <c r="G22" s="34">
        <v>1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10">
        <f t="shared" si="0"/>
        <v>1</v>
      </c>
      <c r="AM22" s="12">
        <v>32000</v>
      </c>
      <c r="AN22" s="12">
        <f t="shared" si="1"/>
        <v>32000</v>
      </c>
    </row>
    <row r="23" spans="1:40">
      <c r="A23" s="54" t="s">
        <v>226</v>
      </c>
      <c r="B23" s="35">
        <v>19</v>
      </c>
      <c r="C23" s="36" t="s">
        <v>963</v>
      </c>
      <c r="D23" s="36" t="s">
        <v>963</v>
      </c>
      <c r="E23" s="36" t="s">
        <v>606</v>
      </c>
      <c r="F23" s="35" t="s">
        <v>964</v>
      </c>
      <c r="G23" s="34">
        <v>1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10">
        <f t="shared" ref="AL23:AL47" si="2">SUM(G23:AK23)</f>
        <v>1</v>
      </c>
      <c r="AM23" s="12">
        <v>32000</v>
      </c>
      <c r="AN23" s="12">
        <f t="shared" ref="AN23:AN47" si="3">AM23*AL23</f>
        <v>32000</v>
      </c>
    </row>
    <row r="24" spans="1:40">
      <c r="A24" s="54" t="s">
        <v>226</v>
      </c>
      <c r="B24" s="35">
        <v>19</v>
      </c>
      <c r="C24" s="36" t="s">
        <v>986</v>
      </c>
      <c r="D24" s="36" t="s">
        <v>960</v>
      </c>
      <c r="E24" s="36" t="s">
        <v>961</v>
      </c>
      <c r="F24" s="35" t="s">
        <v>962</v>
      </c>
      <c r="G24" s="34">
        <v>1</v>
      </c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10">
        <f t="shared" si="2"/>
        <v>1</v>
      </c>
      <c r="AM24" s="12">
        <v>32000</v>
      </c>
      <c r="AN24" s="12">
        <f t="shared" si="3"/>
        <v>32000</v>
      </c>
    </row>
    <row r="25" spans="1:40">
      <c r="A25" s="54" t="s">
        <v>226</v>
      </c>
      <c r="B25" s="35">
        <v>27</v>
      </c>
      <c r="C25" s="36" t="s">
        <v>123</v>
      </c>
      <c r="D25" s="36" t="s">
        <v>987</v>
      </c>
      <c r="E25" s="36" t="s">
        <v>725</v>
      </c>
      <c r="F25" s="35" t="s">
        <v>936</v>
      </c>
      <c r="G25" s="34">
        <v>1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10">
        <f t="shared" si="2"/>
        <v>1</v>
      </c>
      <c r="AM25" s="12">
        <v>32000</v>
      </c>
      <c r="AN25" s="12">
        <f t="shared" si="3"/>
        <v>32000</v>
      </c>
    </row>
    <row r="26" spans="1:40">
      <c r="A26" s="54" t="s">
        <v>226</v>
      </c>
      <c r="B26" s="35">
        <v>27</v>
      </c>
      <c r="C26" s="36" t="s">
        <v>988</v>
      </c>
      <c r="D26" s="36" t="s">
        <v>988</v>
      </c>
      <c r="E26" s="36" t="s">
        <v>9</v>
      </c>
      <c r="F26" s="35" t="s">
        <v>989</v>
      </c>
      <c r="G26" s="34">
        <v>1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10">
        <f t="shared" si="2"/>
        <v>1</v>
      </c>
      <c r="AM26" s="12">
        <v>32000</v>
      </c>
      <c r="AN26" s="12">
        <f t="shared" si="3"/>
        <v>32000</v>
      </c>
    </row>
    <row r="27" spans="1:40">
      <c r="A27" s="54" t="s">
        <v>226</v>
      </c>
      <c r="B27" s="35">
        <v>32</v>
      </c>
      <c r="C27" s="36" t="s">
        <v>990</v>
      </c>
      <c r="D27" s="36" t="s">
        <v>760</v>
      </c>
      <c r="E27" s="36" t="s">
        <v>991</v>
      </c>
      <c r="F27" s="35" t="s">
        <v>992</v>
      </c>
      <c r="G27" s="34">
        <v>1</v>
      </c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10">
        <f t="shared" si="2"/>
        <v>1</v>
      </c>
      <c r="AM27" s="12">
        <v>32000</v>
      </c>
      <c r="AN27" s="12">
        <f t="shared" si="3"/>
        <v>32000</v>
      </c>
    </row>
    <row r="28" spans="1:40">
      <c r="A28" s="54" t="s">
        <v>226</v>
      </c>
      <c r="B28" s="35">
        <v>35</v>
      </c>
      <c r="C28" s="36" t="s">
        <v>47</v>
      </c>
      <c r="D28" s="36" t="s">
        <v>993</v>
      </c>
      <c r="E28" s="36" t="s">
        <v>198</v>
      </c>
      <c r="F28" s="35" t="s">
        <v>994</v>
      </c>
      <c r="G28" s="34">
        <v>1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10">
        <f t="shared" si="2"/>
        <v>1</v>
      </c>
      <c r="AM28" s="12">
        <v>32000</v>
      </c>
      <c r="AN28" s="12">
        <f t="shared" si="3"/>
        <v>32000</v>
      </c>
    </row>
    <row r="29" spans="1:40">
      <c r="A29" s="54" t="s">
        <v>226</v>
      </c>
      <c r="B29" s="35">
        <v>39</v>
      </c>
      <c r="C29" s="36" t="s">
        <v>237</v>
      </c>
      <c r="D29" s="36" t="s">
        <v>47</v>
      </c>
      <c r="E29" s="36" t="s">
        <v>606</v>
      </c>
      <c r="F29" s="35" t="s">
        <v>914</v>
      </c>
      <c r="G29" s="34">
        <v>1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10">
        <f t="shared" si="2"/>
        <v>1</v>
      </c>
      <c r="AM29" s="12">
        <v>32000</v>
      </c>
      <c r="AN29" s="12">
        <f t="shared" si="3"/>
        <v>32000</v>
      </c>
    </row>
    <row r="30" spans="1:40">
      <c r="A30" s="54" t="s">
        <v>226</v>
      </c>
      <c r="B30" s="35">
        <v>39</v>
      </c>
      <c r="C30" s="36" t="s">
        <v>63</v>
      </c>
      <c r="D30" s="36" t="s">
        <v>236</v>
      </c>
      <c r="E30" s="36" t="s">
        <v>995</v>
      </c>
      <c r="F30" s="35" t="s">
        <v>915</v>
      </c>
      <c r="G30" s="34">
        <v>1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10">
        <f t="shared" si="2"/>
        <v>1</v>
      </c>
      <c r="AM30" s="12">
        <v>32000</v>
      </c>
      <c r="AN30" s="12">
        <f t="shared" si="3"/>
        <v>32000</v>
      </c>
    </row>
    <row r="31" spans="1:40">
      <c r="A31" s="48" t="s">
        <v>226</v>
      </c>
      <c r="B31" s="35">
        <v>65</v>
      </c>
      <c r="C31" s="36" t="s">
        <v>202</v>
      </c>
      <c r="D31" s="36" t="s">
        <v>19</v>
      </c>
      <c r="E31" s="36" t="s">
        <v>455</v>
      </c>
      <c r="F31" s="35" t="s">
        <v>996</v>
      </c>
      <c r="G31" s="34">
        <v>1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10">
        <f t="shared" si="2"/>
        <v>1</v>
      </c>
      <c r="AM31" s="11">
        <v>32000</v>
      </c>
      <c r="AN31" s="12">
        <f t="shared" si="3"/>
        <v>32000</v>
      </c>
    </row>
    <row r="32" spans="1:40">
      <c r="A32" s="48" t="s">
        <v>226</v>
      </c>
      <c r="B32" s="35">
        <v>65</v>
      </c>
      <c r="C32" s="36" t="s">
        <v>151</v>
      </c>
      <c r="D32" s="36" t="s">
        <v>151</v>
      </c>
      <c r="E32" s="36" t="s">
        <v>382</v>
      </c>
      <c r="F32" s="35" t="s">
        <v>997</v>
      </c>
      <c r="G32" s="34">
        <v>1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10">
        <f t="shared" si="2"/>
        <v>1</v>
      </c>
      <c r="AM32" s="11">
        <v>32000</v>
      </c>
      <c r="AN32" s="12">
        <f t="shared" si="3"/>
        <v>32000</v>
      </c>
    </row>
    <row r="33" spans="1:40">
      <c r="A33" s="48" t="s">
        <v>226</v>
      </c>
      <c r="B33" s="35">
        <v>66</v>
      </c>
      <c r="C33" s="36" t="s">
        <v>998</v>
      </c>
      <c r="D33" s="36" t="s">
        <v>123</v>
      </c>
      <c r="E33" s="36" t="s">
        <v>999</v>
      </c>
      <c r="F33" s="35" t="s">
        <v>1000</v>
      </c>
      <c r="G33" s="34">
        <v>1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10">
        <f t="shared" si="2"/>
        <v>1</v>
      </c>
      <c r="AM33" s="11">
        <v>32000</v>
      </c>
      <c r="AN33" s="12">
        <f t="shared" si="3"/>
        <v>32000</v>
      </c>
    </row>
    <row r="34" spans="1:40">
      <c r="A34" s="48" t="s">
        <v>226</v>
      </c>
      <c r="B34" s="35">
        <v>89</v>
      </c>
      <c r="C34" s="36" t="s">
        <v>383</v>
      </c>
      <c r="D34" s="36" t="s">
        <v>1001</v>
      </c>
      <c r="E34" s="36" t="s">
        <v>11</v>
      </c>
      <c r="F34" s="35" t="s">
        <v>1002</v>
      </c>
      <c r="G34" s="34">
        <v>1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10">
        <f t="shared" si="2"/>
        <v>1</v>
      </c>
      <c r="AM34" s="11">
        <v>32000</v>
      </c>
      <c r="AN34" s="12">
        <f t="shared" si="3"/>
        <v>32000</v>
      </c>
    </row>
    <row r="35" spans="1:40" ht="13.5" customHeight="1">
      <c r="A35" s="48" t="s">
        <v>226</v>
      </c>
      <c r="B35" s="35">
        <v>89</v>
      </c>
      <c r="C35" s="36" t="s">
        <v>206</v>
      </c>
      <c r="D35" s="36" t="s">
        <v>1003</v>
      </c>
      <c r="E35" s="36" t="s">
        <v>384</v>
      </c>
      <c r="F35" s="35" t="s">
        <v>1004</v>
      </c>
      <c r="G35" s="34">
        <v>1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10">
        <f t="shared" ref="AL35:AL37" si="4">SUM(G35:AK35)</f>
        <v>1</v>
      </c>
      <c r="AM35" s="11">
        <v>32000</v>
      </c>
      <c r="AN35" s="12">
        <f t="shared" ref="AN35:AN37" si="5">AM35*AL35</f>
        <v>32000</v>
      </c>
    </row>
    <row r="36" spans="1:40">
      <c r="A36" s="48" t="s">
        <v>226</v>
      </c>
      <c r="B36" s="35">
        <v>90</v>
      </c>
      <c r="C36" s="36" t="s">
        <v>47</v>
      </c>
      <c r="D36" s="36" t="s">
        <v>91</v>
      </c>
      <c r="E36" s="36" t="s">
        <v>198</v>
      </c>
      <c r="F36" s="35" t="s">
        <v>1005</v>
      </c>
      <c r="G36" s="34">
        <v>1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10">
        <f t="shared" si="4"/>
        <v>1</v>
      </c>
      <c r="AM36" s="11">
        <v>32000</v>
      </c>
      <c r="AN36" s="12">
        <f t="shared" si="5"/>
        <v>32000</v>
      </c>
    </row>
    <row r="37" spans="1:40" ht="13.5" thickBot="1">
      <c r="A37" s="60" t="s">
        <v>226</v>
      </c>
      <c r="B37" s="59">
        <v>90</v>
      </c>
      <c r="C37" s="38" t="s">
        <v>1006</v>
      </c>
      <c r="D37" s="38" t="s">
        <v>671</v>
      </c>
      <c r="E37" s="38" t="s">
        <v>64</v>
      </c>
      <c r="F37" s="59" t="s">
        <v>1007</v>
      </c>
      <c r="G37" s="39">
        <v>1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13">
        <f t="shared" si="4"/>
        <v>1</v>
      </c>
      <c r="AM37" s="14">
        <v>32000</v>
      </c>
      <c r="AN37" s="14">
        <f t="shared" si="5"/>
        <v>32000</v>
      </c>
    </row>
    <row r="38" spans="1:40">
      <c r="A38" s="48" t="s">
        <v>226</v>
      </c>
      <c r="B38" s="32">
        <v>0</v>
      </c>
      <c r="C38" s="33" t="s">
        <v>1008</v>
      </c>
      <c r="D38" s="33" t="s">
        <v>170</v>
      </c>
      <c r="E38" s="33" t="s">
        <v>1009</v>
      </c>
      <c r="F38" s="32" t="s">
        <v>1010</v>
      </c>
      <c r="G38" s="46"/>
      <c r="H38" s="34">
        <v>1</v>
      </c>
      <c r="I38" s="34">
        <v>1</v>
      </c>
      <c r="J38" s="34">
        <v>1</v>
      </c>
      <c r="K38" s="34">
        <v>1</v>
      </c>
      <c r="L38" s="34">
        <v>1</v>
      </c>
      <c r="M38" s="34">
        <v>1</v>
      </c>
      <c r="N38" s="34">
        <v>1</v>
      </c>
      <c r="O38" s="34">
        <v>1</v>
      </c>
      <c r="P38" s="34">
        <v>1</v>
      </c>
      <c r="Q38" s="34">
        <v>1</v>
      </c>
      <c r="R38" s="34">
        <v>1</v>
      </c>
      <c r="S38" s="34">
        <v>1</v>
      </c>
      <c r="T38" s="34">
        <v>1</v>
      </c>
      <c r="U38" s="34">
        <v>1</v>
      </c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2">
        <f t="shared" si="2"/>
        <v>14</v>
      </c>
      <c r="AM38" s="11">
        <v>32000</v>
      </c>
      <c r="AN38" s="11">
        <f t="shared" si="3"/>
        <v>448000</v>
      </c>
    </row>
    <row r="39" spans="1:40">
      <c r="A39" s="48" t="s">
        <v>226</v>
      </c>
      <c r="B39" s="35">
        <v>0</v>
      </c>
      <c r="C39" s="36" t="s">
        <v>490</v>
      </c>
      <c r="D39" s="36" t="s">
        <v>1011</v>
      </c>
      <c r="E39" s="36" t="s">
        <v>137</v>
      </c>
      <c r="F39" s="35" t="s">
        <v>1012</v>
      </c>
      <c r="G39" s="46"/>
      <c r="H39" s="34">
        <v>1</v>
      </c>
      <c r="I39" s="34">
        <v>1</v>
      </c>
      <c r="J39" s="34">
        <v>1</v>
      </c>
      <c r="K39" s="34">
        <v>1</v>
      </c>
      <c r="L39" s="34">
        <v>1</v>
      </c>
      <c r="M39" s="34">
        <v>1</v>
      </c>
      <c r="N39" s="34">
        <v>1</v>
      </c>
      <c r="O39" s="34">
        <v>1</v>
      </c>
      <c r="P39" s="34">
        <v>1</v>
      </c>
      <c r="Q39" s="34">
        <v>1</v>
      </c>
      <c r="R39" s="34">
        <v>1</v>
      </c>
      <c r="S39" s="34">
        <v>1</v>
      </c>
      <c r="T39" s="34">
        <v>1</v>
      </c>
      <c r="U39" s="34">
        <v>1</v>
      </c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10">
        <f t="shared" si="2"/>
        <v>14</v>
      </c>
      <c r="AM39" s="11">
        <v>32000</v>
      </c>
      <c r="AN39" s="12">
        <f t="shared" si="3"/>
        <v>448000</v>
      </c>
    </row>
    <row r="40" spans="1:40">
      <c r="A40" s="48" t="s">
        <v>226</v>
      </c>
      <c r="B40" s="35">
        <v>1</v>
      </c>
      <c r="C40" s="36" t="s">
        <v>183</v>
      </c>
      <c r="D40" s="36" t="s">
        <v>221</v>
      </c>
      <c r="E40" s="36" t="s">
        <v>15</v>
      </c>
      <c r="F40" s="35" t="s">
        <v>1013</v>
      </c>
      <c r="G40" s="46"/>
      <c r="H40" s="34">
        <v>1</v>
      </c>
      <c r="I40" s="34">
        <v>1</v>
      </c>
      <c r="J40" s="34">
        <v>1</v>
      </c>
      <c r="K40" s="34">
        <v>1</v>
      </c>
      <c r="L40" s="34">
        <v>1</v>
      </c>
      <c r="M40" s="34">
        <v>1</v>
      </c>
      <c r="N40" s="34">
        <v>1</v>
      </c>
      <c r="O40" s="34">
        <v>1</v>
      </c>
      <c r="P40" s="34">
        <v>1</v>
      </c>
      <c r="Q40" s="34">
        <v>1</v>
      </c>
      <c r="R40" s="34">
        <v>1</v>
      </c>
      <c r="S40" s="34">
        <v>1</v>
      </c>
      <c r="T40" s="34">
        <v>1</v>
      </c>
      <c r="U40" s="34">
        <v>1</v>
      </c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10">
        <f t="shared" si="2"/>
        <v>14</v>
      </c>
      <c r="AM40" s="11">
        <v>32000</v>
      </c>
      <c r="AN40" s="12">
        <f t="shared" si="3"/>
        <v>448000</v>
      </c>
    </row>
    <row r="41" spans="1:40">
      <c r="A41" s="48" t="s">
        <v>226</v>
      </c>
      <c r="B41" s="35">
        <v>2</v>
      </c>
      <c r="C41" s="36" t="s">
        <v>1008</v>
      </c>
      <c r="D41" s="36" t="s">
        <v>170</v>
      </c>
      <c r="E41" s="36" t="s">
        <v>43</v>
      </c>
      <c r="F41" s="35" t="s">
        <v>1014</v>
      </c>
      <c r="G41" s="46"/>
      <c r="H41" s="34">
        <v>1</v>
      </c>
      <c r="I41" s="34">
        <v>1</v>
      </c>
      <c r="J41" s="34">
        <v>1</v>
      </c>
      <c r="K41" s="34">
        <v>1</v>
      </c>
      <c r="L41" s="34">
        <v>1</v>
      </c>
      <c r="M41" s="34">
        <v>1</v>
      </c>
      <c r="N41" s="34">
        <v>1</v>
      </c>
      <c r="O41" s="34">
        <v>1</v>
      </c>
      <c r="P41" s="34">
        <v>1</v>
      </c>
      <c r="Q41" s="34">
        <v>1</v>
      </c>
      <c r="R41" s="34">
        <v>1</v>
      </c>
      <c r="S41" s="34">
        <v>1</v>
      </c>
      <c r="T41" s="34">
        <v>1</v>
      </c>
      <c r="U41" s="34">
        <v>1</v>
      </c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10">
        <f t="shared" si="2"/>
        <v>14</v>
      </c>
      <c r="AM41" s="11">
        <v>32000</v>
      </c>
      <c r="AN41" s="12">
        <f t="shared" si="3"/>
        <v>448000</v>
      </c>
    </row>
    <row r="42" spans="1:40">
      <c r="A42" s="48" t="s">
        <v>226</v>
      </c>
      <c r="B42" s="35">
        <v>2</v>
      </c>
      <c r="C42" s="36" t="s">
        <v>312</v>
      </c>
      <c r="D42" s="36" t="s">
        <v>222</v>
      </c>
      <c r="E42" s="36" t="s">
        <v>1015</v>
      </c>
      <c r="F42" s="35" t="s">
        <v>1016</v>
      </c>
      <c r="G42" s="46"/>
      <c r="H42" s="34">
        <v>1</v>
      </c>
      <c r="I42" s="34">
        <v>1</v>
      </c>
      <c r="J42" s="34">
        <v>1</v>
      </c>
      <c r="K42" s="34">
        <v>1</v>
      </c>
      <c r="L42" s="34">
        <v>1</v>
      </c>
      <c r="M42" s="34">
        <v>1</v>
      </c>
      <c r="N42" s="34">
        <v>1</v>
      </c>
      <c r="O42" s="34">
        <v>1</v>
      </c>
      <c r="P42" s="34">
        <v>1</v>
      </c>
      <c r="Q42" s="34">
        <v>1</v>
      </c>
      <c r="R42" s="34">
        <v>1</v>
      </c>
      <c r="S42" s="34">
        <v>1</v>
      </c>
      <c r="T42" s="34">
        <v>1</v>
      </c>
      <c r="U42" s="34">
        <v>1</v>
      </c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10">
        <f t="shared" si="2"/>
        <v>14</v>
      </c>
      <c r="AM42" s="11">
        <v>32000</v>
      </c>
      <c r="AN42" s="12">
        <f t="shared" si="3"/>
        <v>448000</v>
      </c>
    </row>
    <row r="43" spans="1:40">
      <c r="A43" s="48" t="s">
        <v>226</v>
      </c>
      <c r="B43" s="35">
        <v>3</v>
      </c>
      <c r="C43" s="36" t="s">
        <v>1017</v>
      </c>
      <c r="D43" s="36" t="s">
        <v>473</v>
      </c>
      <c r="E43" s="36" t="s">
        <v>1018</v>
      </c>
      <c r="F43" s="35" t="s">
        <v>1019</v>
      </c>
      <c r="G43" s="46"/>
      <c r="H43" s="34">
        <v>1</v>
      </c>
      <c r="I43" s="34">
        <v>1</v>
      </c>
      <c r="J43" s="34">
        <v>1</v>
      </c>
      <c r="K43" s="34">
        <v>1</v>
      </c>
      <c r="L43" s="34">
        <v>1</v>
      </c>
      <c r="M43" s="34">
        <v>1</v>
      </c>
      <c r="N43" s="34">
        <v>1</v>
      </c>
      <c r="O43" s="34">
        <v>1</v>
      </c>
      <c r="P43" s="34">
        <v>1</v>
      </c>
      <c r="Q43" s="34">
        <v>1</v>
      </c>
      <c r="R43" s="34">
        <v>1</v>
      </c>
      <c r="S43" s="34">
        <v>1</v>
      </c>
      <c r="T43" s="34">
        <v>1</v>
      </c>
      <c r="U43" s="34">
        <v>1</v>
      </c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10">
        <f t="shared" si="2"/>
        <v>14</v>
      </c>
      <c r="AM43" s="11">
        <v>32000</v>
      </c>
      <c r="AN43" s="12">
        <f t="shared" si="3"/>
        <v>448000</v>
      </c>
    </row>
    <row r="44" spans="1:40">
      <c r="A44" s="48" t="s">
        <v>226</v>
      </c>
      <c r="B44" s="35">
        <v>3</v>
      </c>
      <c r="C44" s="36" t="s">
        <v>1020</v>
      </c>
      <c r="D44" s="36" t="s">
        <v>1021</v>
      </c>
      <c r="E44" s="36" t="s">
        <v>11</v>
      </c>
      <c r="F44" s="35" t="s">
        <v>1022</v>
      </c>
      <c r="G44" s="46"/>
      <c r="H44" s="34">
        <v>1</v>
      </c>
      <c r="I44" s="34">
        <v>1</v>
      </c>
      <c r="J44" s="34">
        <v>1</v>
      </c>
      <c r="K44" s="34">
        <v>1</v>
      </c>
      <c r="L44" s="34">
        <v>1</v>
      </c>
      <c r="M44" s="34">
        <v>1</v>
      </c>
      <c r="N44" s="34">
        <v>1</v>
      </c>
      <c r="O44" s="34">
        <v>1</v>
      </c>
      <c r="P44" s="34">
        <v>1</v>
      </c>
      <c r="Q44" s="34">
        <v>1</v>
      </c>
      <c r="R44" s="34">
        <v>1</v>
      </c>
      <c r="S44" s="34">
        <v>1</v>
      </c>
      <c r="T44" s="34">
        <v>1</v>
      </c>
      <c r="U44" s="34">
        <v>1</v>
      </c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10">
        <f t="shared" si="2"/>
        <v>14</v>
      </c>
      <c r="AM44" s="11">
        <v>32000</v>
      </c>
      <c r="AN44" s="12">
        <f t="shared" si="3"/>
        <v>448000</v>
      </c>
    </row>
    <row r="45" spans="1:40">
      <c r="A45" s="48" t="s">
        <v>226</v>
      </c>
      <c r="B45" s="35">
        <v>6</v>
      </c>
      <c r="C45" s="36" t="s">
        <v>1023</v>
      </c>
      <c r="D45" s="36" t="s">
        <v>464</v>
      </c>
      <c r="E45" s="36" t="s">
        <v>24</v>
      </c>
      <c r="F45" s="35">
        <v>450991894</v>
      </c>
      <c r="G45" s="46"/>
      <c r="H45" s="34">
        <v>1</v>
      </c>
      <c r="I45" s="34">
        <v>1</v>
      </c>
      <c r="J45" s="34">
        <v>1</v>
      </c>
      <c r="K45" s="34">
        <v>1</v>
      </c>
      <c r="L45" s="34">
        <v>1</v>
      </c>
      <c r="M45" s="34">
        <v>1</v>
      </c>
      <c r="N45" s="34">
        <v>1</v>
      </c>
      <c r="O45" s="34">
        <v>1</v>
      </c>
      <c r="P45" s="34">
        <v>1</v>
      </c>
      <c r="Q45" s="34">
        <v>1</v>
      </c>
      <c r="R45" s="34">
        <v>1</v>
      </c>
      <c r="S45" s="34">
        <v>1</v>
      </c>
      <c r="T45" s="34">
        <v>1</v>
      </c>
      <c r="U45" s="34">
        <v>1</v>
      </c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10">
        <f t="shared" si="2"/>
        <v>14</v>
      </c>
      <c r="AM45" s="11">
        <v>32000</v>
      </c>
      <c r="AN45" s="12">
        <f t="shared" si="3"/>
        <v>448000</v>
      </c>
    </row>
    <row r="46" spans="1:40">
      <c r="A46" s="48" t="s">
        <v>226</v>
      </c>
      <c r="B46" s="35">
        <v>10</v>
      </c>
      <c r="C46" s="36" t="s">
        <v>736</v>
      </c>
      <c r="D46" s="36" t="s">
        <v>634</v>
      </c>
      <c r="E46" s="36" t="s">
        <v>207</v>
      </c>
      <c r="F46" s="35" t="s">
        <v>1024</v>
      </c>
      <c r="G46" s="46"/>
      <c r="H46" s="34">
        <v>1</v>
      </c>
      <c r="I46" s="34">
        <v>1</v>
      </c>
      <c r="J46" s="34">
        <v>1</v>
      </c>
      <c r="K46" s="34">
        <v>1</v>
      </c>
      <c r="L46" s="34">
        <v>1</v>
      </c>
      <c r="M46" s="34">
        <v>1</v>
      </c>
      <c r="N46" s="34">
        <v>1</v>
      </c>
      <c r="O46" s="34">
        <v>1</v>
      </c>
      <c r="P46" s="34">
        <v>1</v>
      </c>
      <c r="Q46" s="34">
        <v>1</v>
      </c>
      <c r="R46" s="34">
        <v>1</v>
      </c>
      <c r="S46" s="34">
        <v>1</v>
      </c>
      <c r="T46" s="34">
        <v>1</v>
      </c>
      <c r="U46" s="34">
        <v>1</v>
      </c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10">
        <f t="shared" si="2"/>
        <v>14</v>
      </c>
      <c r="AM46" s="11">
        <v>32000</v>
      </c>
      <c r="AN46" s="12">
        <f t="shared" si="3"/>
        <v>448000</v>
      </c>
    </row>
    <row r="47" spans="1:40">
      <c r="A47" s="48" t="s">
        <v>226</v>
      </c>
      <c r="B47" s="35">
        <v>10</v>
      </c>
      <c r="C47" s="36" t="s">
        <v>156</v>
      </c>
      <c r="D47" s="36" t="s">
        <v>157</v>
      </c>
      <c r="E47" s="36" t="s">
        <v>9</v>
      </c>
      <c r="F47" s="35" t="s">
        <v>1025</v>
      </c>
      <c r="G47" s="46"/>
      <c r="H47" s="34">
        <v>1</v>
      </c>
      <c r="I47" s="34">
        <v>1</v>
      </c>
      <c r="J47" s="34">
        <v>1</v>
      </c>
      <c r="K47" s="34">
        <v>1</v>
      </c>
      <c r="L47" s="34">
        <v>1</v>
      </c>
      <c r="M47" s="34">
        <v>1</v>
      </c>
      <c r="N47" s="34">
        <v>1</v>
      </c>
      <c r="O47" s="34">
        <v>1</v>
      </c>
      <c r="P47" s="34">
        <v>1</v>
      </c>
      <c r="Q47" s="34">
        <v>1</v>
      </c>
      <c r="R47" s="34">
        <v>1</v>
      </c>
      <c r="S47" s="34">
        <v>1</v>
      </c>
      <c r="T47" s="34">
        <v>1</v>
      </c>
      <c r="U47" s="34">
        <v>1</v>
      </c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10">
        <f t="shared" si="2"/>
        <v>14</v>
      </c>
      <c r="AM47" s="11">
        <v>32000</v>
      </c>
      <c r="AN47" s="12">
        <f t="shared" si="3"/>
        <v>448000</v>
      </c>
    </row>
    <row r="48" spans="1:40">
      <c r="A48" s="48" t="s">
        <v>226</v>
      </c>
      <c r="B48" s="35">
        <v>11</v>
      </c>
      <c r="C48" s="36" t="s">
        <v>1026</v>
      </c>
      <c r="D48" s="36" t="s">
        <v>1027</v>
      </c>
      <c r="E48" s="36" t="s">
        <v>40</v>
      </c>
      <c r="F48" s="35" t="s">
        <v>1028</v>
      </c>
      <c r="G48" s="46"/>
      <c r="H48" s="34">
        <v>1</v>
      </c>
      <c r="I48" s="34">
        <v>1</v>
      </c>
      <c r="J48" s="34">
        <v>1</v>
      </c>
      <c r="K48" s="34">
        <v>1</v>
      </c>
      <c r="L48" s="34">
        <v>1</v>
      </c>
      <c r="M48" s="34">
        <v>1</v>
      </c>
      <c r="N48" s="34">
        <v>1</v>
      </c>
      <c r="O48" s="34">
        <v>1</v>
      </c>
      <c r="P48" s="34">
        <v>1</v>
      </c>
      <c r="Q48" s="34">
        <v>1</v>
      </c>
      <c r="R48" s="34">
        <v>1</v>
      </c>
      <c r="S48" s="34">
        <v>1</v>
      </c>
      <c r="T48" s="34">
        <v>1</v>
      </c>
      <c r="U48" s="34">
        <v>1</v>
      </c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10">
        <f t="shared" ref="AL48:AL61" si="6">SUM(G48:AK48)</f>
        <v>14</v>
      </c>
      <c r="AM48" s="11">
        <v>32000</v>
      </c>
      <c r="AN48" s="12">
        <f t="shared" ref="AN48:AN61" si="7">AM48*AL48</f>
        <v>448000</v>
      </c>
    </row>
    <row r="49" spans="1:40">
      <c r="A49" s="48" t="s">
        <v>226</v>
      </c>
      <c r="B49" s="35">
        <v>11</v>
      </c>
      <c r="C49" s="36" t="s">
        <v>273</v>
      </c>
      <c r="D49" s="36" t="s">
        <v>67</v>
      </c>
      <c r="E49" s="36" t="s">
        <v>1029</v>
      </c>
      <c r="F49" s="35" t="s">
        <v>1030</v>
      </c>
      <c r="G49" s="46"/>
      <c r="H49" s="34">
        <v>1</v>
      </c>
      <c r="I49" s="34">
        <v>1</v>
      </c>
      <c r="J49" s="34">
        <v>1</v>
      </c>
      <c r="K49" s="34">
        <v>1</v>
      </c>
      <c r="L49" s="34">
        <v>1</v>
      </c>
      <c r="M49" s="34">
        <v>1</v>
      </c>
      <c r="N49" s="34">
        <v>1</v>
      </c>
      <c r="O49" s="34">
        <v>1</v>
      </c>
      <c r="P49" s="34">
        <v>1</v>
      </c>
      <c r="Q49" s="34">
        <v>1</v>
      </c>
      <c r="R49" s="34">
        <v>1</v>
      </c>
      <c r="S49" s="34">
        <v>1</v>
      </c>
      <c r="T49" s="34">
        <v>1</v>
      </c>
      <c r="U49" s="34">
        <v>1</v>
      </c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10">
        <f t="shared" si="6"/>
        <v>14</v>
      </c>
      <c r="AM49" s="11">
        <v>32000</v>
      </c>
      <c r="AN49" s="12">
        <f t="shared" si="7"/>
        <v>448000</v>
      </c>
    </row>
    <row r="50" spans="1:40">
      <c r="A50" s="48" t="s">
        <v>226</v>
      </c>
      <c r="B50" s="35">
        <v>12</v>
      </c>
      <c r="C50" s="36" t="s">
        <v>1031</v>
      </c>
      <c r="D50" s="36" t="s">
        <v>361</v>
      </c>
      <c r="E50" s="36" t="s">
        <v>821</v>
      </c>
      <c r="F50" s="35" t="s">
        <v>1032</v>
      </c>
      <c r="G50" s="46"/>
      <c r="H50" s="34">
        <v>1</v>
      </c>
      <c r="I50" s="34">
        <v>1</v>
      </c>
      <c r="J50" s="34">
        <v>1</v>
      </c>
      <c r="K50" s="34">
        <v>1</v>
      </c>
      <c r="L50" s="34">
        <v>1</v>
      </c>
      <c r="M50" s="34">
        <v>1</v>
      </c>
      <c r="N50" s="34">
        <v>1</v>
      </c>
      <c r="O50" s="34">
        <v>1</v>
      </c>
      <c r="P50" s="34">
        <v>1</v>
      </c>
      <c r="Q50" s="34">
        <v>1</v>
      </c>
      <c r="R50" s="34">
        <v>1</v>
      </c>
      <c r="S50" s="34">
        <v>1</v>
      </c>
      <c r="T50" s="34">
        <v>1</v>
      </c>
      <c r="U50" s="34">
        <v>1</v>
      </c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10">
        <f t="shared" si="6"/>
        <v>14</v>
      </c>
      <c r="AM50" s="11">
        <v>32000</v>
      </c>
      <c r="AN50" s="12">
        <f t="shared" si="7"/>
        <v>448000</v>
      </c>
    </row>
    <row r="51" spans="1:40">
      <c r="A51" s="48" t="s">
        <v>226</v>
      </c>
      <c r="B51" s="35">
        <v>12</v>
      </c>
      <c r="C51" s="36" t="s">
        <v>94</v>
      </c>
      <c r="D51" s="36" t="s">
        <v>650</v>
      </c>
      <c r="E51" s="36" t="s">
        <v>143</v>
      </c>
      <c r="F51" s="35" t="s">
        <v>1033</v>
      </c>
      <c r="G51" s="46"/>
      <c r="H51" s="34">
        <v>1</v>
      </c>
      <c r="I51" s="34">
        <v>1</v>
      </c>
      <c r="J51" s="34">
        <v>1</v>
      </c>
      <c r="K51" s="34">
        <v>1</v>
      </c>
      <c r="L51" s="34">
        <v>1</v>
      </c>
      <c r="M51" s="34">
        <v>1</v>
      </c>
      <c r="N51" s="34">
        <v>1</v>
      </c>
      <c r="O51" s="34">
        <v>1</v>
      </c>
      <c r="P51" s="34">
        <v>1</v>
      </c>
      <c r="Q51" s="34">
        <v>1</v>
      </c>
      <c r="R51" s="34">
        <v>1</v>
      </c>
      <c r="S51" s="34">
        <v>1</v>
      </c>
      <c r="T51" s="34">
        <v>1</v>
      </c>
      <c r="U51" s="34">
        <v>1</v>
      </c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10">
        <f t="shared" si="6"/>
        <v>14</v>
      </c>
      <c r="AM51" s="11">
        <v>32000</v>
      </c>
      <c r="AN51" s="12">
        <f t="shared" si="7"/>
        <v>448000</v>
      </c>
    </row>
    <row r="52" spans="1:40">
      <c r="A52" s="48" t="s">
        <v>226</v>
      </c>
      <c r="B52" s="35">
        <v>13</v>
      </c>
      <c r="C52" s="36" t="s">
        <v>949</v>
      </c>
      <c r="D52" s="36" t="s">
        <v>142</v>
      </c>
      <c r="E52" s="36" t="s">
        <v>144</v>
      </c>
      <c r="F52" s="35" t="s">
        <v>1034</v>
      </c>
      <c r="G52" s="46"/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34">
        <v>1</v>
      </c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10">
        <f t="shared" si="6"/>
        <v>14</v>
      </c>
      <c r="AM52" s="11">
        <v>32000</v>
      </c>
      <c r="AN52" s="12">
        <f t="shared" si="7"/>
        <v>448000</v>
      </c>
    </row>
    <row r="53" spans="1:40">
      <c r="A53" s="48" t="s">
        <v>226</v>
      </c>
      <c r="B53" s="35">
        <v>13</v>
      </c>
      <c r="C53" s="36" t="s">
        <v>13</v>
      </c>
      <c r="D53" s="36" t="s">
        <v>119</v>
      </c>
      <c r="E53" s="36" t="s">
        <v>133</v>
      </c>
      <c r="F53" s="35" t="s">
        <v>1035</v>
      </c>
      <c r="G53" s="46"/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1</v>
      </c>
      <c r="O53" s="34">
        <v>1</v>
      </c>
      <c r="P53" s="34">
        <v>1</v>
      </c>
      <c r="Q53" s="34">
        <v>1</v>
      </c>
      <c r="R53" s="34">
        <v>1</v>
      </c>
      <c r="S53" s="34">
        <v>1</v>
      </c>
      <c r="T53" s="34">
        <v>1</v>
      </c>
      <c r="U53" s="34">
        <v>1</v>
      </c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10">
        <f t="shared" si="6"/>
        <v>14</v>
      </c>
      <c r="AM53" s="11">
        <v>32000</v>
      </c>
      <c r="AN53" s="12">
        <f t="shared" si="7"/>
        <v>448000</v>
      </c>
    </row>
    <row r="54" spans="1:40">
      <c r="A54" s="48" t="s">
        <v>226</v>
      </c>
      <c r="B54" s="35">
        <v>15</v>
      </c>
      <c r="C54" s="36" t="s">
        <v>16</v>
      </c>
      <c r="D54" s="36" t="s">
        <v>13</v>
      </c>
      <c r="E54" s="36" t="s">
        <v>15</v>
      </c>
      <c r="F54" s="35" t="s">
        <v>1036</v>
      </c>
      <c r="G54" s="46"/>
      <c r="H54" s="34">
        <v>1</v>
      </c>
      <c r="I54" s="34">
        <v>1</v>
      </c>
      <c r="J54" s="34">
        <v>1</v>
      </c>
      <c r="K54" s="34">
        <v>1</v>
      </c>
      <c r="L54" s="34">
        <v>1</v>
      </c>
      <c r="M54" s="34">
        <v>1</v>
      </c>
      <c r="N54" s="34">
        <v>1</v>
      </c>
      <c r="O54" s="34">
        <v>1</v>
      </c>
      <c r="P54" s="34">
        <v>1</v>
      </c>
      <c r="Q54" s="34">
        <v>1</v>
      </c>
      <c r="R54" s="34">
        <v>1</v>
      </c>
      <c r="S54" s="34">
        <v>1</v>
      </c>
      <c r="T54" s="34">
        <v>1</v>
      </c>
      <c r="U54" s="34">
        <v>1</v>
      </c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10">
        <f t="shared" si="6"/>
        <v>14</v>
      </c>
      <c r="AM54" s="11">
        <v>32000</v>
      </c>
      <c r="AN54" s="12">
        <f t="shared" si="7"/>
        <v>448000</v>
      </c>
    </row>
    <row r="55" spans="1:40">
      <c r="A55" s="48" t="s">
        <v>226</v>
      </c>
      <c r="B55" s="35">
        <v>17</v>
      </c>
      <c r="C55" s="36" t="s">
        <v>332</v>
      </c>
      <c r="D55" s="36" t="s">
        <v>696</v>
      </c>
      <c r="E55" s="36" t="s">
        <v>9</v>
      </c>
      <c r="F55" s="35" t="s">
        <v>1037</v>
      </c>
      <c r="G55" s="46"/>
      <c r="H55" s="34">
        <v>1</v>
      </c>
      <c r="I55" s="34">
        <v>1</v>
      </c>
      <c r="J55" s="34">
        <v>1</v>
      </c>
      <c r="K55" s="34">
        <v>1</v>
      </c>
      <c r="L55" s="34">
        <v>1</v>
      </c>
      <c r="M55" s="34">
        <v>1</v>
      </c>
      <c r="N55" s="34">
        <v>1</v>
      </c>
      <c r="O55" s="34">
        <v>1</v>
      </c>
      <c r="P55" s="34">
        <v>1</v>
      </c>
      <c r="Q55" s="34">
        <v>1</v>
      </c>
      <c r="R55" s="34">
        <v>1</v>
      </c>
      <c r="S55" s="34">
        <v>1</v>
      </c>
      <c r="T55" s="34">
        <v>1</v>
      </c>
      <c r="U55" s="34">
        <v>1</v>
      </c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10">
        <f t="shared" si="6"/>
        <v>14</v>
      </c>
      <c r="AM55" s="11">
        <v>32000</v>
      </c>
      <c r="AN55" s="12">
        <f t="shared" si="7"/>
        <v>448000</v>
      </c>
    </row>
    <row r="56" spans="1:40">
      <c r="A56" s="48" t="s">
        <v>226</v>
      </c>
      <c r="B56" s="35">
        <v>18</v>
      </c>
      <c r="C56" s="36" t="s">
        <v>426</v>
      </c>
      <c r="D56" s="36" t="s">
        <v>1038</v>
      </c>
      <c r="E56" s="36" t="s">
        <v>1039</v>
      </c>
      <c r="F56" s="35" t="s">
        <v>1040</v>
      </c>
      <c r="G56" s="46"/>
      <c r="H56" s="34">
        <v>1</v>
      </c>
      <c r="I56" s="34">
        <v>1</v>
      </c>
      <c r="J56" s="34">
        <v>1</v>
      </c>
      <c r="K56" s="34">
        <v>1</v>
      </c>
      <c r="L56" s="34">
        <v>1</v>
      </c>
      <c r="M56" s="34">
        <v>1</v>
      </c>
      <c r="N56" s="34">
        <v>1</v>
      </c>
      <c r="O56" s="34">
        <v>1</v>
      </c>
      <c r="P56" s="34">
        <v>1</v>
      </c>
      <c r="Q56" s="34">
        <v>1</v>
      </c>
      <c r="R56" s="34">
        <v>1</v>
      </c>
      <c r="S56" s="34">
        <v>1</v>
      </c>
      <c r="T56" s="34">
        <v>1</v>
      </c>
      <c r="U56" s="34">
        <v>1</v>
      </c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10">
        <f t="shared" si="6"/>
        <v>14</v>
      </c>
      <c r="AM56" s="11">
        <v>32000</v>
      </c>
      <c r="AN56" s="12">
        <f t="shared" si="7"/>
        <v>448000</v>
      </c>
    </row>
    <row r="57" spans="1:40">
      <c r="A57" s="48" t="s">
        <v>226</v>
      </c>
      <c r="B57" s="35">
        <v>19</v>
      </c>
      <c r="C57" s="36" t="s">
        <v>119</v>
      </c>
      <c r="D57" s="36" t="s">
        <v>120</v>
      </c>
      <c r="E57" s="36" t="s">
        <v>121</v>
      </c>
      <c r="F57" s="35" t="s">
        <v>1041</v>
      </c>
      <c r="G57" s="46"/>
      <c r="H57" s="46"/>
      <c r="I57" s="46"/>
      <c r="J57" s="34">
        <v>1</v>
      </c>
      <c r="K57" s="34">
        <v>1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  <c r="Q57" s="34">
        <v>1</v>
      </c>
      <c r="R57" s="34">
        <v>1</v>
      </c>
      <c r="S57" s="34">
        <v>1</v>
      </c>
      <c r="T57" s="34">
        <v>1</v>
      </c>
      <c r="U57" s="34">
        <v>1</v>
      </c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10">
        <f t="shared" si="6"/>
        <v>12</v>
      </c>
      <c r="AM57" s="11">
        <v>32000</v>
      </c>
      <c r="AN57" s="12">
        <f t="shared" si="7"/>
        <v>384000</v>
      </c>
    </row>
    <row r="58" spans="1:40">
      <c r="A58" s="48" t="s">
        <v>226</v>
      </c>
      <c r="B58" s="35">
        <v>19</v>
      </c>
      <c r="C58" s="36" t="s">
        <v>122</v>
      </c>
      <c r="D58" s="36" t="s">
        <v>123</v>
      </c>
      <c r="E58" s="36" t="s">
        <v>124</v>
      </c>
      <c r="F58" s="35" t="s">
        <v>1042</v>
      </c>
      <c r="G58" s="46"/>
      <c r="H58" s="46"/>
      <c r="I58" s="46"/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10">
        <f t="shared" si="6"/>
        <v>12</v>
      </c>
      <c r="AM58" s="11">
        <v>32000</v>
      </c>
      <c r="AN58" s="12">
        <f t="shared" si="7"/>
        <v>384000</v>
      </c>
    </row>
    <row r="59" spans="1:40">
      <c r="A59" s="48" t="s">
        <v>226</v>
      </c>
      <c r="B59" s="35">
        <v>24</v>
      </c>
      <c r="C59" s="36" t="s">
        <v>602</v>
      </c>
      <c r="D59" s="36" t="s">
        <v>222</v>
      </c>
      <c r="E59" s="36" t="s">
        <v>53</v>
      </c>
      <c r="F59" s="35" t="s">
        <v>1043</v>
      </c>
      <c r="G59" s="46"/>
      <c r="H59" s="34">
        <v>1</v>
      </c>
      <c r="I59" s="34">
        <v>1</v>
      </c>
      <c r="J59" s="34">
        <v>1</v>
      </c>
      <c r="K59" s="34">
        <v>1</v>
      </c>
      <c r="L59" s="34">
        <v>1</v>
      </c>
      <c r="M59" s="34">
        <v>1</v>
      </c>
      <c r="N59" s="34">
        <v>1</v>
      </c>
      <c r="O59" s="34">
        <v>1</v>
      </c>
      <c r="P59" s="34">
        <v>1</v>
      </c>
      <c r="Q59" s="34">
        <v>1</v>
      </c>
      <c r="R59" s="34">
        <v>1</v>
      </c>
      <c r="S59" s="34">
        <v>1</v>
      </c>
      <c r="T59" s="34">
        <v>1</v>
      </c>
      <c r="U59" s="34">
        <v>1</v>
      </c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10">
        <f t="shared" si="6"/>
        <v>14</v>
      </c>
      <c r="AM59" s="11">
        <v>32000</v>
      </c>
      <c r="AN59" s="12">
        <f t="shared" si="7"/>
        <v>448000</v>
      </c>
    </row>
    <row r="60" spans="1:40">
      <c r="A60" s="48" t="s">
        <v>226</v>
      </c>
      <c r="B60" s="35">
        <v>24</v>
      </c>
      <c r="C60" s="36" t="s">
        <v>159</v>
      </c>
      <c r="D60" s="36" t="s">
        <v>1044</v>
      </c>
      <c r="E60" s="36" t="s">
        <v>713</v>
      </c>
      <c r="F60" s="35" t="s">
        <v>1045</v>
      </c>
      <c r="G60" s="52"/>
      <c r="H60" s="37">
        <v>1</v>
      </c>
      <c r="I60" s="37">
        <v>1</v>
      </c>
      <c r="J60" s="37">
        <v>1</v>
      </c>
      <c r="K60" s="37">
        <v>1</v>
      </c>
      <c r="L60" s="37">
        <v>1</v>
      </c>
      <c r="M60" s="37">
        <v>1</v>
      </c>
      <c r="N60" s="37">
        <v>1</v>
      </c>
      <c r="O60" s="37">
        <v>1</v>
      </c>
      <c r="P60" s="37">
        <v>1</v>
      </c>
      <c r="Q60" s="37">
        <v>1</v>
      </c>
      <c r="R60" s="37">
        <v>1</v>
      </c>
      <c r="S60" s="37">
        <v>1</v>
      </c>
      <c r="T60" s="37">
        <v>1</v>
      </c>
      <c r="U60" s="37">
        <v>1</v>
      </c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10">
        <f t="shared" si="6"/>
        <v>14</v>
      </c>
      <c r="AM60" s="12">
        <v>32000</v>
      </c>
      <c r="AN60" s="12">
        <f t="shared" si="7"/>
        <v>448000</v>
      </c>
    </row>
    <row r="61" spans="1:40" ht="13.5" thickBot="1">
      <c r="A61" s="60" t="s">
        <v>226</v>
      </c>
      <c r="B61" s="35">
        <v>26</v>
      </c>
      <c r="C61" s="36" t="s">
        <v>233</v>
      </c>
      <c r="D61" s="36" t="s">
        <v>428</v>
      </c>
      <c r="E61" s="36" t="s">
        <v>153</v>
      </c>
      <c r="F61" s="35" t="s">
        <v>1046</v>
      </c>
      <c r="G61" s="52"/>
      <c r="H61" s="37">
        <v>1</v>
      </c>
      <c r="I61" s="37">
        <v>1</v>
      </c>
      <c r="J61" s="37">
        <v>1</v>
      </c>
      <c r="K61" s="37">
        <v>1</v>
      </c>
      <c r="L61" s="37">
        <v>1</v>
      </c>
      <c r="M61" s="37">
        <v>1</v>
      </c>
      <c r="N61" s="37">
        <v>1</v>
      </c>
      <c r="O61" s="37">
        <v>1</v>
      </c>
      <c r="P61" s="37">
        <v>1</v>
      </c>
      <c r="Q61" s="37">
        <v>1</v>
      </c>
      <c r="R61" s="37">
        <v>1</v>
      </c>
      <c r="S61" s="37">
        <v>1</v>
      </c>
      <c r="T61" s="37">
        <v>1</v>
      </c>
      <c r="U61" s="37">
        <v>1</v>
      </c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10">
        <f t="shared" si="6"/>
        <v>14</v>
      </c>
      <c r="AM61" s="12">
        <v>32000</v>
      </c>
      <c r="AN61" s="12">
        <f t="shared" si="7"/>
        <v>448000</v>
      </c>
    </row>
    <row r="62" spans="1:40">
      <c r="A62" s="48" t="s">
        <v>226</v>
      </c>
      <c r="B62" s="35">
        <v>26</v>
      </c>
      <c r="C62" s="36" t="s">
        <v>944</v>
      </c>
      <c r="D62" s="36" t="s">
        <v>159</v>
      </c>
      <c r="E62" s="36" t="s">
        <v>24</v>
      </c>
      <c r="F62" s="35" t="s">
        <v>945</v>
      </c>
      <c r="G62" s="52"/>
      <c r="H62" s="37">
        <v>1</v>
      </c>
      <c r="I62" s="37">
        <v>1</v>
      </c>
      <c r="J62" s="37">
        <v>1</v>
      </c>
      <c r="K62" s="37">
        <v>1</v>
      </c>
      <c r="L62" s="37">
        <v>1</v>
      </c>
      <c r="M62" s="37">
        <v>1</v>
      </c>
      <c r="N62" s="37">
        <v>1</v>
      </c>
      <c r="O62" s="37">
        <v>1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10">
        <f t="shared" ref="AL62:AL87" si="8">SUM(G62:AK62)</f>
        <v>8</v>
      </c>
      <c r="AM62" s="12">
        <v>32000</v>
      </c>
      <c r="AN62" s="12">
        <f t="shared" ref="AN62:AN87" si="9">AM62*AL62</f>
        <v>256000</v>
      </c>
    </row>
    <row r="63" spans="1:40">
      <c r="A63" s="48" t="s">
        <v>226</v>
      </c>
      <c r="B63" s="35">
        <v>27</v>
      </c>
      <c r="C63" s="36" t="s">
        <v>67</v>
      </c>
      <c r="D63" s="36" t="s">
        <v>1047</v>
      </c>
      <c r="E63" s="36" t="s">
        <v>1048</v>
      </c>
      <c r="F63" s="35" t="s">
        <v>1049</v>
      </c>
      <c r="G63" s="52"/>
      <c r="H63" s="37">
        <v>1</v>
      </c>
      <c r="I63" s="37">
        <v>1</v>
      </c>
      <c r="J63" s="37">
        <v>1</v>
      </c>
      <c r="K63" s="37">
        <v>1</v>
      </c>
      <c r="L63" s="37">
        <v>1</v>
      </c>
      <c r="M63" s="37">
        <v>1</v>
      </c>
      <c r="N63" s="37">
        <v>1</v>
      </c>
      <c r="O63" s="37">
        <v>1</v>
      </c>
      <c r="P63" s="37">
        <v>1</v>
      </c>
      <c r="Q63" s="37">
        <v>1</v>
      </c>
      <c r="R63" s="37">
        <v>1</v>
      </c>
      <c r="S63" s="37">
        <v>1</v>
      </c>
      <c r="T63" s="37">
        <v>1</v>
      </c>
      <c r="U63" s="37">
        <v>1</v>
      </c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10">
        <f t="shared" si="8"/>
        <v>14</v>
      </c>
      <c r="AM63" s="12">
        <v>32000</v>
      </c>
      <c r="AN63" s="12">
        <f t="shared" si="9"/>
        <v>448000</v>
      </c>
    </row>
    <row r="64" spans="1:40">
      <c r="A64" s="48" t="s">
        <v>226</v>
      </c>
      <c r="B64" s="35">
        <v>27</v>
      </c>
      <c r="C64" s="36" t="s">
        <v>180</v>
      </c>
      <c r="D64" s="36" t="s">
        <v>1050</v>
      </c>
      <c r="E64" s="36" t="s">
        <v>1051</v>
      </c>
      <c r="F64" s="35" t="s">
        <v>1052</v>
      </c>
      <c r="G64" s="52"/>
      <c r="H64" s="37">
        <v>1</v>
      </c>
      <c r="I64" s="37">
        <v>1</v>
      </c>
      <c r="J64" s="37">
        <v>1</v>
      </c>
      <c r="K64" s="37">
        <v>1</v>
      </c>
      <c r="L64" s="37">
        <v>1</v>
      </c>
      <c r="M64" s="37">
        <v>1</v>
      </c>
      <c r="N64" s="37">
        <v>1</v>
      </c>
      <c r="O64" s="37">
        <v>1</v>
      </c>
      <c r="P64" s="37">
        <v>1</v>
      </c>
      <c r="Q64" s="37">
        <v>1</v>
      </c>
      <c r="R64" s="37">
        <v>1</v>
      </c>
      <c r="S64" s="37">
        <v>1</v>
      </c>
      <c r="T64" s="37">
        <v>1</v>
      </c>
      <c r="U64" s="37">
        <v>1</v>
      </c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10">
        <f t="shared" si="8"/>
        <v>14</v>
      </c>
      <c r="AM64" s="12">
        <v>32000</v>
      </c>
      <c r="AN64" s="12">
        <f t="shared" si="9"/>
        <v>448000</v>
      </c>
    </row>
    <row r="65" spans="1:40">
      <c r="A65" s="48" t="s">
        <v>226</v>
      </c>
      <c r="B65" s="35">
        <v>28</v>
      </c>
      <c r="C65" s="36" t="s">
        <v>1053</v>
      </c>
      <c r="D65" s="36"/>
      <c r="E65" s="36" t="s">
        <v>1054</v>
      </c>
      <c r="F65" s="35" t="s">
        <v>1055</v>
      </c>
      <c r="G65" s="52"/>
      <c r="H65" s="37">
        <v>1</v>
      </c>
      <c r="I65" s="37">
        <v>1</v>
      </c>
      <c r="J65" s="37">
        <v>1</v>
      </c>
      <c r="K65" s="37">
        <v>1</v>
      </c>
      <c r="L65" s="37">
        <v>1</v>
      </c>
      <c r="M65" s="37">
        <v>1</v>
      </c>
      <c r="N65" s="37">
        <v>1</v>
      </c>
      <c r="O65" s="37">
        <v>1</v>
      </c>
      <c r="P65" s="37">
        <v>1</v>
      </c>
      <c r="Q65" s="37">
        <v>1</v>
      </c>
      <c r="R65" s="37">
        <v>1</v>
      </c>
      <c r="S65" s="37">
        <v>1</v>
      </c>
      <c r="T65" s="37">
        <v>1</v>
      </c>
      <c r="U65" s="37">
        <v>1</v>
      </c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10">
        <f t="shared" si="8"/>
        <v>14</v>
      </c>
      <c r="AM65" s="12">
        <v>32000</v>
      </c>
      <c r="AN65" s="12">
        <f t="shared" si="9"/>
        <v>448000</v>
      </c>
    </row>
    <row r="66" spans="1:40">
      <c r="A66" s="48" t="s">
        <v>226</v>
      </c>
      <c r="B66" s="35">
        <v>28</v>
      </c>
      <c r="C66" s="36" t="s">
        <v>1056</v>
      </c>
      <c r="D66" s="36"/>
      <c r="E66" s="36" t="s">
        <v>1057</v>
      </c>
      <c r="F66" s="35" t="s">
        <v>1058</v>
      </c>
      <c r="G66" s="52"/>
      <c r="H66" s="37">
        <v>1</v>
      </c>
      <c r="I66" s="37">
        <v>1</v>
      </c>
      <c r="J66" s="37">
        <v>1</v>
      </c>
      <c r="K66" s="37">
        <v>1</v>
      </c>
      <c r="L66" s="37">
        <v>1</v>
      </c>
      <c r="M66" s="37">
        <v>1</v>
      </c>
      <c r="N66" s="37">
        <v>1</v>
      </c>
      <c r="O66" s="37">
        <v>1</v>
      </c>
      <c r="P66" s="37">
        <v>1</v>
      </c>
      <c r="Q66" s="37">
        <v>1</v>
      </c>
      <c r="R66" s="37">
        <v>1</v>
      </c>
      <c r="S66" s="37">
        <v>1</v>
      </c>
      <c r="T66" s="37">
        <v>1</v>
      </c>
      <c r="U66" s="37">
        <v>1</v>
      </c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10">
        <f t="shared" si="8"/>
        <v>14</v>
      </c>
      <c r="AM66" s="12">
        <v>32000</v>
      </c>
      <c r="AN66" s="12">
        <f t="shared" si="9"/>
        <v>448000</v>
      </c>
    </row>
    <row r="67" spans="1:40">
      <c r="A67" s="48" t="s">
        <v>226</v>
      </c>
      <c r="B67" s="35">
        <v>33</v>
      </c>
      <c r="C67" s="36" t="s">
        <v>142</v>
      </c>
      <c r="D67" s="36" t="s">
        <v>223</v>
      </c>
      <c r="E67" s="36" t="s">
        <v>168</v>
      </c>
      <c r="F67" s="35" t="s">
        <v>1059</v>
      </c>
      <c r="G67" s="52"/>
      <c r="H67" s="37">
        <v>1</v>
      </c>
      <c r="I67" s="37">
        <v>1</v>
      </c>
      <c r="J67" s="37">
        <v>1</v>
      </c>
      <c r="K67" s="37">
        <v>1</v>
      </c>
      <c r="L67" s="37">
        <v>1</v>
      </c>
      <c r="M67" s="37">
        <v>1</v>
      </c>
      <c r="N67" s="37">
        <v>1</v>
      </c>
      <c r="O67" s="37">
        <v>1</v>
      </c>
      <c r="P67" s="37">
        <v>1</v>
      </c>
      <c r="Q67" s="37">
        <v>1</v>
      </c>
      <c r="R67" s="37">
        <v>1</v>
      </c>
      <c r="S67" s="37">
        <v>1</v>
      </c>
      <c r="T67" s="37">
        <v>1</v>
      </c>
      <c r="U67" s="37">
        <v>1</v>
      </c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10">
        <f t="shared" si="8"/>
        <v>14</v>
      </c>
      <c r="AM67" s="12">
        <v>32000</v>
      </c>
      <c r="AN67" s="12">
        <f t="shared" si="9"/>
        <v>448000</v>
      </c>
    </row>
    <row r="68" spans="1:40">
      <c r="A68" s="48" t="s">
        <v>226</v>
      </c>
      <c r="B68" s="35">
        <v>33</v>
      </c>
      <c r="C68" s="36" t="s">
        <v>584</v>
      </c>
      <c r="D68" s="36" t="s">
        <v>16</v>
      </c>
      <c r="E68" s="36" t="s">
        <v>24</v>
      </c>
      <c r="F68" s="35" t="s">
        <v>1060</v>
      </c>
      <c r="G68" s="52"/>
      <c r="H68" s="37">
        <v>1</v>
      </c>
      <c r="I68" s="37">
        <v>1</v>
      </c>
      <c r="J68" s="37">
        <v>1</v>
      </c>
      <c r="K68" s="37">
        <v>1</v>
      </c>
      <c r="L68" s="37">
        <v>1</v>
      </c>
      <c r="M68" s="37">
        <v>1</v>
      </c>
      <c r="N68" s="37">
        <v>1</v>
      </c>
      <c r="O68" s="37">
        <v>1</v>
      </c>
      <c r="P68" s="37">
        <v>1</v>
      </c>
      <c r="Q68" s="37">
        <v>1</v>
      </c>
      <c r="R68" s="37">
        <v>1</v>
      </c>
      <c r="S68" s="37">
        <v>1</v>
      </c>
      <c r="T68" s="37">
        <v>1</v>
      </c>
      <c r="U68" s="37">
        <v>1</v>
      </c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10">
        <f t="shared" si="8"/>
        <v>14</v>
      </c>
      <c r="AM68" s="12">
        <v>32000</v>
      </c>
      <c r="AN68" s="12">
        <f t="shared" si="9"/>
        <v>448000</v>
      </c>
    </row>
    <row r="69" spans="1:40">
      <c r="A69" s="48" t="s">
        <v>226</v>
      </c>
      <c r="B69" s="35">
        <v>39</v>
      </c>
      <c r="C69" s="36" t="s">
        <v>824</v>
      </c>
      <c r="D69" s="36" t="s">
        <v>682</v>
      </c>
      <c r="E69" s="36" t="s">
        <v>1061</v>
      </c>
      <c r="F69" s="35" t="s">
        <v>1062</v>
      </c>
      <c r="G69" s="52"/>
      <c r="H69" s="37">
        <v>1</v>
      </c>
      <c r="I69" s="37">
        <v>1</v>
      </c>
      <c r="J69" s="37">
        <v>1</v>
      </c>
      <c r="K69" s="37">
        <v>1</v>
      </c>
      <c r="L69" s="37">
        <v>1</v>
      </c>
      <c r="M69" s="37">
        <v>1</v>
      </c>
      <c r="N69" s="37">
        <v>1</v>
      </c>
      <c r="O69" s="37">
        <v>1</v>
      </c>
      <c r="P69" s="37">
        <v>1</v>
      </c>
      <c r="Q69" s="37">
        <v>1</v>
      </c>
      <c r="R69" s="37">
        <v>1</v>
      </c>
      <c r="S69" s="37">
        <v>1</v>
      </c>
      <c r="T69" s="37">
        <v>1</v>
      </c>
      <c r="U69" s="37">
        <v>1</v>
      </c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10">
        <f t="shared" si="8"/>
        <v>14</v>
      </c>
      <c r="AM69" s="12">
        <v>32000</v>
      </c>
      <c r="AN69" s="12">
        <f t="shared" si="9"/>
        <v>448000</v>
      </c>
    </row>
    <row r="70" spans="1:40">
      <c r="A70" s="48" t="s">
        <v>226</v>
      </c>
      <c r="B70" s="35">
        <v>43</v>
      </c>
      <c r="C70" s="36" t="s">
        <v>1063</v>
      </c>
      <c r="D70" s="36" t="s">
        <v>465</v>
      </c>
      <c r="E70" s="36" t="s">
        <v>20</v>
      </c>
      <c r="F70" s="35" t="s">
        <v>1064</v>
      </c>
      <c r="G70" s="52"/>
      <c r="H70" s="37">
        <v>1</v>
      </c>
      <c r="I70" s="37">
        <v>1</v>
      </c>
      <c r="J70" s="37">
        <v>1</v>
      </c>
      <c r="K70" s="37">
        <v>1</v>
      </c>
      <c r="L70" s="37">
        <v>1</v>
      </c>
      <c r="M70" s="37">
        <v>1</v>
      </c>
      <c r="N70" s="37">
        <v>1</v>
      </c>
      <c r="O70" s="37">
        <v>1</v>
      </c>
      <c r="P70" s="37">
        <v>1</v>
      </c>
      <c r="Q70" s="37">
        <v>1</v>
      </c>
      <c r="R70" s="37">
        <v>1</v>
      </c>
      <c r="S70" s="37">
        <v>1</v>
      </c>
      <c r="T70" s="37">
        <v>1</v>
      </c>
      <c r="U70" s="37">
        <v>1</v>
      </c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10">
        <f t="shared" si="8"/>
        <v>14</v>
      </c>
      <c r="AM70" s="12">
        <v>32000</v>
      </c>
      <c r="AN70" s="12">
        <f t="shared" si="9"/>
        <v>448000</v>
      </c>
    </row>
    <row r="71" spans="1:40">
      <c r="A71" s="48" t="s">
        <v>226</v>
      </c>
      <c r="B71" s="35">
        <v>46</v>
      </c>
      <c r="C71" s="36" t="s">
        <v>1065</v>
      </c>
      <c r="D71" s="36" t="s">
        <v>47</v>
      </c>
      <c r="E71" s="36" t="s">
        <v>9</v>
      </c>
      <c r="F71" s="35" t="s">
        <v>1066</v>
      </c>
      <c r="G71" s="52"/>
      <c r="H71" s="37">
        <v>1</v>
      </c>
      <c r="I71" s="37">
        <v>1</v>
      </c>
      <c r="J71" s="37">
        <v>1</v>
      </c>
      <c r="K71" s="37">
        <v>1</v>
      </c>
      <c r="L71" s="37">
        <v>1</v>
      </c>
      <c r="M71" s="37">
        <v>1</v>
      </c>
      <c r="N71" s="37">
        <v>1</v>
      </c>
      <c r="O71" s="37">
        <v>1</v>
      </c>
      <c r="P71" s="37">
        <v>1</v>
      </c>
      <c r="Q71" s="37">
        <v>1</v>
      </c>
      <c r="R71" s="37">
        <v>1</v>
      </c>
      <c r="S71" s="37">
        <v>1</v>
      </c>
      <c r="T71" s="37">
        <v>1</v>
      </c>
      <c r="U71" s="37">
        <v>1</v>
      </c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10">
        <f t="shared" si="8"/>
        <v>14</v>
      </c>
      <c r="AM71" s="12">
        <v>32000</v>
      </c>
      <c r="AN71" s="12">
        <f t="shared" si="9"/>
        <v>448000</v>
      </c>
    </row>
    <row r="72" spans="1:40">
      <c r="A72" s="48" t="s">
        <v>226</v>
      </c>
      <c r="B72" s="35">
        <v>46</v>
      </c>
      <c r="C72" s="36" t="s">
        <v>218</v>
      </c>
      <c r="D72" s="36" t="s">
        <v>219</v>
      </c>
      <c r="E72" s="36" t="s">
        <v>15</v>
      </c>
      <c r="F72" s="35" t="s">
        <v>1067</v>
      </c>
      <c r="G72" s="52"/>
      <c r="H72" s="37">
        <v>1</v>
      </c>
      <c r="I72" s="37">
        <v>1</v>
      </c>
      <c r="J72" s="37">
        <v>1</v>
      </c>
      <c r="K72" s="37">
        <v>1</v>
      </c>
      <c r="L72" s="37">
        <v>1</v>
      </c>
      <c r="M72" s="37">
        <v>1</v>
      </c>
      <c r="N72" s="37">
        <v>1</v>
      </c>
      <c r="O72" s="37">
        <v>1</v>
      </c>
      <c r="P72" s="37">
        <v>1</v>
      </c>
      <c r="Q72" s="37">
        <v>1</v>
      </c>
      <c r="R72" s="37">
        <v>1</v>
      </c>
      <c r="S72" s="37">
        <v>1</v>
      </c>
      <c r="T72" s="37">
        <v>1</v>
      </c>
      <c r="U72" s="37">
        <v>1</v>
      </c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10">
        <f t="shared" si="8"/>
        <v>14</v>
      </c>
      <c r="AM72" s="12">
        <v>32000</v>
      </c>
      <c r="AN72" s="12">
        <f t="shared" si="9"/>
        <v>448000</v>
      </c>
    </row>
    <row r="73" spans="1:40">
      <c r="A73" s="48" t="s">
        <v>226</v>
      </c>
      <c r="B73" s="35">
        <v>47</v>
      </c>
      <c r="C73" s="36" t="s">
        <v>170</v>
      </c>
      <c r="D73" s="36" t="s">
        <v>158</v>
      </c>
      <c r="E73" s="36" t="s">
        <v>143</v>
      </c>
      <c r="F73" s="35" t="s">
        <v>1068</v>
      </c>
      <c r="G73" s="52"/>
      <c r="H73" s="37">
        <v>1</v>
      </c>
      <c r="I73" s="37">
        <v>1</v>
      </c>
      <c r="J73" s="37">
        <v>1</v>
      </c>
      <c r="K73" s="37">
        <v>1</v>
      </c>
      <c r="L73" s="37">
        <v>1</v>
      </c>
      <c r="M73" s="37">
        <v>1</v>
      </c>
      <c r="N73" s="37">
        <v>1</v>
      </c>
      <c r="O73" s="37">
        <v>1</v>
      </c>
      <c r="P73" s="37">
        <v>1</v>
      </c>
      <c r="Q73" s="37">
        <v>1</v>
      </c>
      <c r="R73" s="37">
        <v>1</v>
      </c>
      <c r="S73" s="37">
        <v>1</v>
      </c>
      <c r="T73" s="37">
        <v>1</v>
      </c>
      <c r="U73" s="37">
        <v>1</v>
      </c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10">
        <f t="shared" si="8"/>
        <v>14</v>
      </c>
      <c r="AM73" s="12">
        <v>32000</v>
      </c>
      <c r="AN73" s="12">
        <f t="shared" si="9"/>
        <v>448000</v>
      </c>
    </row>
    <row r="74" spans="1:40">
      <c r="A74" s="48" t="s">
        <v>226</v>
      </c>
      <c r="B74" s="35">
        <v>50</v>
      </c>
      <c r="C74" s="36" t="s">
        <v>161</v>
      </c>
      <c r="D74" s="36" t="s">
        <v>959</v>
      </c>
      <c r="E74" s="36" t="s">
        <v>808</v>
      </c>
      <c r="F74" s="35" t="s">
        <v>1069</v>
      </c>
      <c r="G74" s="52"/>
      <c r="H74" s="37">
        <v>1</v>
      </c>
      <c r="I74" s="37">
        <v>1</v>
      </c>
      <c r="J74" s="37">
        <v>1</v>
      </c>
      <c r="K74" s="37">
        <v>1</v>
      </c>
      <c r="L74" s="37">
        <v>1</v>
      </c>
      <c r="M74" s="37">
        <v>1</v>
      </c>
      <c r="N74" s="37">
        <v>1</v>
      </c>
      <c r="O74" s="37">
        <v>1</v>
      </c>
      <c r="P74" s="37">
        <v>1</v>
      </c>
      <c r="Q74" s="37">
        <v>1</v>
      </c>
      <c r="R74" s="37">
        <v>1</v>
      </c>
      <c r="S74" s="37">
        <v>1</v>
      </c>
      <c r="T74" s="37">
        <v>1</v>
      </c>
      <c r="U74" s="37">
        <v>1</v>
      </c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10">
        <f t="shared" si="8"/>
        <v>14</v>
      </c>
      <c r="AM74" s="12">
        <v>32000</v>
      </c>
      <c r="AN74" s="12">
        <f t="shared" si="9"/>
        <v>448000</v>
      </c>
    </row>
    <row r="75" spans="1:40">
      <c r="A75" s="48" t="s">
        <v>226</v>
      </c>
      <c r="B75" s="35">
        <v>50</v>
      </c>
      <c r="C75" s="36" t="s">
        <v>275</v>
      </c>
      <c r="D75" s="36" t="s">
        <v>19</v>
      </c>
      <c r="E75" s="36" t="s">
        <v>1070</v>
      </c>
      <c r="F75" s="35" t="s">
        <v>1071</v>
      </c>
      <c r="G75" s="52"/>
      <c r="H75" s="37">
        <v>1</v>
      </c>
      <c r="I75" s="37">
        <v>1</v>
      </c>
      <c r="J75" s="37">
        <v>1</v>
      </c>
      <c r="K75" s="37">
        <v>1</v>
      </c>
      <c r="L75" s="37">
        <v>1</v>
      </c>
      <c r="M75" s="37">
        <v>1</v>
      </c>
      <c r="N75" s="37">
        <v>1</v>
      </c>
      <c r="O75" s="37">
        <v>1</v>
      </c>
      <c r="P75" s="37">
        <v>1</v>
      </c>
      <c r="Q75" s="37">
        <v>1</v>
      </c>
      <c r="R75" s="37">
        <v>1</v>
      </c>
      <c r="S75" s="37">
        <v>1</v>
      </c>
      <c r="T75" s="37">
        <v>1</v>
      </c>
      <c r="U75" s="37">
        <v>1</v>
      </c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10">
        <f t="shared" si="8"/>
        <v>14</v>
      </c>
      <c r="AM75" s="12">
        <v>32000</v>
      </c>
      <c r="AN75" s="12">
        <f t="shared" si="9"/>
        <v>448000</v>
      </c>
    </row>
    <row r="76" spans="1:40">
      <c r="A76" s="48" t="s">
        <v>226</v>
      </c>
      <c r="B76" s="35">
        <v>51</v>
      </c>
      <c r="C76" s="36" t="s">
        <v>134</v>
      </c>
      <c r="D76" s="36" t="s">
        <v>1072</v>
      </c>
      <c r="E76" s="36" t="s">
        <v>135</v>
      </c>
      <c r="F76" s="35" t="s">
        <v>1073</v>
      </c>
      <c r="G76" s="52"/>
      <c r="H76" s="37">
        <v>1</v>
      </c>
      <c r="I76" s="37">
        <v>1</v>
      </c>
      <c r="J76" s="37">
        <v>1</v>
      </c>
      <c r="K76" s="37">
        <v>1</v>
      </c>
      <c r="L76" s="37">
        <v>1</v>
      </c>
      <c r="M76" s="37">
        <v>1</v>
      </c>
      <c r="N76" s="37">
        <v>1</v>
      </c>
      <c r="O76" s="37">
        <v>1</v>
      </c>
      <c r="P76" s="37">
        <v>1</v>
      </c>
      <c r="Q76" s="37">
        <v>1</v>
      </c>
      <c r="R76" s="37">
        <v>1</v>
      </c>
      <c r="S76" s="37">
        <v>1</v>
      </c>
      <c r="T76" s="37">
        <v>1</v>
      </c>
      <c r="U76" s="37">
        <v>1</v>
      </c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10">
        <f t="shared" si="8"/>
        <v>14</v>
      </c>
      <c r="AM76" s="12">
        <v>32000</v>
      </c>
      <c r="AN76" s="12">
        <f t="shared" si="9"/>
        <v>448000</v>
      </c>
    </row>
    <row r="77" spans="1:40">
      <c r="A77" s="48" t="s">
        <v>226</v>
      </c>
      <c r="B77" s="35">
        <v>51</v>
      </c>
      <c r="C77" s="36" t="s">
        <v>179</v>
      </c>
      <c r="D77" s="36" t="s">
        <v>47</v>
      </c>
      <c r="E77" s="36" t="s">
        <v>70</v>
      </c>
      <c r="F77" s="35" t="s">
        <v>1074</v>
      </c>
      <c r="G77" s="52"/>
      <c r="H77" s="37">
        <v>1</v>
      </c>
      <c r="I77" s="37">
        <v>1</v>
      </c>
      <c r="J77" s="37">
        <v>1</v>
      </c>
      <c r="K77" s="37">
        <v>1</v>
      </c>
      <c r="L77" s="37">
        <v>1</v>
      </c>
      <c r="M77" s="37">
        <v>1</v>
      </c>
      <c r="N77" s="37">
        <v>1</v>
      </c>
      <c r="O77" s="37">
        <v>1</v>
      </c>
      <c r="P77" s="37">
        <v>1</v>
      </c>
      <c r="Q77" s="37">
        <v>1</v>
      </c>
      <c r="R77" s="37">
        <v>1</v>
      </c>
      <c r="S77" s="37">
        <v>1</v>
      </c>
      <c r="T77" s="37">
        <v>1</v>
      </c>
      <c r="U77" s="37">
        <v>1</v>
      </c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10">
        <f t="shared" si="8"/>
        <v>14</v>
      </c>
      <c r="AM77" s="12">
        <v>32000</v>
      </c>
      <c r="AN77" s="12">
        <f t="shared" si="9"/>
        <v>448000</v>
      </c>
    </row>
    <row r="78" spans="1:40">
      <c r="A78" s="48" t="s">
        <v>226</v>
      </c>
      <c r="B78" s="35">
        <v>56</v>
      </c>
      <c r="C78" s="36" t="s">
        <v>462</v>
      </c>
      <c r="D78" s="36" t="s">
        <v>103</v>
      </c>
      <c r="E78" s="36" t="s">
        <v>104</v>
      </c>
      <c r="F78" s="35" t="s">
        <v>1075</v>
      </c>
      <c r="G78" s="52"/>
      <c r="H78" s="52"/>
      <c r="I78" s="37">
        <v>1</v>
      </c>
      <c r="J78" s="37">
        <v>1</v>
      </c>
      <c r="K78" s="37">
        <v>1</v>
      </c>
      <c r="L78" s="37">
        <v>1</v>
      </c>
      <c r="M78" s="37">
        <v>1</v>
      </c>
      <c r="N78" s="37">
        <v>1</v>
      </c>
      <c r="O78" s="37">
        <v>1</v>
      </c>
      <c r="P78" s="37">
        <v>1</v>
      </c>
      <c r="Q78" s="37">
        <v>1</v>
      </c>
      <c r="R78" s="37">
        <v>1</v>
      </c>
      <c r="S78" s="37">
        <v>1</v>
      </c>
      <c r="T78" s="37">
        <v>1</v>
      </c>
      <c r="U78" s="37">
        <v>1</v>
      </c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10">
        <f t="shared" si="8"/>
        <v>13</v>
      </c>
      <c r="AM78" s="12">
        <v>32000</v>
      </c>
      <c r="AN78" s="12">
        <f t="shared" si="9"/>
        <v>416000</v>
      </c>
    </row>
    <row r="79" spans="1:40">
      <c r="A79" s="48" t="s">
        <v>226</v>
      </c>
      <c r="B79" s="35">
        <v>56</v>
      </c>
      <c r="C79" s="36" t="s">
        <v>105</v>
      </c>
      <c r="D79" s="36" t="s">
        <v>106</v>
      </c>
      <c r="E79" s="36" t="s">
        <v>68</v>
      </c>
      <c r="F79" s="35">
        <v>338477897</v>
      </c>
      <c r="G79" s="52"/>
      <c r="H79" s="52"/>
      <c r="I79" s="37">
        <v>1</v>
      </c>
      <c r="J79" s="37">
        <v>1</v>
      </c>
      <c r="K79" s="37">
        <v>1</v>
      </c>
      <c r="L79" s="37">
        <v>1</v>
      </c>
      <c r="M79" s="37">
        <v>1</v>
      </c>
      <c r="N79" s="37">
        <v>1</v>
      </c>
      <c r="O79" s="37">
        <v>1</v>
      </c>
      <c r="P79" s="37">
        <v>1</v>
      </c>
      <c r="Q79" s="37">
        <v>1</v>
      </c>
      <c r="R79" s="37">
        <v>1</v>
      </c>
      <c r="S79" s="37">
        <v>1</v>
      </c>
      <c r="T79" s="37">
        <v>1</v>
      </c>
      <c r="U79" s="37">
        <v>1</v>
      </c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10">
        <f t="shared" si="8"/>
        <v>13</v>
      </c>
      <c r="AM79" s="12">
        <v>32000</v>
      </c>
      <c r="AN79" s="12">
        <f t="shared" si="9"/>
        <v>416000</v>
      </c>
    </row>
    <row r="80" spans="1:40">
      <c r="A80" s="48" t="s">
        <v>226</v>
      </c>
      <c r="B80" s="35">
        <v>65</v>
      </c>
      <c r="C80" s="36" t="s">
        <v>867</v>
      </c>
      <c r="D80" s="36" t="s">
        <v>146</v>
      </c>
      <c r="E80" s="36" t="s">
        <v>825</v>
      </c>
      <c r="F80" s="35" t="s">
        <v>872</v>
      </c>
      <c r="G80" s="52"/>
      <c r="H80" s="37">
        <v>1</v>
      </c>
      <c r="I80" s="37">
        <v>1</v>
      </c>
      <c r="J80" s="37">
        <v>1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10">
        <f t="shared" si="8"/>
        <v>3</v>
      </c>
      <c r="AM80" s="12">
        <v>32000</v>
      </c>
      <c r="AN80" s="12">
        <f t="shared" si="9"/>
        <v>96000</v>
      </c>
    </row>
    <row r="81" spans="1:40">
      <c r="A81" s="48" t="s">
        <v>226</v>
      </c>
      <c r="B81" s="35">
        <v>65</v>
      </c>
      <c r="C81" s="36" t="s">
        <v>1076</v>
      </c>
      <c r="D81" s="36" t="s">
        <v>1077</v>
      </c>
      <c r="E81" s="36" t="s">
        <v>1078</v>
      </c>
      <c r="F81" s="35" t="s">
        <v>1079</v>
      </c>
      <c r="G81" s="52"/>
      <c r="H81" s="37">
        <v>1</v>
      </c>
      <c r="I81" s="37">
        <v>1</v>
      </c>
      <c r="J81" s="37">
        <v>1</v>
      </c>
      <c r="K81" s="37">
        <v>1</v>
      </c>
      <c r="L81" s="37">
        <v>1</v>
      </c>
      <c r="M81" s="37">
        <v>1</v>
      </c>
      <c r="N81" s="37">
        <v>1</v>
      </c>
      <c r="O81" s="37">
        <v>1</v>
      </c>
      <c r="P81" s="37">
        <v>1</v>
      </c>
      <c r="Q81" s="37">
        <v>1</v>
      </c>
      <c r="R81" s="37">
        <v>1</v>
      </c>
      <c r="S81" s="37">
        <v>1</v>
      </c>
      <c r="T81" s="37">
        <v>1</v>
      </c>
      <c r="U81" s="37">
        <v>1</v>
      </c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10">
        <f t="shared" si="8"/>
        <v>14</v>
      </c>
      <c r="AM81" s="12">
        <v>32000</v>
      </c>
      <c r="AN81" s="12">
        <f t="shared" si="9"/>
        <v>448000</v>
      </c>
    </row>
    <row r="82" spans="1:40">
      <c r="A82" s="48" t="s">
        <v>226</v>
      </c>
      <c r="B82" s="35">
        <v>66</v>
      </c>
      <c r="C82" s="36" t="s">
        <v>998</v>
      </c>
      <c r="D82" s="36" t="s">
        <v>123</v>
      </c>
      <c r="E82" s="36" t="s">
        <v>999</v>
      </c>
      <c r="F82" s="35" t="s">
        <v>1000</v>
      </c>
      <c r="G82" s="52"/>
      <c r="H82" s="37">
        <v>1</v>
      </c>
      <c r="I82" s="37">
        <v>1</v>
      </c>
      <c r="J82" s="37">
        <v>1</v>
      </c>
      <c r="K82" s="37">
        <v>1</v>
      </c>
      <c r="L82" s="37">
        <v>1</v>
      </c>
      <c r="M82" s="37">
        <v>1</v>
      </c>
      <c r="N82" s="37">
        <v>1</v>
      </c>
      <c r="O82" s="37">
        <v>1</v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10">
        <f t="shared" si="8"/>
        <v>8</v>
      </c>
      <c r="AM82" s="12">
        <v>32000</v>
      </c>
      <c r="AN82" s="12">
        <f t="shared" si="9"/>
        <v>256000</v>
      </c>
    </row>
    <row r="83" spans="1:40">
      <c r="A83" s="48" t="s">
        <v>226</v>
      </c>
      <c r="B83" s="35">
        <v>71</v>
      </c>
      <c r="C83" s="36" t="s">
        <v>963</v>
      </c>
      <c r="D83" s="36" t="s">
        <v>963</v>
      </c>
      <c r="E83" s="36" t="s">
        <v>1080</v>
      </c>
      <c r="F83" s="35" t="s">
        <v>1081</v>
      </c>
      <c r="G83" s="52"/>
      <c r="H83" s="37">
        <v>1</v>
      </c>
      <c r="I83" s="37">
        <v>1</v>
      </c>
      <c r="J83" s="37">
        <v>1</v>
      </c>
      <c r="K83" s="37">
        <v>1</v>
      </c>
      <c r="L83" s="37">
        <v>1</v>
      </c>
      <c r="M83" s="37">
        <v>1</v>
      </c>
      <c r="N83" s="37">
        <v>1</v>
      </c>
      <c r="O83" s="37">
        <v>1</v>
      </c>
      <c r="P83" s="37">
        <v>1</v>
      </c>
      <c r="Q83" s="37">
        <v>1</v>
      </c>
      <c r="R83" s="37">
        <v>1</v>
      </c>
      <c r="S83" s="37">
        <v>1</v>
      </c>
      <c r="T83" s="37">
        <v>1</v>
      </c>
      <c r="U83" s="37">
        <v>1</v>
      </c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10">
        <f t="shared" si="8"/>
        <v>14</v>
      </c>
      <c r="AM83" s="12">
        <v>32000</v>
      </c>
      <c r="AN83" s="12">
        <f t="shared" si="9"/>
        <v>448000</v>
      </c>
    </row>
    <row r="84" spans="1:40">
      <c r="A84" s="48" t="s">
        <v>226</v>
      </c>
      <c r="B84" s="35">
        <v>77</v>
      </c>
      <c r="C84" s="36" t="s">
        <v>19</v>
      </c>
      <c r="D84" s="36" t="s">
        <v>1082</v>
      </c>
      <c r="E84" s="36" t="s">
        <v>1083</v>
      </c>
      <c r="F84" s="35" t="s">
        <v>1084</v>
      </c>
      <c r="G84" s="52"/>
      <c r="H84" s="37">
        <v>1</v>
      </c>
      <c r="I84" s="37">
        <v>1</v>
      </c>
      <c r="J84" s="37">
        <v>1</v>
      </c>
      <c r="K84" s="37">
        <v>1</v>
      </c>
      <c r="L84" s="37">
        <v>1</v>
      </c>
      <c r="M84" s="37">
        <v>1</v>
      </c>
      <c r="N84" s="37">
        <v>1</v>
      </c>
      <c r="O84" s="37">
        <v>1</v>
      </c>
      <c r="P84" s="37">
        <v>1</v>
      </c>
      <c r="Q84" s="37">
        <v>1</v>
      </c>
      <c r="R84" s="37">
        <v>1</v>
      </c>
      <c r="S84" s="37">
        <v>1</v>
      </c>
      <c r="T84" s="37">
        <v>1</v>
      </c>
      <c r="U84" s="37">
        <v>1</v>
      </c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10">
        <f t="shared" si="8"/>
        <v>14</v>
      </c>
      <c r="AM84" s="12">
        <v>32000</v>
      </c>
      <c r="AN84" s="12">
        <f t="shared" si="9"/>
        <v>448000</v>
      </c>
    </row>
    <row r="85" spans="1:40">
      <c r="A85" s="48" t="s">
        <v>226</v>
      </c>
      <c r="B85" s="35">
        <v>81</v>
      </c>
      <c r="C85" s="36" t="s">
        <v>460</v>
      </c>
      <c r="D85" s="36" t="s">
        <v>114</v>
      </c>
      <c r="E85" s="36" t="s">
        <v>115</v>
      </c>
      <c r="F85" s="35" t="s">
        <v>1085</v>
      </c>
      <c r="G85" s="52"/>
      <c r="H85" s="52"/>
      <c r="I85" s="52"/>
      <c r="J85" s="37">
        <v>1</v>
      </c>
      <c r="K85" s="37">
        <v>1</v>
      </c>
      <c r="L85" s="37">
        <v>1</v>
      </c>
      <c r="M85" s="37">
        <v>1</v>
      </c>
      <c r="N85" s="37">
        <v>1</v>
      </c>
      <c r="O85" s="37">
        <v>1</v>
      </c>
      <c r="P85" s="37">
        <v>1</v>
      </c>
      <c r="Q85" s="37">
        <v>1</v>
      </c>
      <c r="R85" s="37">
        <v>1</v>
      </c>
      <c r="S85" s="37">
        <v>1</v>
      </c>
      <c r="T85" s="37">
        <v>1</v>
      </c>
      <c r="U85" s="37">
        <v>1</v>
      </c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10">
        <f t="shared" si="8"/>
        <v>12</v>
      </c>
      <c r="AM85" s="12">
        <v>32000</v>
      </c>
      <c r="AN85" s="12">
        <f t="shared" si="9"/>
        <v>384000</v>
      </c>
    </row>
    <row r="86" spans="1:40">
      <c r="A86" s="48" t="s">
        <v>226</v>
      </c>
      <c r="B86" s="35">
        <v>81</v>
      </c>
      <c r="C86" s="36" t="s">
        <v>111</v>
      </c>
      <c r="D86" s="36" t="s">
        <v>112</v>
      </c>
      <c r="E86" s="36" t="s">
        <v>113</v>
      </c>
      <c r="F86" s="35" t="s">
        <v>1086</v>
      </c>
      <c r="G86" s="52"/>
      <c r="H86" s="52"/>
      <c r="I86" s="52"/>
      <c r="J86" s="37">
        <v>1</v>
      </c>
      <c r="K86" s="37">
        <v>1</v>
      </c>
      <c r="L86" s="37">
        <v>1</v>
      </c>
      <c r="M86" s="37">
        <v>1</v>
      </c>
      <c r="N86" s="37">
        <v>1</v>
      </c>
      <c r="O86" s="37">
        <v>1</v>
      </c>
      <c r="P86" s="37">
        <v>1</v>
      </c>
      <c r="Q86" s="37">
        <v>1</v>
      </c>
      <c r="R86" s="37">
        <v>1</v>
      </c>
      <c r="S86" s="37">
        <v>1</v>
      </c>
      <c r="T86" s="37">
        <v>1</v>
      </c>
      <c r="U86" s="37">
        <v>1</v>
      </c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10">
        <f t="shared" si="8"/>
        <v>12</v>
      </c>
      <c r="AM86" s="12">
        <v>32000</v>
      </c>
      <c r="AN86" s="12">
        <f t="shared" si="9"/>
        <v>384000</v>
      </c>
    </row>
    <row r="87" spans="1:40">
      <c r="A87" s="48" t="s">
        <v>226</v>
      </c>
      <c r="B87" s="35">
        <v>82</v>
      </c>
      <c r="C87" s="36" t="s">
        <v>98</v>
      </c>
      <c r="D87" s="36" t="s">
        <v>459</v>
      </c>
      <c r="E87" s="36" t="s">
        <v>102</v>
      </c>
      <c r="F87" s="35" t="s">
        <v>1087</v>
      </c>
      <c r="G87" s="52"/>
      <c r="H87" s="52"/>
      <c r="I87" s="37">
        <v>1</v>
      </c>
      <c r="J87" s="37">
        <v>1</v>
      </c>
      <c r="K87" s="37">
        <v>1</v>
      </c>
      <c r="L87" s="37">
        <v>1</v>
      </c>
      <c r="M87" s="37">
        <v>1</v>
      </c>
      <c r="N87" s="37">
        <v>1</v>
      </c>
      <c r="O87" s="37">
        <v>1</v>
      </c>
      <c r="P87" s="37">
        <v>1</v>
      </c>
      <c r="Q87" s="37">
        <v>1</v>
      </c>
      <c r="R87" s="37">
        <v>1</v>
      </c>
      <c r="S87" s="37">
        <v>1</v>
      </c>
      <c r="T87" s="37">
        <v>1</v>
      </c>
      <c r="U87" s="37">
        <v>1</v>
      </c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10">
        <f t="shared" si="8"/>
        <v>13</v>
      </c>
      <c r="AM87" s="12">
        <v>32000</v>
      </c>
      <c r="AN87" s="12">
        <f t="shared" si="9"/>
        <v>416000</v>
      </c>
    </row>
    <row r="88" spans="1:40">
      <c r="A88" s="48" t="s">
        <v>226</v>
      </c>
      <c r="B88" s="35">
        <v>82</v>
      </c>
      <c r="C88" s="36" t="s">
        <v>100</v>
      </c>
      <c r="D88" s="36" t="s">
        <v>129</v>
      </c>
      <c r="E88" s="36" t="s">
        <v>101</v>
      </c>
      <c r="F88" s="35" t="s">
        <v>1088</v>
      </c>
      <c r="G88" s="52"/>
      <c r="H88" s="52"/>
      <c r="I88" s="37">
        <v>1</v>
      </c>
      <c r="J88" s="37">
        <v>1</v>
      </c>
      <c r="K88" s="37">
        <v>1</v>
      </c>
      <c r="L88" s="37">
        <v>1</v>
      </c>
      <c r="M88" s="37">
        <v>1</v>
      </c>
      <c r="N88" s="37">
        <v>1</v>
      </c>
      <c r="O88" s="37">
        <v>1</v>
      </c>
      <c r="P88" s="37">
        <v>1</v>
      </c>
      <c r="Q88" s="37">
        <v>1</v>
      </c>
      <c r="R88" s="37">
        <v>1</v>
      </c>
      <c r="S88" s="37">
        <v>1</v>
      </c>
      <c r="T88" s="37">
        <v>1</v>
      </c>
      <c r="U88" s="37">
        <v>1</v>
      </c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10">
        <f t="shared" ref="AL88:AL97" si="10">SUM(G88:AK88)</f>
        <v>13</v>
      </c>
      <c r="AM88" s="12">
        <v>32000</v>
      </c>
      <c r="AN88" s="12">
        <f t="shared" ref="AN88:AN97" si="11">AM88*AL88</f>
        <v>416000</v>
      </c>
    </row>
    <row r="89" spans="1:40">
      <c r="A89" s="48" t="s">
        <v>226</v>
      </c>
      <c r="B89" s="35">
        <v>83</v>
      </c>
      <c r="C89" s="36" t="s">
        <v>461</v>
      </c>
      <c r="D89" s="36" t="s">
        <v>107</v>
      </c>
      <c r="E89" s="36" t="s">
        <v>108</v>
      </c>
      <c r="F89" s="35" t="s">
        <v>1089</v>
      </c>
      <c r="G89" s="52"/>
      <c r="H89" s="52"/>
      <c r="I89" s="37">
        <v>1</v>
      </c>
      <c r="J89" s="37">
        <v>1</v>
      </c>
      <c r="K89" s="37">
        <v>1</v>
      </c>
      <c r="L89" s="37">
        <v>1</v>
      </c>
      <c r="M89" s="37">
        <v>1</v>
      </c>
      <c r="N89" s="37">
        <v>1</v>
      </c>
      <c r="O89" s="37">
        <v>1</v>
      </c>
      <c r="P89" s="37">
        <v>1</v>
      </c>
      <c r="Q89" s="37">
        <v>1</v>
      </c>
      <c r="R89" s="37">
        <v>1</v>
      </c>
      <c r="S89" s="37">
        <v>1</v>
      </c>
      <c r="T89" s="37">
        <v>1</v>
      </c>
      <c r="U89" s="37">
        <v>1</v>
      </c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10">
        <f t="shared" si="10"/>
        <v>13</v>
      </c>
      <c r="AM89" s="12">
        <v>32000</v>
      </c>
      <c r="AN89" s="12">
        <f t="shared" si="11"/>
        <v>416000</v>
      </c>
    </row>
    <row r="90" spans="1:40">
      <c r="A90" s="48" t="s">
        <v>226</v>
      </c>
      <c r="B90" s="35">
        <v>83</v>
      </c>
      <c r="C90" s="36" t="s">
        <v>454</v>
      </c>
      <c r="D90" s="36" t="s">
        <v>118</v>
      </c>
      <c r="E90" s="36" t="s">
        <v>11</v>
      </c>
      <c r="F90" s="35" t="s">
        <v>1090</v>
      </c>
      <c r="G90" s="52"/>
      <c r="H90" s="52"/>
      <c r="I90" s="37">
        <v>1</v>
      </c>
      <c r="J90" s="37">
        <v>1</v>
      </c>
      <c r="K90" s="37">
        <v>1</v>
      </c>
      <c r="L90" s="37">
        <v>1</v>
      </c>
      <c r="M90" s="37">
        <v>1</v>
      </c>
      <c r="N90" s="37">
        <v>1</v>
      </c>
      <c r="O90" s="37">
        <v>1</v>
      </c>
      <c r="P90" s="37">
        <v>1</v>
      </c>
      <c r="Q90" s="37">
        <v>1</v>
      </c>
      <c r="R90" s="37">
        <v>1</v>
      </c>
      <c r="S90" s="37">
        <v>1</v>
      </c>
      <c r="T90" s="37">
        <v>1</v>
      </c>
      <c r="U90" s="37">
        <v>1</v>
      </c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10">
        <f t="shared" si="10"/>
        <v>13</v>
      </c>
      <c r="AM90" s="12">
        <v>32000</v>
      </c>
      <c r="AN90" s="12">
        <f t="shared" si="11"/>
        <v>416000</v>
      </c>
    </row>
    <row r="91" spans="1:40">
      <c r="A91" s="48" t="s">
        <v>226</v>
      </c>
      <c r="B91" s="35">
        <v>84</v>
      </c>
      <c r="C91" s="36" t="s">
        <v>855</v>
      </c>
      <c r="D91" s="36" t="s">
        <v>26</v>
      </c>
      <c r="E91" s="36" t="s">
        <v>55</v>
      </c>
      <c r="F91" s="35" t="s">
        <v>1091</v>
      </c>
      <c r="G91" s="52"/>
      <c r="H91" s="37">
        <v>1</v>
      </c>
      <c r="I91" s="37">
        <v>1</v>
      </c>
      <c r="J91" s="37">
        <v>1</v>
      </c>
      <c r="K91" s="37">
        <v>1</v>
      </c>
      <c r="L91" s="37">
        <v>1</v>
      </c>
      <c r="M91" s="37">
        <v>1</v>
      </c>
      <c r="N91" s="37">
        <v>1</v>
      </c>
      <c r="O91" s="37">
        <v>1</v>
      </c>
      <c r="P91" s="37">
        <v>1</v>
      </c>
      <c r="Q91" s="37">
        <v>1</v>
      </c>
      <c r="R91" s="37">
        <v>1</v>
      </c>
      <c r="S91" s="37">
        <v>1</v>
      </c>
      <c r="T91" s="37">
        <v>1</v>
      </c>
      <c r="U91" s="37">
        <v>1</v>
      </c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10">
        <f t="shared" si="10"/>
        <v>14</v>
      </c>
      <c r="AM91" s="12">
        <v>32000</v>
      </c>
      <c r="AN91" s="12">
        <f t="shared" ref="AN91:AN92" si="12">AM91*AL91</f>
        <v>448000</v>
      </c>
    </row>
    <row r="92" spans="1:40">
      <c r="A92" s="48" t="s">
        <v>226</v>
      </c>
      <c r="B92" s="35">
        <v>88</v>
      </c>
      <c r="C92" s="36" t="s">
        <v>128</v>
      </c>
      <c r="D92" s="36" t="s">
        <v>129</v>
      </c>
      <c r="E92" s="36" t="s">
        <v>130</v>
      </c>
      <c r="F92" s="35" t="s">
        <v>1092</v>
      </c>
      <c r="G92" s="52"/>
      <c r="H92" s="52"/>
      <c r="I92" s="37">
        <v>1</v>
      </c>
      <c r="J92" s="37">
        <v>1</v>
      </c>
      <c r="K92" s="37">
        <v>1</v>
      </c>
      <c r="L92" s="37">
        <v>1</v>
      </c>
      <c r="M92" s="37">
        <v>1</v>
      </c>
      <c r="N92" s="37">
        <v>1</v>
      </c>
      <c r="O92" s="37">
        <v>1</v>
      </c>
      <c r="P92" s="37">
        <v>1</v>
      </c>
      <c r="Q92" s="37">
        <v>1</v>
      </c>
      <c r="R92" s="37">
        <v>1</v>
      </c>
      <c r="S92" s="37">
        <v>1</v>
      </c>
      <c r="T92" s="37">
        <v>1</v>
      </c>
      <c r="U92" s="37">
        <v>1</v>
      </c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10">
        <f t="shared" si="10"/>
        <v>13</v>
      </c>
      <c r="AM92" s="12">
        <v>32000</v>
      </c>
      <c r="AN92" s="12">
        <f t="shared" si="12"/>
        <v>416000</v>
      </c>
    </row>
    <row r="93" spans="1:40">
      <c r="A93" s="48" t="s">
        <v>226</v>
      </c>
      <c r="B93" s="35">
        <v>88</v>
      </c>
      <c r="C93" s="36" t="s">
        <v>109</v>
      </c>
      <c r="D93" s="36" t="s">
        <v>110</v>
      </c>
      <c r="E93" s="36" t="s">
        <v>15</v>
      </c>
      <c r="F93" s="35" t="s">
        <v>1093</v>
      </c>
      <c r="G93" s="52"/>
      <c r="H93" s="52"/>
      <c r="I93" s="37">
        <v>1</v>
      </c>
      <c r="J93" s="37">
        <v>1</v>
      </c>
      <c r="K93" s="37">
        <v>1</v>
      </c>
      <c r="L93" s="37">
        <v>1</v>
      </c>
      <c r="M93" s="37">
        <v>1</v>
      </c>
      <c r="N93" s="37">
        <v>1</v>
      </c>
      <c r="O93" s="37">
        <v>1</v>
      </c>
      <c r="P93" s="37">
        <v>1</v>
      </c>
      <c r="Q93" s="37">
        <v>1</v>
      </c>
      <c r="R93" s="37">
        <v>1</v>
      </c>
      <c r="S93" s="37">
        <v>1</v>
      </c>
      <c r="T93" s="37">
        <v>1</v>
      </c>
      <c r="U93" s="37">
        <v>1</v>
      </c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10">
        <f t="shared" si="10"/>
        <v>13</v>
      </c>
      <c r="AM93" s="12">
        <v>32000</v>
      </c>
      <c r="AN93" s="12">
        <f t="shared" si="11"/>
        <v>416000</v>
      </c>
    </row>
    <row r="94" spans="1:40">
      <c r="A94" s="48" t="s">
        <v>226</v>
      </c>
      <c r="B94" s="35">
        <v>89</v>
      </c>
      <c r="C94" s="36" t="s">
        <v>97</v>
      </c>
      <c r="D94" s="36" t="s">
        <v>125</v>
      </c>
      <c r="E94" s="36" t="s">
        <v>96</v>
      </c>
      <c r="F94" s="35" t="s">
        <v>1094</v>
      </c>
      <c r="G94" s="52"/>
      <c r="H94" s="52"/>
      <c r="I94" s="37">
        <v>1</v>
      </c>
      <c r="J94" s="37">
        <v>1</v>
      </c>
      <c r="K94" s="37">
        <v>1</v>
      </c>
      <c r="L94" s="37">
        <v>1</v>
      </c>
      <c r="M94" s="37">
        <v>1</v>
      </c>
      <c r="N94" s="37">
        <v>1</v>
      </c>
      <c r="O94" s="37">
        <v>1</v>
      </c>
      <c r="P94" s="37">
        <v>1</v>
      </c>
      <c r="Q94" s="37">
        <v>1</v>
      </c>
      <c r="R94" s="37">
        <v>1</v>
      </c>
      <c r="S94" s="37">
        <v>1</v>
      </c>
      <c r="T94" s="37">
        <v>1</v>
      </c>
      <c r="U94" s="37">
        <v>1</v>
      </c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10">
        <f t="shared" si="10"/>
        <v>13</v>
      </c>
      <c r="AM94" s="12">
        <v>32000</v>
      </c>
      <c r="AN94" s="12">
        <f t="shared" si="11"/>
        <v>416000</v>
      </c>
    </row>
    <row r="95" spans="1:40">
      <c r="A95" s="48" t="s">
        <v>226</v>
      </c>
      <c r="B95" s="35">
        <v>89</v>
      </c>
      <c r="C95" s="36" t="s">
        <v>116</v>
      </c>
      <c r="D95" s="36" t="s">
        <v>38</v>
      </c>
      <c r="E95" s="36" t="s">
        <v>117</v>
      </c>
      <c r="F95" s="35" t="s">
        <v>1095</v>
      </c>
      <c r="G95" s="52"/>
      <c r="H95" s="52"/>
      <c r="I95" s="37">
        <v>1</v>
      </c>
      <c r="J95" s="37">
        <v>1</v>
      </c>
      <c r="K95" s="37">
        <v>1</v>
      </c>
      <c r="L95" s="37">
        <v>1</v>
      </c>
      <c r="M95" s="37">
        <v>1</v>
      </c>
      <c r="N95" s="37">
        <v>1</v>
      </c>
      <c r="O95" s="37">
        <v>1</v>
      </c>
      <c r="P95" s="37">
        <v>1</v>
      </c>
      <c r="Q95" s="37">
        <v>1</v>
      </c>
      <c r="R95" s="37">
        <v>1</v>
      </c>
      <c r="S95" s="37">
        <v>1</v>
      </c>
      <c r="T95" s="37">
        <v>1</v>
      </c>
      <c r="U95" s="37">
        <v>1</v>
      </c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10">
        <f t="shared" si="10"/>
        <v>13</v>
      </c>
      <c r="AM95" s="12">
        <v>32000</v>
      </c>
      <c r="AN95" s="12">
        <f t="shared" si="11"/>
        <v>416000</v>
      </c>
    </row>
    <row r="96" spans="1:40">
      <c r="A96" s="48" t="s">
        <v>226</v>
      </c>
      <c r="B96" s="35">
        <v>90</v>
      </c>
      <c r="C96" s="36" t="s">
        <v>131</v>
      </c>
      <c r="D96" s="36" t="s">
        <v>132</v>
      </c>
      <c r="E96" s="36" t="s">
        <v>133</v>
      </c>
      <c r="F96" s="35" t="s">
        <v>1096</v>
      </c>
      <c r="G96" s="52"/>
      <c r="H96" s="52"/>
      <c r="I96" s="52"/>
      <c r="J96" s="37">
        <v>1</v>
      </c>
      <c r="K96" s="37">
        <v>1</v>
      </c>
      <c r="L96" s="37">
        <v>1</v>
      </c>
      <c r="M96" s="37">
        <v>1</v>
      </c>
      <c r="N96" s="37">
        <v>1</v>
      </c>
      <c r="O96" s="37">
        <v>1</v>
      </c>
      <c r="P96" s="37">
        <v>1</v>
      </c>
      <c r="Q96" s="37">
        <v>1</v>
      </c>
      <c r="R96" s="37">
        <v>1</v>
      </c>
      <c r="S96" s="37">
        <v>1</v>
      </c>
      <c r="T96" s="37">
        <v>1</v>
      </c>
      <c r="U96" s="37">
        <v>1</v>
      </c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10">
        <f t="shared" si="10"/>
        <v>12</v>
      </c>
      <c r="AM96" s="12">
        <v>32000</v>
      </c>
      <c r="AN96" s="12">
        <f t="shared" si="11"/>
        <v>384000</v>
      </c>
    </row>
    <row r="97" spans="1:40">
      <c r="A97" s="48" t="s">
        <v>226</v>
      </c>
      <c r="B97" s="35">
        <v>90</v>
      </c>
      <c r="C97" s="36" t="s">
        <v>126</v>
      </c>
      <c r="D97" s="36" t="s">
        <v>127</v>
      </c>
      <c r="E97" s="36" t="s">
        <v>463</v>
      </c>
      <c r="F97" s="35" t="s">
        <v>1097</v>
      </c>
      <c r="G97" s="52"/>
      <c r="H97" s="52"/>
      <c r="I97" s="52"/>
      <c r="J97" s="37">
        <v>1</v>
      </c>
      <c r="K97" s="37">
        <v>1</v>
      </c>
      <c r="L97" s="37">
        <v>1</v>
      </c>
      <c r="M97" s="37">
        <v>1</v>
      </c>
      <c r="N97" s="37">
        <v>1</v>
      </c>
      <c r="O97" s="37">
        <v>1</v>
      </c>
      <c r="P97" s="37">
        <v>1</v>
      </c>
      <c r="Q97" s="37">
        <v>1</v>
      </c>
      <c r="R97" s="37">
        <v>1</v>
      </c>
      <c r="S97" s="37">
        <v>1</v>
      </c>
      <c r="T97" s="37">
        <v>1</v>
      </c>
      <c r="U97" s="37">
        <v>1</v>
      </c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10">
        <f t="shared" si="10"/>
        <v>12</v>
      </c>
      <c r="AM97" s="12">
        <v>32000</v>
      </c>
      <c r="AN97" s="12">
        <f t="shared" si="11"/>
        <v>384000</v>
      </c>
    </row>
    <row r="98" spans="1:40">
      <c r="A98" s="48" t="s">
        <v>226</v>
      </c>
      <c r="B98" s="32">
        <v>65</v>
      </c>
      <c r="C98" s="33" t="s">
        <v>1098</v>
      </c>
      <c r="D98" s="33" t="s">
        <v>865</v>
      </c>
      <c r="E98" s="33" t="s">
        <v>96</v>
      </c>
      <c r="F98" s="32">
        <v>444849967</v>
      </c>
      <c r="G98" s="46"/>
      <c r="H98" s="46"/>
      <c r="I98" s="46"/>
      <c r="J98" s="46"/>
      <c r="K98" s="46"/>
      <c r="L98" s="37">
        <v>1</v>
      </c>
      <c r="M98" s="37">
        <v>1</v>
      </c>
      <c r="N98" s="37">
        <v>1</v>
      </c>
      <c r="O98" s="37">
        <v>1</v>
      </c>
      <c r="P98" s="37">
        <v>1</v>
      </c>
      <c r="Q98" s="37">
        <v>1</v>
      </c>
      <c r="R98" s="37">
        <v>1</v>
      </c>
      <c r="S98" s="37">
        <v>1</v>
      </c>
      <c r="T98" s="37">
        <v>1</v>
      </c>
      <c r="U98" s="37">
        <v>1</v>
      </c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10">
        <f t="shared" ref="AL98:AL99" si="13">SUM(G98:AK98)</f>
        <v>10</v>
      </c>
      <c r="AM98" s="12">
        <v>32000</v>
      </c>
      <c r="AN98" s="12">
        <f t="shared" ref="AN98:AN99" si="14">AM98*AL98</f>
        <v>320000</v>
      </c>
    </row>
    <row r="99" spans="1:40" ht="13.5" thickBot="1">
      <c r="A99" s="60" t="s">
        <v>226</v>
      </c>
      <c r="B99" s="59">
        <v>66</v>
      </c>
      <c r="C99" s="38" t="s">
        <v>98</v>
      </c>
      <c r="D99" s="38" t="s">
        <v>866</v>
      </c>
      <c r="E99" s="38" t="s">
        <v>99</v>
      </c>
      <c r="F99" s="59" t="s">
        <v>1099</v>
      </c>
      <c r="G99" s="50"/>
      <c r="H99" s="50"/>
      <c r="I99" s="50"/>
      <c r="J99" s="50"/>
      <c r="K99" s="50"/>
      <c r="L99" s="39">
        <v>1</v>
      </c>
      <c r="M99" s="39">
        <v>1</v>
      </c>
      <c r="N99" s="39">
        <v>1</v>
      </c>
      <c r="O99" s="39">
        <v>1</v>
      </c>
      <c r="P99" s="39">
        <v>1</v>
      </c>
      <c r="Q99" s="39">
        <v>1</v>
      </c>
      <c r="R99" s="39">
        <v>1</v>
      </c>
      <c r="S99" s="39">
        <v>1</v>
      </c>
      <c r="T99" s="39">
        <v>1</v>
      </c>
      <c r="U99" s="39">
        <v>1</v>
      </c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13">
        <f t="shared" si="13"/>
        <v>10</v>
      </c>
      <c r="AM99" s="14">
        <v>32000</v>
      </c>
      <c r="AN99" s="14">
        <f t="shared" si="14"/>
        <v>320000</v>
      </c>
    </row>
    <row r="100" spans="1:40">
      <c r="A100" s="48" t="s">
        <v>226</v>
      </c>
      <c r="B100" s="32">
        <v>1</v>
      </c>
      <c r="C100" s="33" t="s">
        <v>1282</v>
      </c>
      <c r="D100" s="33" t="s">
        <v>1283</v>
      </c>
      <c r="E100" s="33" t="s">
        <v>1284</v>
      </c>
      <c r="F100" s="32" t="s">
        <v>1307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34">
        <v>1</v>
      </c>
      <c r="AC100" s="34">
        <v>1</v>
      </c>
      <c r="AD100" s="34">
        <v>1</v>
      </c>
      <c r="AE100" s="34">
        <v>1</v>
      </c>
      <c r="AF100" s="34">
        <v>1</v>
      </c>
      <c r="AG100" s="34">
        <v>1</v>
      </c>
      <c r="AH100" s="34">
        <v>1</v>
      </c>
      <c r="AI100" s="34">
        <v>1</v>
      </c>
      <c r="AJ100" s="46"/>
      <c r="AK100" s="46"/>
      <c r="AL100" s="42">
        <f t="shared" ref="AL100:AL131" si="15">SUM(G100:AK100)</f>
        <v>8</v>
      </c>
      <c r="AM100" s="11">
        <v>32000</v>
      </c>
      <c r="AN100" s="11">
        <f t="shared" ref="AN100:AN131" si="16">AM100*AL100</f>
        <v>256000</v>
      </c>
    </row>
    <row r="101" spans="1:40">
      <c r="A101" s="48" t="s">
        <v>226</v>
      </c>
      <c r="B101" s="32">
        <v>1</v>
      </c>
      <c r="C101" s="33" t="s">
        <v>1320</v>
      </c>
      <c r="D101" s="33" t="s">
        <v>1151</v>
      </c>
      <c r="E101" s="33" t="s">
        <v>1321</v>
      </c>
      <c r="F101" s="32" t="s">
        <v>1322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34">
        <v>1</v>
      </c>
      <c r="AD101" s="34">
        <v>1</v>
      </c>
      <c r="AE101" s="34">
        <v>1</v>
      </c>
      <c r="AF101" s="34">
        <v>1</v>
      </c>
      <c r="AG101" s="34">
        <v>1</v>
      </c>
      <c r="AH101" s="34">
        <v>1</v>
      </c>
      <c r="AI101" s="34">
        <v>1</v>
      </c>
      <c r="AJ101" s="34">
        <v>1</v>
      </c>
      <c r="AK101" s="34">
        <v>1</v>
      </c>
      <c r="AL101" s="10">
        <f t="shared" si="15"/>
        <v>9</v>
      </c>
      <c r="AM101" s="12">
        <v>32000</v>
      </c>
      <c r="AN101" s="12">
        <f t="shared" si="16"/>
        <v>288000</v>
      </c>
    </row>
    <row r="102" spans="1:40">
      <c r="A102" s="48" t="s">
        <v>226</v>
      </c>
      <c r="B102" s="32">
        <v>2</v>
      </c>
      <c r="C102" s="33" t="s">
        <v>947</v>
      </c>
      <c r="D102" s="33" t="s">
        <v>1287</v>
      </c>
      <c r="E102" s="33" t="s">
        <v>1288</v>
      </c>
      <c r="F102" s="32" t="s">
        <v>1305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34">
        <v>1</v>
      </c>
      <c r="AC102" s="34">
        <v>1</v>
      </c>
      <c r="AD102" s="34">
        <v>1</v>
      </c>
      <c r="AE102" s="34">
        <v>1</v>
      </c>
      <c r="AF102" s="34">
        <v>1</v>
      </c>
      <c r="AG102" s="34">
        <v>1</v>
      </c>
      <c r="AH102" s="34">
        <v>1</v>
      </c>
      <c r="AI102" s="34">
        <v>1</v>
      </c>
      <c r="AJ102" s="34">
        <v>1</v>
      </c>
      <c r="AK102" s="34">
        <v>1</v>
      </c>
      <c r="AL102" s="10">
        <f t="shared" si="15"/>
        <v>10</v>
      </c>
      <c r="AM102" s="12">
        <v>32000</v>
      </c>
      <c r="AN102" s="12">
        <f t="shared" si="16"/>
        <v>320000</v>
      </c>
    </row>
    <row r="103" spans="1:40">
      <c r="A103" s="48" t="s">
        <v>226</v>
      </c>
      <c r="B103" s="32">
        <v>2</v>
      </c>
      <c r="C103" s="33" t="s">
        <v>166</v>
      </c>
      <c r="D103" s="33" t="s">
        <v>120</v>
      </c>
      <c r="E103" s="33" t="s">
        <v>11</v>
      </c>
      <c r="F103" s="32" t="s">
        <v>1304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34">
        <v>1</v>
      </c>
      <c r="AC103" s="34">
        <v>1</v>
      </c>
      <c r="AD103" s="34">
        <v>1</v>
      </c>
      <c r="AE103" s="34">
        <v>1</v>
      </c>
      <c r="AF103" s="34">
        <v>1</v>
      </c>
      <c r="AG103" s="34">
        <v>1</v>
      </c>
      <c r="AH103" s="34">
        <v>1</v>
      </c>
      <c r="AI103" s="34">
        <v>1</v>
      </c>
      <c r="AJ103" s="34">
        <v>1</v>
      </c>
      <c r="AK103" s="34">
        <v>1</v>
      </c>
      <c r="AL103" s="10">
        <f t="shared" si="15"/>
        <v>10</v>
      </c>
      <c r="AM103" s="12">
        <v>32000</v>
      </c>
      <c r="AN103" s="12">
        <f t="shared" si="16"/>
        <v>320000</v>
      </c>
    </row>
    <row r="104" spans="1:40">
      <c r="A104" s="48" t="s">
        <v>226</v>
      </c>
      <c r="B104" s="32">
        <v>3</v>
      </c>
      <c r="C104" s="33" t="s">
        <v>963</v>
      </c>
      <c r="D104" s="33" t="s">
        <v>1289</v>
      </c>
      <c r="E104" s="33" t="s">
        <v>160</v>
      </c>
      <c r="F104" s="32" t="s">
        <v>1303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34">
        <v>1</v>
      </c>
      <c r="AC104" s="34">
        <v>1</v>
      </c>
      <c r="AD104" s="34">
        <v>1</v>
      </c>
      <c r="AE104" s="34">
        <v>1</v>
      </c>
      <c r="AF104" s="34">
        <v>1</v>
      </c>
      <c r="AG104" s="34">
        <v>1</v>
      </c>
      <c r="AH104" s="34">
        <v>1</v>
      </c>
      <c r="AI104" s="34">
        <v>1</v>
      </c>
      <c r="AJ104" s="34">
        <v>1</v>
      </c>
      <c r="AK104" s="34">
        <v>1</v>
      </c>
      <c r="AL104" s="10">
        <f t="shared" si="15"/>
        <v>10</v>
      </c>
      <c r="AM104" s="12">
        <v>32000</v>
      </c>
      <c r="AN104" s="12">
        <f t="shared" si="16"/>
        <v>320000</v>
      </c>
    </row>
    <row r="105" spans="1:40">
      <c r="A105" s="48" t="s">
        <v>226</v>
      </c>
      <c r="B105" s="32">
        <v>3</v>
      </c>
      <c r="C105" s="33" t="s">
        <v>1290</v>
      </c>
      <c r="D105" s="33" t="s">
        <v>374</v>
      </c>
      <c r="E105" s="33" t="s">
        <v>207</v>
      </c>
      <c r="F105" s="32" t="s">
        <v>1302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34">
        <v>1</v>
      </c>
      <c r="AC105" s="34">
        <v>1</v>
      </c>
      <c r="AD105" s="34">
        <v>1</v>
      </c>
      <c r="AE105" s="34">
        <v>1</v>
      </c>
      <c r="AF105" s="34">
        <v>1</v>
      </c>
      <c r="AG105" s="34">
        <v>1</v>
      </c>
      <c r="AH105" s="34">
        <v>1</v>
      </c>
      <c r="AI105" s="34">
        <v>1</v>
      </c>
      <c r="AJ105" s="34">
        <v>1</v>
      </c>
      <c r="AK105" s="34">
        <v>1</v>
      </c>
      <c r="AL105" s="10">
        <f t="shared" si="15"/>
        <v>10</v>
      </c>
      <c r="AM105" s="12">
        <v>32000</v>
      </c>
      <c r="AN105" s="12">
        <f t="shared" si="16"/>
        <v>320000</v>
      </c>
    </row>
    <row r="106" spans="1:40">
      <c r="A106" s="48" t="s">
        <v>226</v>
      </c>
      <c r="B106" s="32">
        <v>4</v>
      </c>
      <c r="C106" s="33" t="s">
        <v>683</v>
      </c>
      <c r="D106" s="33" t="s">
        <v>128</v>
      </c>
      <c r="E106" s="33" t="s">
        <v>1291</v>
      </c>
      <c r="F106" s="32" t="s">
        <v>1301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34">
        <v>1</v>
      </c>
      <c r="AC106" s="34">
        <v>1</v>
      </c>
      <c r="AD106" s="34">
        <v>1</v>
      </c>
      <c r="AE106" s="34">
        <v>1</v>
      </c>
      <c r="AF106" s="34">
        <v>1</v>
      </c>
      <c r="AG106" s="34">
        <v>1</v>
      </c>
      <c r="AH106" s="34">
        <v>1</v>
      </c>
      <c r="AI106" s="34">
        <v>1</v>
      </c>
      <c r="AJ106" s="34">
        <v>1</v>
      </c>
      <c r="AK106" s="34">
        <v>1</v>
      </c>
      <c r="AL106" s="10">
        <f t="shared" si="15"/>
        <v>10</v>
      </c>
      <c r="AM106" s="12">
        <v>32000</v>
      </c>
      <c r="AN106" s="12">
        <f t="shared" si="16"/>
        <v>320000</v>
      </c>
    </row>
    <row r="107" spans="1:40">
      <c r="A107" s="48" t="s">
        <v>226</v>
      </c>
      <c r="B107" s="32">
        <v>4</v>
      </c>
      <c r="C107" s="33" t="s">
        <v>683</v>
      </c>
      <c r="D107" s="33" t="s">
        <v>128</v>
      </c>
      <c r="E107" s="33" t="s">
        <v>9</v>
      </c>
      <c r="F107" s="32" t="s">
        <v>1300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34">
        <v>1</v>
      </c>
      <c r="AC107" s="34">
        <v>1</v>
      </c>
      <c r="AD107" s="34">
        <v>1</v>
      </c>
      <c r="AE107" s="34">
        <v>1</v>
      </c>
      <c r="AF107" s="34">
        <v>1</v>
      </c>
      <c r="AG107" s="34">
        <v>1</v>
      </c>
      <c r="AH107" s="34">
        <v>1</v>
      </c>
      <c r="AI107" s="34">
        <v>1</v>
      </c>
      <c r="AJ107" s="34">
        <v>1</v>
      </c>
      <c r="AK107" s="34">
        <v>1</v>
      </c>
      <c r="AL107" s="10">
        <f t="shared" si="15"/>
        <v>10</v>
      </c>
      <c r="AM107" s="12">
        <v>32000</v>
      </c>
      <c r="AN107" s="12">
        <f t="shared" si="16"/>
        <v>320000</v>
      </c>
    </row>
    <row r="108" spans="1:40">
      <c r="A108" s="48" t="s">
        <v>226</v>
      </c>
      <c r="B108" s="32">
        <v>8</v>
      </c>
      <c r="C108" s="33" t="s">
        <v>1038</v>
      </c>
      <c r="D108" s="33" t="s">
        <v>757</v>
      </c>
      <c r="E108" s="33" t="s">
        <v>713</v>
      </c>
      <c r="F108" s="32" t="s">
        <v>1299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34">
        <v>1</v>
      </c>
      <c r="AC108" s="34">
        <v>1</v>
      </c>
      <c r="AD108" s="34">
        <v>1</v>
      </c>
      <c r="AE108" s="34">
        <v>1</v>
      </c>
      <c r="AF108" s="34">
        <v>1</v>
      </c>
      <c r="AG108" s="34">
        <v>1</v>
      </c>
      <c r="AH108" s="34">
        <v>1</v>
      </c>
      <c r="AI108" s="34">
        <v>1</v>
      </c>
      <c r="AJ108" s="34">
        <v>1</v>
      </c>
      <c r="AK108" s="34">
        <v>1</v>
      </c>
      <c r="AL108" s="10">
        <f t="shared" si="15"/>
        <v>10</v>
      </c>
      <c r="AM108" s="12">
        <v>32000</v>
      </c>
      <c r="AN108" s="12">
        <f t="shared" si="16"/>
        <v>320000</v>
      </c>
    </row>
    <row r="109" spans="1:40">
      <c r="A109" s="48" t="s">
        <v>226</v>
      </c>
      <c r="B109" s="32">
        <v>8</v>
      </c>
      <c r="C109" s="33" t="s">
        <v>98</v>
      </c>
      <c r="D109" s="33" t="s">
        <v>13</v>
      </c>
      <c r="E109" s="33" t="s">
        <v>53</v>
      </c>
      <c r="F109" s="32" t="s">
        <v>1298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34">
        <v>1</v>
      </c>
      <c r="AC109" s="34">
        <v>1</v>
      </c>
      <c r="AD109" s="34">
        <v>1</v>
      </c>
      <c r="AE109" s="34">
        <v>1</v>
      </c>
      <c r="AF109" s="34">
        <v>1</v>
      </c>
      <c r="AG109" s="34">
        <v>1</v>
      </c>
      <c r="AH109" s="34">
        <v>1</v>
      </c>
      <c r="AI109" s="34">
        <v>1</v>
      </c>
      <c r="AJ109" s="34">
        <v>1</v>
      </c>
      <c r="AK109" s="34">
        <v>1</v>
      </c>
      <c r="AL109" s="10">
        <f t="shared" si="15"/>
        <v>10</v>
      </c>
      <c r="AM109" s="12">
        <v>32000</v>
      </c>
      <c r="AN109" s="12">
        <f t="shared" si="16"/>
        <v>320000</v>
      </c>
    </row>
    <row r="110" spans="1:40">
      <c r="A110" s="48" t="s">
        <v>226</v>
      </c>
      <c r="B110" s="32">
        <v>9</v>
      </c>
      <c r="C110" s="33" t="s">
        <v>237</v>
      </c>
      <c r="D110" s="33" t="s">
        <v>1292</v>
      </c>
      <c r="E110" s="33" t="s">
        <v>43</v>
      </c>
      <c r="F110" s="32" t="s">
        <v>1297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34">
        <v>1</v>
      </c>
      <c r="AC110" s="34">
        <v>1</v>
      </c>
      <c r="AD110" s="34">
        <v>1</v>
      </c>
      <c r="AE110" s="34">
        <v>1</v>
      </c>
      <c r="AF110" s="34">
        <v>1</v>
      </c>
      <c r="AG110" s="34">
        <v>1</v>
      </c>
      <c r="AH110" s="34">
        <v>1</v>
      </c>
      <c r="AI110" s="34">
        <v>1</v>
      </c>
      <c r="AJ110" s="34">
        <v>1</v>
      </c>
      <c r="AK110" s="34">
        <v>1</v>
      </c>
      <c r="AL110" s="10">
        <f t="shared" si="15"/>
        <v>10</v>
      </c>
      <c r="AM110" s="12">
        <v>32000</v>
      </c>
      <c r="AN110" s="12">
        <f t="shared" si="16"/>
        <v>320000</v>
      </c>
    </row>
    <row r="111" spans="1:40">
      <c r="A111" s="48" t="s">
        <v>226</v>
      </c>
      <c r="B111" s="32">
        <v>9</v>
      </c>
      <c r="C111" s="33" t="s">
        <v>570</v>
      </c>
      <c r="D111" s="33" t="s">
        <v>166</v>
      </c>
      <c r="E111" s="33" t="s">
        <v>37</v>
      </c>
      <c r="F111" s="32" t="s">
        <v>1296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34">
        <v>1</v>
      </c>
      <c r="AC111" s="34">
        <v>1</v>
      </c>
      <c r="AD111" s="34">
        <v>1</v>
      </c>
      <c r="AE111" s="34">
        <v>1</v>
      </c>
      <c r="AF111" s="34">
        <v>1</v>
      </c>
      <c r="AG111" s="34">
        <v>1</v>
      </c>
      <c r="AH111" s="34">
        <v>1</v>
      </c>
      <c r="AI111" s="34">
        <v>1</v>
      </c>
      <c r="AJ111" s="34">
        <v>1</v>
      </c>
      <c r="AK111" s="34">
        <v>1</v>
      </c>
      <c r="AL111" s="10">
        <f t="shared" si="15"/>
        <v>10</v>
      </c>
      <c r="AM111" s="12">
        <v>32000</v>
      </c>
      <c r="AN111" s="12">
        <f t="shared" si="16"/>
        <v>320000</v>
      </c>
    </row>
    <row r="112" spans="1:40">
      <c r="A112" s="48" t="s">
        <v>226</v>
      </c>
      <c r="B112" s="32">
        <v>10</v>
      </c>
      <c r="C112" s="33" t="s">
        <v>1159</v>
      </c>
      <c r="D112" s="33" t="s">
        <v>702</v>
      </c>
      <c r="E112" s="33" t="s">
        <v>135</v>
      </c>
      <c r="F112" s="32" t="s">
        <v>1160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34">
        <v>1</v>
      </c>
      <c r="Z112" s="34">
        <v>1</v>
      </c>
      <c r="AA112" s="34">
        <v>1</v>
      </c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10">
        <f t="shared" si="15"/>
        <v>3</v>
      </c>
      <c r="AM112" s="12">
        <v>32000</v>
      </c>
      <c r="AN112" s="12">
        <f t="shared" si="16"/>
        <v>96000</v>
      </c>
    </row>
    <row r="113" spans="1:40">
      <c r="A113" s="48" t="s">
        <v>226</v>
      </c>
      <c r="B113" s="32">
        <v>10</v>
      </c>
      <c r="C113" s="33" t="s">
        <v>1293</v>
      </c>
      <c r="D113" s="33" t="s">
        <v>1293</v>
      </c>
      <c r="E113" s="33" t="s">
        <v>466</v>
      </c>
      <c r="F113" s="32" t="s">
        <v>1295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34">
        <v>1</v>
      </c>
      <c r="AC113" s="34">
        <v>1</v>
      </c>
      <c r="AD113" s="34">
        <v>1</v>
      </c>
      <c r="AE113" s="34">
        <v>1</v>
      </c>
      <c r="AF113" s="34">
        <v>1</v>
      </c>
      <c r="AG113" s="34">
        <v>1</v>
      </c>
      <c r="AH113" s="34">
        <v>1</v>
      </c>
      <c r="AI113" s="34">
        <v>1</v>
      </c>
      <c r="AJ113" s="34">
        <v>1</v>
      </c>
      <c r="AK113" s="34">
        <v>1</v>
      </c>
      <c r="AL113" s="10">
        <f t="shared" si="15"/>
        <v>10</v>
      </c>
      <c r="AM113" s="12">
        <v>32000</v>
      </c>
      <c r="AN113" s="12">
        <f t="shared" si="16"/>
        <v>320000</v>
      </c>
    </row>
    <row r="114" spans="1:40">
      <c r="A114" s="48" t="s">
        <v>226</v>
      </c>
      <c r="B114" s="32">
        <v>10</v>
      </c>
      <c r="C114" s="33" t="s">
        <v>47</v>
      </c>
      <c r="D114" s="33" t="s">
        <v>19</v>
      </c>
      <c r="E114" s="33" t="s">
        <v>144</v>
      </c>
      <c r="F114" s="32" t="s">
        <v>1294</v>
      </c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34">
        <v>1</v>
      </c>
      <c r="AC114" s="34">
        <v>1</v>
      </c>
      <c r="AD114" s="34">
        <v>1</v>
      </c>
      <c r="AE114" s="34">
        <v>1</v>
      </c>
      <c r="AF114" s="34">
        <v>1</v>
      </c>
      <c r="AG114" s="34">
        <v>1</v>
      </c>
      <c r="AH114" s="34">
        <v>1</v>
      </c>
      <c r="AI114" s="34">
        <v>1</v>
      </c>
      <c r="AJ114" s="34">
        <v>1</v>
      </c>
      <c r="AK114" s="34">
        <v>1</v>
      </c>
      <c r="AL114" s="10">
        <f t="shared" si="15"/>
        <v>10</v>
      </c>
      <c r="AM114" s="12">
        <v>32000</v>
      </c>
      <c r="AN114" s="12">
        <f t="shared" si="16"/>
        <v>320000</v>
      </c>
    </row>
    <row r="115" spans="1:40">
      <c r="A115" s="48" t="s">
        <v>226</v>
      </c>
      <c r="B115" s="32">
        <v>11</v>
      </c>
      <c r="C115" s="33" t="s">
        <v>1116</v>
      </c>
      <c r="D115" s="33" t="s">
        <v>1117</v>
      </c>
      <c r="E115" s="33" t="s">
        <v>207</v>
      </c>
      <c r="F115" s="32" t="s">
        <v>1118</v>
      </c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34">
        <v>1</v>
      </c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10">
        <f t="shared" si="15"/>
        <v>1</v>
      </c>
      <c r="AM115" s="12">
        <v>32000</v>
      </c>
      <c r="AN115" s="12">
        <f t="shared" si="16"/>
        <v>32000</v>
      </c>
    </row>
    <row r="116" spans="1:40">
      <c r="A116" s="48" t="s">
        <v>226</v>
      </c>
      <c r="B116" s="32">
        <v>12</v>
      </c>
      <c r="C116" s="33" t="s">
        <v>1151</v>
      </c>
      <c r="D116" s="33" t="s">
        <v>1329</v>
      </c>
      <c r="E116" s="33" t="s">
        <v>1330</v>
      </c>
      <c r="F116" s="32" t="s">
        <v>1331</v>
      </c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34">
        <v>1</v>
      </c>
      <c r="AE116" s="34">
        <v>1</v>
      </c>
      <c r="AF116" s="34">
        <v>1</v>
      </c>
      <c r="AG116" s="34">
        <v>1</v>
      </c>
      <c r="AH116" s="34">
        <v>1</v>
      </c>
      <c r="AI116" s="34">
        <v>1</v>
      </c>
      <c r="AJ116" s="46"/>
      <c r="AK116" s="46"/>
      <c r="AL116" s="10">
        <f t="shared" si="15"/>
        <v>6</v>
      </c>
      <c r="AM116" s="12">
        <v>32000</v>
      </c>
      <c r="AN116" s="12">
        <f t="shared" si="16"/>
        <v>192000</v>
      </c>
    </row>
    <row r="117" spans="1:40">
      <c r="A117" s="48" t="s">
        <v>226</v>
      </c>
      <c r="B117" s="32">
        <v>12</v>
      </c>
      <c r="C117" s="33" t="s">
        <v>26</v>
      </c>
      <c r="D117" s="33" t="s">
        <v>91</v>
      </c>
      <c r="E117" s="33" t="s">
        <v>1428</v>
      </c>
      <c r="F117" s="32" t="s">
        <v>1436</v>
      </c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34">
        <v>1</v>
      </c>
      <c r="AF117" s="34">
        <v>1</v>
      </c>
      <c r="AG117" s="34">
        <v>1</v>
      </c>
      <c r="AH117" s="34">
        <v>1</v>
      </c>
      <c r="AI117" s="34">
        <v>1</v>
      </c>
      <c r="AJ117" s="34">
        <v>1</v>
      </c>
      <c r="AK117" s="34">
        <v>1</v>
      </c>
      <c r="AL117" s="10">
        <f t="shared" si="15"/>
        <v>7</v>
      </c>
      <c r="AM117" s="12">
        <v>32000</v>
      </c>
      <c r="AN117" s="12">
        <f t="shared" si="16"/>
        <v>224000</v>
      </c>
    </row>
    <row r="118" spans="1:40">
      <c r="A118" s="48" t="s">
        <v>226</v>
      </c>
      <c r="B118" s="32">
        <v>13</v>
      </c>
      <c r="C118" s="33" t="s">
        <v>170</v>
      </c>
      <c r="D118" s="33" t="s">
        <v>1110</v>
      </c>
      <c r="E118" s="33" t="s">
        <v>1111</v>
      </c>
      <c r="F118" s="32" t="s">
        <v>1112</v>
      </c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34">
        <v>1</v>
      </c>
      <c r="W118" s="34">
        <v>1</v>
      </c>
      <c r="X118" s="34">
        <v>1</v>
      </c>
      <c r="Y118" s="34">
        <v>1</v>
      </c>
      <c r="Z118" s="34">
        <v>1</v>
      </c>
      <c r="AA118" s="34">
        <v>1</v>
      </c>
      <c r="AB118" s="34">
        <v>1</v>
      </c>
      <c r="AC118" s="34">
        <v>1</v>
      </c>
      <c r="AD118" s="34">
        <v>1</v>
      </c>
      <c r="AE118" s="34">
        <v>1</v>
      </c>
      <c r="AF118" s="34">
        <v>1</v>
      </c>
      <c r="AG118" s="34">
        <v>1</v>
      </c>
      <c r="AH118" s="34">
        <v>1</v>
      </c>
      <c r="AI118" s="34">
        <v>1</v>
      </c>
      <c r="AJ118" s="34">
        <v>1</v>
      </c>
      <c r="AK118" s="34">
        <v>1</v>
      </c>
      <c r="AL118" s="10">
        <f t="shared" si="15"/>
        <v>16</v>
      </c>
      <c r="AM118" s="12">
        <v>32000</v>
      </c>
      <c r="AN118" s="12">
        <f t="shared" si="16"/>
        <v>512000</v>
      </c>
    </row>
    <row r="119" spans="1:40">
      <c r="A119" s="48" t="s">
        <v>226</v>
      </c>
      <c r="B119" s="32">
        <v>13</v>
      </c>
      <c r="C119" s="33" t="s">
        <v>855</v>
      </c>
      <c r="D119" s="33" t="s">
        <v>273</v>
      </c>
      <c r="E119" s="33" t="s">
        <v>606</v>
      </c>
      <c r="F119" s="32" t="s">
        <v>1113</v>
      </c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34">
        <v>1</v>
      </c>
      <c r="W119" s="34">
        <v>1</v>
      </c>
      <c r="X119" s="34">
        <v>1</v>
      </c>
      <c r="Y119" s="34">
        <v>1</v>
      </c>
      <c r="Z119" s="34">
        <v>1</v>
      </c>
      <c r="AA119" s="34">
        <v>1</v>
      </c>
      <c r="AB119" s="34">
        <v>1</v>
      </c>
      <c r="AC119" s="34">
        <v>1</v>
      </c>
      <c r="AD119" s="34">
        <v>1</v>
      </c>
      <c r="AE119" s="34">
        <v>1</v>
      </c>
      <c r="AF119" s="34">
        <v>1</v>
      </c>
      <c r="AG119" s="34">
        <v>1</v>
      </c>
      <c r="AH119" s="34">
        <v>1</v>
      </c>
      <c r="AI119" s="34">
        <v>1</v>
      </c>
      <c r="AJ119" s="34">
        <v>1</v>
      </c>
      <c r="AK119" s="34">
        <v>1</v>
      </c>
      <c r="AL119" s="10">
        <f t="shared" si="15"/>
        <v>16</v>
      </c>
      <c r="AM119" s="12">
        <v>32000</v>
      </c>
      <c r="AN119" s="12">
        <f t="shared" si="16"/>
        <v>512000</v>
      </c>
    </row>
    <row r="120" spans="1:40">
      <c r="A120" s="48" t="s">
        <v>226</v>
      </c>
      <c r="B120" s="32">
        <v>15</v>
      </c>
      <c r="C120" s="33" t="s">
        <v>1100</v>
      </c>
      <c r="D120" s="33" t="s">
        <v>187</v>
      </c>
      <c r="E120" s="33" t="s">
        <v>970</v>
      </c>
      <c r="F120" s="32" t="s">
        <v>1101</v>
      </c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34">
        <v>1</v>
      </c>
      <c r="W120" s="34">
        <v>1</v>
      </c>
      <c r="X120" s="34">
        <v>1</v>
      </c>
      <c r="Y120" s="34">
        <v>1</v>
      </c>
      <c r="Z120" s="34">
        <v>1</v>
      </c>
      <c r="AA120" s="34">
        <v>1</v>
      </c>
      <c r="AB120" s="34">
        <v>1</v>
      </c>
      <c r="AC120" s="34">
        <v>1</v>
      </c>
      <c r="AD120" s="34">
        <v>1</v>
      </c>
      <c r="AE120" s="34">
        <v>1</v>
      </c>
      <c r="AF120" s="34">
        <v>1</v>
      </c>
      <c r="AG120" s="34">
        <v>1</v>
      </c>
      <c r="AH120" s="34">
        <v>1</v>
      </c>
      <c r="AI120" s="34">
        <v>1</v>
      </c>
      <c r="AJ120" s="34">
        <v>1</v>
      </c>
      <c r="AK120" s="34">
        <v>1</v>
      </c>
      <c r="AL120" s="10">
        <f t="shared" si="15"/>
        <v>16</v>
      </c>
      <c r="AM120" s="12">
        <v>32000</v>
      </c>
      <c r="AN120" s="12">
        <f t="shared" si="16"/>
        <v>512000</v>
      </c>
    </row>
    <row r="121" spans="1:40">
      <c r="A121" s="48" t="s">
        <v>226</v>
      </c>
      <c r="B121" s="32">
        <v>15</v>
      </c>
      <c r="C121" s="33" t="s">
        <v>1102</v>
      </c>
      <c r="D121" s="33" t="s">
        <v>1038</v>
      </c>
      <c r="E121" s="33" t="s">
        <v>89</v>
      </c>
      <c r="F121" s="32" t="s">
        <v>1103</v>
      </c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34">
        <v>1</v>
      </c>
      <c r="W121" s="34">
        <v>1</v>
      </c>
      <c r="X121" s="34">
        <v>1</v>
      </c>
      <c r="Y121" s="34">
        <v>1</v>
      </c>
      <c r="Z121" s="34">
        <v>1</v>
      </c>
      <c r="AA121" s="34">
        <v>1</v>
      </c>
      <c r="AB121" s="34">
        <v>1</v>
      </c>
      <c r="AC121" s="34">
        <v>1</v>
      </c>
      <c r="AD121" s="34">
        <v>1</v>
      </c>
      <c r="AE121" s="34">
        <v>1</v>
      </c>
      <c r="AF121" s="34">
        <v>1</v>
      </c>
      <c r="AG121" s="34">
        <v>1</v>
      </c>
      <c r="AH121" s="34">
        <v>1</v>
      </c>
      <c r="AI121" s="34">
        <v>1</v>
      </c>
      <c r="AJ121" s="34">
        <v>1</v>
      </c>
      <c r="AK121" s="34">
        <v>1</v>
      </c>
      <c r="AL121" s="10">
        <f t="shared" si="15"/>
        <v>16</v>
      </c>
      <c r="AM121" s="12">
        <v>32000</v>
      </c>
      <c r="AN121" s="12">
        <f t="shared" si="16"/>
        <v>512000</v>
      </c>
    </row>
    <row r="122" spans="1:40">
      <c r="A122" s="48" t="s">
        <v>226</v>
      </c>
      <c r="B122" s="32">
        <v>16</v>
      </c>
      <c r="C122" s="33" t="s">
        <v>220</v>
      </c>
      <c r="D122" s="33" t="s">
        <v>1104</v>
      </c>
      <c r="E122" s="33" t="s">
        <v>20</v>
      </c>
      <c r="F122" s="32" t="s">
        <v>1105</v>
      </c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34">
        <v>1</v>
      </c>
      <c r="W122" s="34">
        <v>1</v>
      </c>
      <c r="X122" s="34">
        <v>1</v>
      </c>
      <c r="Y122" s="34">
        <v>1</v>
      </c>
      <c r="Z122" s="34">
        <v>1</v>
      </c>
      <c r="AA122" s="34">
        <v>1</v>
      </c>
      <c r="AB122" s="34">
        <v>1</v>
      </c>
      <c r="AC122" s="34">
        <v>1</v>
      </c>
      <c r="AD122" s="34">
        <v>1</v>
      </c>
      <c r="AE122" s="34">
        <v>1</v>
      </c>
      <c r="AF122" s="34">
        <v>1</v>
      </c>
      <c r="AG122" s="34">
        <v>1</v>
      </c>
      <c r="AH122" s="34">
        <v>1</v>
      </c>
      <c r="AI122" s="34">
        <v>1</v>
      </c>
      <c r="AJ122" s="34">
        <v>1</v>
      </c>
      <c r="AK122" s="34">
        <v>1</v>
      </c>
      <c r="AL122" s="10">
        <f t="shared" si="15"/>
        <v>16</v>
      </c>
      <c r="AM122" s="12">
        <v>32000</v>
      </c>
      <c r="AN122" s="12">
        <f t="shared" si="16"/>
        <v>512000</v>
      </c>
    </row>
    <row r="123" spans="1:40">
      <c r="A123" s="48" t="s">
        <v>226</v>
      </c>
      <c r="B123" s="32">
        <v>16</v>
      </c>
      <c r="C123" s="33" t="s">
        <v>200</v>
      </c>
      <c r="D123" s="33" t="s">
        <v>1106</v>
      </c>
      <c r="E123" s="33" t="s">
        <v>11</v>
      </c>
      <c r="F123" s="32" t="s">
        <v>1107</v>
      </c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34">
        <v>1</v>
      </c>
      <c r="W123" s="34">
        <v>1</v>
      </c>
      <c r="X123" s="34">
        <v>1</v>
      </c>
      <c r="Y123" s="34">
        <v>1</v>
      </c>
      <c r="Z123" s="34">
        <v>1</v>
      </c>
      <c r="AA123" s="34">
        <v>1</v>
      </c>
      <c r="AB123" s="34">
        <v>1</v>
      </c>
      <c r="AC123" s="34">
        <v>1</v>
      </c>
      <c r="AD123" s="34">
        <v>1</v>
      </c>
      <c r="AE123" s="34">
        <v>1</v>
      </c>
      <c r="AF123" s="34">
        <v>1</v>
      </c>
      <c r="AG123" s="34">
        <v>1</v>
      </c>
      <c r="AH123" s="34">
        <v>1</v>
      </c>
      <c r="AI123" s="34">
        <v>1</v>
      </c>
      <c r="AJ123" s="34">
        <v>1</v>
      </c>
      <c r="AK123" s="34">
        <v>1</v>
      </c>
      <c r="AL123" s="10">
        <f t="shared" si="15"/>
        <v>16</v>
      </c>
      <c r="AM123" s="12">
        <v>32000</v>
      </c>
      <c r="AN123" s="12">
        <f t="shared" si="16"/>
        <v>512000</v>
      </c>
    </row>
    <row r="124" spans="1:40">
      <c r="A124" s="48" t="s">
        <v>226</v>
      </c>
      <c r="B124" s="32">
        <v>17</v>
      </c>
      <c r="C124" s="33" t="s">
        <v>704</v>
      </c>
      <c r="D124" s="33" t="s">
        <v>245</v>
      </c>
      <c r="E124" s="33" t="s">
        <v>135</v>
      </c>
      <c r="F124" s="32" t="s">
        <v>1108</v>
      </c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34">
        <v>1</v>
      </c>
      <c r="W124" s="34">
        <v>1</v>
      </c>
      <c r="X124" s="34">
        <v>1</v>
      </c>
      <c r="Y124" s="34">
        <v>1</v>
      </c>
      <c r="Z124" s="34">
        <v>1</v>
      </c>
      <c r="AA124" s="34">
        <v>1</v>
      </c>
      <c r="AB124" s="34">
        <v>1</v>
      </c>
      <c r="AC124" s="34">
        <v>1</v>
      </c>
      <c r="AD124" s="34">
        <v>1</v>
      </c>
      <c r="AE124" s="34">
        <v>1</v>
      </c>
      <c r="AF124" s="34">
        <v>1</v>
      </c>
      <c r="AG124" s="34">
        <v>1</v>
      </c>
      <c r="AH124" s="34">
        <v>1</v>
      </c>
      <c r="AI124" s="34">
        <v>1</v>
      </c>
      <c r="AJ124" s="34">
        <v>1</v>
      </c>
      <c r="AK124" s="34">
        <v>1</v>
      </c>
      <c r="AL124" s="10">
        <f t="shared" si="15"/>
        <v>16</v>
      </c>
      <c r="AM124" s="12">
        <v>32000</v>
      </c>
      <c r="AN124" s="12">
        <f t="shared" si="16"/>
        <v>512000</v>
      </c>
    </row>
    <row r="125" spans="1:40">
      <c r="A125" s="48" t="s">
        <v>226</v>
      </c>
      <c r="B125" s="32">
        <v>17</v>
      </c>
      <c r="C125" s="33" t="s">
        <v>660</v>
      </c>
      <c r="D125" s="33" t="s">
        <v>38</v>
      </c>
      <c r="E125" s="33" t="s">
        <v>133</v>
      </c>
      <c r="F125" s="32" t="s">
        <v>1109</v>
      </c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34">
        <v>1</v>
      </c>
      <c r="W125" s="34">
        <v>1</v>
      </c>
      <c r="X125" s="34">
        <v>1</v>
      </c>
      <c r="Y125" s="34">
        <v>1</v>
      </c>
      <c r="Z125" s="34">
        <v>1</v>
      </c>
      <c r="AA125" s="34">
        <v>1</v>
      </c>
      <c r="AB125" s="34">
        <v>1</v>
      </c>
      <c r="AC125" s="34">
        <v>1</v>
      </c>
      <c r="AD125" s="34">
        <v>1</v>
      </c>
      <c r="AE125" s="34">
        <v>1</v>
      </c>
      <c r="AF125" s="34">
        <v>1</v>
      </c>
      <c r="AG125" s="34">
        <v>1</v>
      </c>
      <c r="AH125" s="34">
        <v>1</v>
      </c>
      <c r="AI125" s="34">
        <v>1</v>
      </c>
      <c r="AJ125" s="34">
        <v>1</v>
      </c>
      <c r="AK125" s="34">
        <v>1</v>
      </c>
      <c r="AL125" s="10">
        <f t="shared" si="15"/>
        <v>16</v>
      </c>
      <c r="AM125" s="12">
        <v>32000</v>
      </c>
      <c r="AN125" s="12">
        <f t="shared" si="16"/>
        <v>512000</v>
      </c>
    </row>
    <row r="126" spans="1:40">
      <c r="A126" s="48" t="s">
        <v>226</v>
      </c>
      <c r="B126" s="32">
        <v>25</v>
      </c>
      <c r="C126" s="33" t="s">
        <v>206</v>
      </c>
      <c r="D126" s="33" t="s">
        <v>1003</v>
      </c>
      <c r="E126" s="33" t="s">
        <v>384</v>
      </c>
      <c r="F126" s="32" t="s">
        <v>1004</v>
      </c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34">
        <v>1</v>
      </c>
      <c r="X126" s="34">
        <v>1</v>
      </c>
      <c r="Y126" s="34">
        <v>1</v>
      </c>
      <c r="Z126" s="34">
        <v>1</v>
      </c>
      <c r="AA126" s="34">
        <v>1</v>
      </c>
      <c r="AB126" s="34">
        <v>1</v>
      </c>
      <c r="AC126" s="34">
        <v>1</v>
      </c>
      <c r="AD126" s="34">
        <v>1</v>
      </c>
      <c r="AE126" s="34">
        <v>1</v>
      </c>
      <c r="AF126" s="34">
        <v>1</v>
      </c>
      <c r="AG126" s="34">
        <v>1</v>
      </c>
      <c r="AH126" s="34">
        <v>1</v>
      </c>
      <c r="AI126" s="34">
        <v>1</v>
      </c>
      <c r="AJ126" s="46"/>
      <c r="AK126" s="46"/>
      <c r="AL126" s="10">
        <f t="shared" si="15"/>
        <v>13</v>
      </c>
      <c r="AM126" s="12">
        <v>32000</v>
      </c>
      <c r="AN126" s="12">
        <f t="shared" si="16"/>
        <v>416000</v>
      </c>
    </row>
    <row r="127" spans="1:40">
      <c r="A127" s="48" t="s">
        <v>226</v>
      </c>
      <c r="B127" s="32">
        <v>25</v>
      </c>
      <c r="C127" s="33" t="s">
        <v>383</v>
      </c>
      <c r="D127" s="33" t="s">
        <v>1001</v>
      </c>
      <c r="E127" s="33" t="s">
        <v>11</v>
      </c>
      <c r="F127" s="32" t="s">
        <v>1002</v>
      </c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34">
        <v>1</v>
      </c>
      <c r="X127" s="34">
        <v>1</v>
      </c>
      <c r="Y127" s="34">
        <v>1</v>
      </c>
      <c r="Z127" s="34">
        <v>1</v>
      </c>
      <c r="AA127" s="34">
        <v>1</v>
      </c>
      <c r="AB127" s="34">
        <v>1</v>
      </c>
      <c r="AC127" s="34">
        <v>1</v>
      </c>
      <c r="AD127" s="34">
        <v>1</v>
      </c>
      <c r="AE127" s="34">
        <v>1</v>
      </c>
      <c r="AF127" s="34">
        <v>1</v>
      </c>
      <c r="AG127" s="34">
        <v>1</v>
      </c>
      <c r="AH127" s="34">
        <v>1</v>
      </c>
      <c r="AI127" s="34">
        <v>1</v>
      </c>
      <c r="AJ127" s="46"/>
      <c r="AK127" s="46"/>
      <c r="AL127" s="10">
        <f t="shared" si="15"/>
        <v>13</v>
      </c>
      <c r="AM127" s="12">
        <v>32000</v>
      </c>
      <c r="AN127" s="12">
        <f t="shared" si="16"/>
        <v>416000</v>
      </c>
    </row>
    <row r="128" spans="1:40">
      <c r="A128" s="48" t="s">
        <v>226</v>
      </c>
      <c r="B128" s="32">
        <v>26</v>
      </c>
      <c r="C128" s="33" t="s">
        <v>151</v>
      </c>
      <c r="D128" s="33" t="s">
        <v>151</v>
      </c>
      <c r="E128" s="33" t="s">
        <v>382</v>
      </c>
      <c r="F128" s="32" t="s">
        <v>997</v>
      </c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34">
        <v>1</v>
      </c>
      <c r="X128" s="34">
        <v>1</v>
      </c>
      <c r="Y128" s="34">
        <v>1</v>
      </c>
      <c r="Z128" s="34">
        <v>1</v>
      </c>
      <c r="AA128" s="34">
        <v>1</v>
      </c>
      <c r="AB128" s="34">
        <v>1</v>
      </c>
      <c r="AC128" s="34">
        <v>1</v>
      </c>
      <c r="AD128" s="34">
        <v>1</v>
      </c>
      <c r="AE128" s="34">
        <v>1</v>
      </c>
      <c r="AF128" s="34">
        <v>1</v>
      </c>
      <c r="AG128" s="34">
        <v>1</v>
      </c>
      <c r="AH128" s="34">
        <v>1</v>
      </c>
      <c r="AI128" s="34">
        <v>1</v>
      </c>
      <c r="AJ128" s="46"/>
      <c r="AK128" s="46"/>
      <c r="AL128" s="10">
        <f t="shared" si="15"/>
        <v>13</v>
      </c>
      <c r="AM128" s="12">
        <v>32000</v>
      </c>
      <c r="AN128" s="12">
        <f t="shared" si="16"/>
        <v>416000</v>
      </c>
    </row>
    <row r="129" spans="1:40">
      <c r="A129" s="48" t="s">
        <v>226</v>
      </c>
      <c r="B129" s="32">
        <v>26</v>
      </c>
      <c r="C129" s="33" t="s">
        <v>202</v>
      </c>
      <c r="D129" s="33" t="s">
        <v>19</v>
      </c>
      <c r="E129" s="33" t="s">
        <v>455</v>
      </c>
      <c r="F129" s="32" t="s">
        <v>996</v>
      </c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34">
        <v>1</v>
      </c>
      <c r="X129" s="34">
        <v>1</v>
      </c>
      <c r="Y129" s="34">
        <v>1</v>
      </c>
      <c r="Z129" s="34">
        <v>1</v>
      </c>
      <c r="AA129" s="34">
        <v>1</v>
      </c>
      <c r="AB129" s="34">
        <v>1</v>
      </c>
      <c r="AC129" s="34">
        <v>1</v>
      </c>
      <c r="AD129" s="34">
        <v>1</v>
      </c>
      <c r="AE129" s="34">
        <v>1</v>
      </c>
      <c r="AF129" s="34">
        <v>1</v>
      </c>
      <c r="AG129" s="34">
        <v>1</v>
      </c>
      <c r="AH129" s="34">
        <v>1</v>
      </c>
      <c r="AI129" s="34">
        <v>1</v>
      </c>
      <c r="AJ129" s="46"/>
      <c r="AK129" s="46"/>
      <c r="AL129" s="10">
        <f t="shared" si="15"/>
        <v>13</v>
      </c>
      <c r="AM129" s="12">
        <v>32000</v>
      </c>
      <c r="AN129" s="12">
        <f t="shared" si="16"/>
        <v>416000</v>
      </c>
    </row>
    <row r="130" spans="1:40">
      <c r="A130" s="48" t="s">
        <v>226</v>
      </c>
      <c r="B130" s="32">
        <v>27</v>
      </c>
      <c r="C130" s="33" t="s">
        <v>47</v>
      </c>
      <c r="D130" s="33" t="s">
        <v>91</v>
      </c>
      <c r="E130" s="33" t="s">
        <v>24</v>
      </c>
      <c r="F130" s="32" t="s">
        <v>1005</v>
      </c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34">
        <v>1</v>
      </c>
      <c r="X130" s="34">
        <v>1</v>
      </c>
      <c r="Y130" s="34">
        <v>1</v>
      </c>
      <c r="Z130" s="34">
        <v>1</v>
      </c>
      <c r="AA130" s="34">
        <v>1</v>
      </c>
      <c r="AB130" s="34">
        <v>1</v>
      </c>
      <c r="AC130" s="34">
        <v>1</v>
      </c>
      <c r="AD130" s="34">
        <v>1</v>
      </c>
      <c r="AE130" s="34">
        <v>1</v>
      </c>
      <c r="AF130" s="34">
        <v>1</v>
      </c>
      <c r="AG130" s="34">
        <v>1</v>
      </c>
      <c r="AH130" s="34">
        <v>1</v>
      </c>
      <c r="AI130" s="34">
        <v>1</v>
      </c>
      <c r="AJ130" s="46"/>
      <c r="AK130" s="46"/>
      <c r="AL130" s="10">
        <f t="shared" si="15"/>
        <v>13</v>
      </c>
      <c r="AM130" s="12">
        <v>32000</v>
      </c>
      <c r="AN130" s="12">
        <f t="shared" si="16"/>
        <v>416000</v>
      </c>
    </row>
    <row r="131" spans="1:40">
      <c r="A131" s="48" t="s">
        <v>226</v>
      </c>
      <c r="B131" s="32">
        <v>27</v>
      </c>
      <c r="C131" s="33" t="s">
        <v>332</v>
      </c>
      <c r="D131" s="33" t="s">
        <v>13</v>
      </c>
      <c r="E131" s="33" t="s">
        <v>169</v>
      </c>
      <c r="F131" s="32" t="s">
        <v>983</v>
      </c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34">
        <v>1</v>
      </c>
      <c r="X131" s="34">
        <v>1</v>
      </c>
      <c r="Y131" s="34">
        <v>1</v>
      </c>
      <c r="Z131" s="34">
        <v>1</v>
      </c>
      <c r="AA131" s="34">
        <v>1</v>
      </c>
      <c r="AB131" s="34">
        <v>1</v>
      </c>
      <c r="AC131" s="34">
        <v>1</v>
      </c>
      <c r="AD131" s="34">
        <v>1</v>
      </c>
      <c r="AE131" s="34">
        <v>1</v>
      </c>
      <c r="AF131" s="34">
        <v>1</v>
      </c>
      <c r="AG131" s="34">
        <v>1</v>
      </c>
      <c r="AH131" s="34">
        <v>1</v>
      </c>
      <c r="AI131" s="34">
        <v>1</v>
      </c>
      <c r="AJ131" s="46"/>
      <c r="AK131" s="46"/>
      <c r="AL131" s="10">
        <f t="shared" si="15"/>
        <v>13</v>
      </c>
      <c r="AM131" s="12">
        <v>32000</v>
      </c>
      <c r="AN131" s="12">
        <f t="shared" si="16"/>
        <v>416000</v>
      </c>
    </row>
    <row r="132" spans="1:40">
      <c r="A132" s="48" t="s">
        <v>226</v>
      </c>
      <c r="B132" s="32">
        <v>30</v>
      </c>
      <c r="C132" s="33" t="s">
        <v>1157</v>
      </c>
      <c r="D132" s="33" t="s">
        <v>47</v>
      </c>
      <c r="E132" s="33" t="s">
        <v>943</v>
      </c>
      <c r="F132" s="32" t="s">
        <v>1162</v>
      </c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34">
        <v>1</v>
      </c>
      <c r="Z132" s="34">
        <v>1</v>
      </c>
      <c r="AA132" s="34">
        <v>1</v>
      </c>
      <c r="AB132" s="34">
        <v>1</v>
      </c>
      <c r="AC132" s="34">
        <v>1</v>
      </c>
      <c r="AD132" s="34">
        <v>1</v>
      </c>
      <c r="AE132" s="34">
        <v>1</v>
      </c>
      <c r="AF132" s="34">
        <v>1</v>
      </c>
      <c r="AG132" s="34">
        <v>1</v>
      </c>
      <c r="AH132" s="34">
        <v>1</v>
      </c>
      <c r="AI132" s="34">
        <v>1</v>
      </c>
      <c r="AJ132" s="34">
        <v>1</v>
      </c>
      <c r="AK132" s="34">
        <v>1</v>
      </c>
      <c r="AL132" s="10">
        <f t="shared" ref="AL132:AL163" si="17">SUM(G132:AK132)</f>
        <v>13</v>
      </c>
      <c r="AM132" s="12">
        <v>32000</v>
      </c>
      <c r="AN132" s="12">
        <f t="shared" ref="AN132:AN163" si="18">AM132*AL132</f>
        <v>416000</v>
      </c>
    </row>
    <row r="133" spans="1:40">
      <c r="A133" s="48" t="s">
        <v>226</v>
      </c>
      <c r="B133" s="32">
        <v>30</v>
      </c>
      <c r="C133" s="33" t="s">
        <v>84</v>
      </c>
      <c r="D133" s="33" t="s">
        <v>1158</v>
      </c>
      <c r="E133" s="33" t="s">
        <v>229</v>
      </c>
      <c r="F133" s="32" t="s">
        <v>1161</v>
      </c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34">
        <v>1</v>
      </c>
      <c r="Z133" s="34">
        <v>1</v>
      </c>
      <c r="AA133" s="34">
        <v>1</v>
      </c>
      <c r="AB133" s="34">
        <v>1</v>
      </c>
      <c r="AC133" s="34">
        <v>1</v>
      </c>
      <c r="AD133" s="34">
        <v>1</v>
      </c>
      <c r="AE133" s="34">
        <v>1</v>
      </c>
      <c r="AF133" s="34">
        <v>1</v>
      </c>
      <c r="AG133" s="34">
        <v>1</v>
      </c>
      <c r="AH133" s="34">
        <v>1</v>
      </c>
      <c r="AI133" s="34">
        <v>1</v>
      </c>
      <c r="AJ133" s="34">
        <v>1</v>
      </c>
      <c r="AK133" s="34">
        <v>1</v>
      </c>
      <c r="AL133" s="10">
        <f t="shared" si="17"/>
        <v>13</v>
      </c>
      <c r="AM133" s="12">
        <v>32000</v>
      </c>
      <c r="AN133" s="12">
        <f t="shared" si="18"/>
        <v>416000</v>
      </c>
    </row>
    <row r="134" spans="1:40">
      <c r="A134" s="48" t="s">
        <v>226</v>
      </c>
      <c r="B134" s="32">
        <v>35</v>
      </c>
      <c r="C134" s="33" t="s">
        <v>1152</v>
      </c>
      <c r="D134" s="33" t="s">
        <v>1153</v>
      </c>
      <c r="E134" s="33" t="s">
        <v>196</v>
      </c>
      <c r="F134" s="32" t="s">
        <v>1168</v>
      </c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34">
        <v>1</v>
      </c>
      <c r="Z134" s="34">
        <v>1</v>
      </c>
      <c r="AA134" s="34">
        <v>1</v>
      </c>
      <c r="AB134" s="34">
        <v>1</v>
      </c>
      <c r="AC134" s="34">
        <v>1</v>
      </c>
      <c r="AD134" s="34">
        <v>1</v>
      </c>
      <c r="AE134" s="34">
        <v>1</v>
      </c>
      <c r="AF134" s="34">
        <v>1</v>
      </c>
      <c r="AG134" s="34">
        <v>1</v>
      </c>
      <c r="AH134" s="34">
        <v>1</v>
      </c>
      <c r="AI134" s="34">
        <v>1</v>
      </c>
      <c r="AJ134" s="34">
        <v>1</v>
      </c>
      <c r="AK134" s="34">
        <v>1</v>
      </c>
      <c r="AL134" s="10">
        <f t="shared" si="17"/>
        <v>13</v>
      </c>
      <c r="AM134" s="12">
        <v>32000</v>
      </c>
      <c r="AN134" s="12">
        <f t="shared" si="18"/>
        <v>416000</v>
      </c>
    </row>
    <row r="135" spans="1:40">
      <c r="A135" s="48" t="s">
        <v>226</v>
      </c>
      <c r="B135" s="32">
        <v>35</v>
      </c>
      <c r="C135" s="33" t="s">
        <v>293</v>
      </c>
      <c r="D135" s="33" t="s">
        <v>1155</v>
      </c>
      <c r="E135" s="33" t="s">
        <v>24</v>
      </c>
      <c r="F135" s="32" t="s">
        <v>1165</v>
      </c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34">
        <v>1</v>
      </c>
      <c r="Z135" s="34">
        <v>1</v>
      </c>
      <c r="AA135" s="34">
        <v>1</v>
      </c>
      <c r="AB135" s="34">
        <v>1</v>
      </c>
      <c r="AC135" s="34">
        <v>1</v>
      </c>
      <c r="AD135" s="34">
        <v>1</v>
      </c>
      <c r="AE135" s="34">
        <v>1</v>
      </c>
      <c r="AF135" s="34">
        <v>1</v>
      </c>
      <c r="AG135" s="34">
        <v>1</v>
      </c>
      <c r="AH135" s="34">
        <v>1</v>
      </c>
      <c r="AI135" s="34">
        <v>1</v>
      </c>
      <c r="AJ135" s="34">
        <v>1</v>
      </c>
      <c r="AK135" s="34">
        <v>1</v>
      </c>
      <c r="AL135" s="10">
        <f t="shared" si="17"/>
        <v>13</v>
      </c>
      <c r="AM135" s="12">
        <v>32000</v>
      </c>
      <c r="AN135" s="12">
        <f t="shared" si="18"/>
        <v>416000</v>
      </c>
    </row>
    <row r="136" spans="1:40">
      <c r="A136" s="48" t="s">
        <v>226</v>
      </c>
      <c r="B136" s="32">
        <v>38</v>
      </c>
      <c r="C136" s="33" t="s">
        <v>402</v>
      </c>
      <c r="D136" s="33" t="s">
        <v>859</v>
      </c>
      <c r="E136" s="33" t="s">
        <v>184</v>
      </c>
      <c r="F136" s="32" t="s">
        <v>1167</v>
      </c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34">
        <v>1</v>
      </c>
      <c r="Z136" s="34">
        <v>1</v>
      </c>
      <c r="AA136" s="34">
        <v>1</v>
      </c>
      <c r="AB136" s="34">
        <v>1</v>
      </c>
      <c r="AC136" s="34">
        <v>1</v>
      </c>
      <c r="AD136" s="34">
        <v>1</v>
      </c>
      <c r="AE136" s="34">
        <v>1</v>
      </c>
      <c r="AF136" s="34">
        <v>1</v>
      </c>
      <c r="AG136" s="34">
        <v>1</v>
      </c>
      <c r="AH136" s="34">
        <v>1</v>
      </c>
      <c r="AI136" s="34">
        <v>1</v>
      </c>
      <c r="AJ136" s="34">
        <v>1</v>
      </c>
      <c r="AK136" s="34">
        <v>1</v>
      </c>
      <c r="AL136" s="10">
        <f t="shared" si="17"/>
        <v>13</v>
      </c>
      <c r="AM136" s="12">
        <v>32000</v>
      </c>
      <c r="AN136" s="12">
        <f t="shared" si="18"/>
        <v>416000</v>
      </c>
    </row>
    <row r="137" spans="1:40">
      <c r="A137" s="48" t="s">
        <v>226</v>
      </c>
      <c r="B137" s="32">
        <v>38</v>
      </c>
      <c r="C137" s="33" t="s">
        <v>608</v>
      </c>
      <c r="D137" s="33" t="s">
        <v>1122</v>
      </c>
      <c r="E137" s="33" t="s">
        <v>1154</v>
      </c>
      <c r="F137" s="32" t="s">
        <v>1166</v>
      </c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34">
        <v>1</v>
      </c>
      <c r="Z137" s="34">
        <v>1</v>
      </c>
      <c r="AA137" s="34">
        <v>1</v>
      </c>
      <c r="AB137" s="34">
        <v>1</v>
      </c>
      <c r="AC137" s="34">
        <v>1</v>
      </c>
      <c r="AD137" s="34">
        <v>1</v>
      </c>
      <c r="AE137" s="34">
        <v>1</v>
      </c>
      <c r="AF137" s="34">
        <v>1</v>
      </c>
      <c r="AG137" s="34">
        <v>1</v>
      </c>
      <c r="AH137" s="34">
        <v>1</v>
      </c>
      <c r="AI137" s="34">
        <v>1</v>
      </c>
      <c r="AJ137" s="34">
        <v>1</v>
      </c>
      <c r="AK137" s="34">
        <v>1</v>
      </c>
      <c r="AL137" s="10">
        <f t="shared" si="17"/>
        <v>13</v>
      </c>
      <c r="AM137" s="12">
        <v>32000</v>
      </c>
      <c r="AN137" s="12">
        <f t="shared" si="18"/>
        <v>416000</v>
      </c>
    </row>
    <row r="138" spans="1:40">
      <c r="A138" s="48" t="s">
        <v>226</v>
      </c>
      <c r="B138" s="32">
        <v>40</v>
      </c>
      <c r="C138" s="33" t="s">
        <v>170</v>
      </c>
      <c r="D138" s="33" t="s">
        <v>1156</v>
      </c>
      <c r="E138" s="33" t="s">
        <v>64</v>
      </c>
      <c r="F138" s="32" t="s">
        <v>1164</v>
      </c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34">
        <v>1</v>
      </c>
      <c r="Z138" s="34">
        <v>1</v>
      </c>
      <c r="AA138" s="34">
        <v>1</v>
      </c>
      <c r="AB138" s="34">
        <v>1</v>
      </c>
      <c r="AC138" s="34">
        <v>1</v>
      </c>
      <c r="AD138" s="34">
        <v>1</v>
      </c>
      <c r="AE138" s="34">
        <v>1</v>
      </c>
      <c r="AF138" s="34">
        <v>1</v>
      </c>
      <c r="AG138" s="34">
        <v>1</v>
      </c>
      <c r="AH138" s="34">
        <v>1</v>
      </c>
      <c r="AI138" s="34">
        <v>1</v>
      </c>
      <c r="AJ138" s="34">
        <v>1</v>
      </c>
      <c r="AK138" s="34">
        <v>1</v>
      </c>
      <c r="AL138" s="10">
        <f t="shared" si="17"/>
        <v>13</v>
      </c>
      <c r="AM138" s="12">
        <v>32000</v>
      </c>
      <c r="AN138" s="12">
        <f t="shared" si="18"/>
        <v>416000</v>
      </c>
    </row>
    <row r="139" spans="1:40">
      <c r="A139" s="48" t="s">
        <v>226</v>
      </c>
      <c r="B139" s="32">
        <v>40</v>
      </c>
      <c r="C139" s="33" t="s">
        <v>159</v>
      </c>
      <c r="D139" s="33" t="s">
        <v>159</v>
      </c>
      <c r="E139" s="33" t="s">
        <v>1070</v>
      </c>
      <c r="F139" s="32" t="s">
        <v>1163</v>
      </c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34">
        <v>1</v>
      </c>
      <c r="Z139" s="34">
        <v>1</v>
      </c>
      <c r="AA139" s="34">
        <v>1</v>
      </c>
      <c r="AB139" s="34">
        <v>1</v>
      </c>
      <c r="AC139" s="34">
        <v>1</v>
      </c>
      <c r="AD139" s="34">
        <v>1</v>
      </c>
      <c r="AE139" s="34">
        <v>1</v>
      </c>
      <c r="AF139" s="34">
        <v>1</v>
      </c>
      <c r="AG139" s="34">
        <v>1</v>
      </c>
      <c r="AH139" s="34">
        <v>1</v>
      </c>
      <c r="AI139" s="34">
        <v>1</v>
      </c>
      <c r="AJ139" s="34">
        <v>1</v>
      </c>
      <c r="AK139" s="34">
        <v>1</v>
      </c>
      <c r="AL139" s="10">
        <f t="shared" si="17"/>
        <v>13</v>
      </c>
      <c r="AM139" s="12">
        <v>32000</v>
      </c>
      <c r="AN139" s="12">
        <f t="shared" si="18"/>
        <v>416000</v>
      </c>
    </row>
    <row r="140" spans="1:40">
      <c r="A140" s="48" t="s">
        <v>226</v>
      </c>
      <c r="B140" s="32">
        <v>43</v>
      </c>
      <c r="C140" s="33" t="s">
        <v>162</v>
      </c>
      <c r="D140" s="33" t="s">
        <v>173</v>
      </c>
      <c r="E140" s="33" t="s">
        <v>1114</v>
      </c>
      <c r="F140" s="32" t="s">
        <v>1115</v>
      </c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34">
        <v>1</v>
      </c>
      <c r="W140" s="34">
        <v>1</v>
      </c>
      <c r="X140" s="34">
        <v>1</v>
      </c>
      <c r="Y140" s="34">
        <v>1</v>
      </c>
      <c r="Z140" s="34">
        <v>1</v>
      </c>
      <c r="AA140" s="34">
        <v>1</v>
      </c>
      <c r="AB140" s="34">
        <v>1</v>
      </c>
      <c r="AC140" s="34">
        <v>1</v>
      </c>
      <c r="AD140" s="34">
        <v>1</v>
      </c>
      <c r="AE140" s="34">
        <v>1</v>
      </c>
      <c r="AF140" s="34">
        <v>1</v>
      </c>
      <c r="AG140" s="34">
        <v>1</v>
      </c>
      <c r="AH140" s="34">
        <v>1</v>
      </c>
      <c r="AI140" s="34">
        <v>1</v>
      </c>
      <c r="AJ140" s="34">
        <v>1</v>
      </c>
      <c r="AK140" s="34">
        <v>1</v>
      </c>
      <c r="AL140" s="10">
        <f t="shared" si="17"/>
        <v>16</v>
      </c>
      <c r="AM140" s="12">
        <v>32000</v>
      </c>
      <c r="AN140" s="12">
        <f t="shared" si="18"/>
        <v>512000</v>
      </c>
    </row>
    <row r="141" spans="1:40">
      <c r="A141" s="48" t="s">
        <v>226</v>
      </c>
      <c r="B141" s="32">
        <v>43</v>
      </c>
      <c r="C141" s="33" t="s">
        <v>241</v>
      </c>
      <c r="D141" s="33" t="s">
        <v>624</v>
      </c>
      <c r="E141" s="33" t="s">
        <v>1323</v>
      </c>
      <c r="F141" s="32" t="s">
        <v>1326</v>
      </c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34">
        <v>1</v>
      </c>
      <c r="AD141" s="34">
        <v>1</v>
      </c>
      <c r="AE141" s="34">
        <v>1</v>
      </c>
      <c r="AF141" s="34">
        <v>1</v>
      </c>
      <c r="AG141" s="34">
        <v>1</v>
      </c>
      <c r="AH141" s="34">
        <v>1</v>
      </c>
      <c r="AI141" s="34">
        <v>1</v>
      </c>
      <c r="AJ141" s="34">
        <v>1</v>
      </c>
      <c r="AK141" s="34">
        <v>1</v>
      </c>
      <c r="AL141" s="10">
        <f t="shared" si="17"/>
        <v>9</v>
      </c>
      <c r="AM141" s="12">
        <v>32000</v>
      </c>
      <c r="AN141" s="12">
        <f t="shared" si="18"/>
        <v>288000</v>
      </c>
    </row>
    <row r="142" spans="1:40">
      <c r="A142" s="48" t="s">
        <v>226</v>
      </c>
      <c r="B142" s="32">
        <v>51</v>
      </c>
      <c r="C142" s="33" t="s">
        <v>12</v>
      </c>
      <c r="D142" s="33" t="s">
        <v>206</v>
      </c>
      <c r="E142" s="33" t="s">
        <v>1146</v>
      </c>
      <c r="F142" s="32" t="s">
        <v>1174</v>
      </c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34">
        <v>1</v>
      </c>
      <c r="Z142" s="34">
        <v>1</v>
      </c>
      <c r="AA142" s="34">
        <v>1</v>
      </c>
      <c r="AB142" s="34">
        <v>1</v>
      </c>
      <c r="AC142" s="34">
        <v>1</v>
      </c>
      <c r="AD142" s="34">
        <v>1</v>
      </c>
      <c r="AE142" s="34">
        <v>1</v>
      </c>
      <c r="AF142" s="34">
        <v>1</v>
      </c>
      <c r="AG142" s="34">
        <v>1</v>
      </c>
      <c r="AH142" s="34">
        <v>1</v>
      </c>
      <c r="AI142" s="34">
        <v>1</v>
      </c>
      <c r="AJ142" s="34">
        <v>1</v>
      </c>
      <c r="AK142" s="34">
        <v>1</v>
      </c>
      <c r="AL142" s="10">
        <f t="shared" si="17"/>
        <v>13</v>
      </c>
      <c r="AM142" s="12">
        <v>32000</v>
      </c>
      <c r="AN142" s="12">
        <f t="shared" si="18"/>
        <v>416000</v>
      </c>
    </row>
    <row r="143" spans="1:40">
      <c r="A143" s="48" t="s">
        <v>226</v>
      </c>
      <c r="B143" s="32">
        <v>51</v>
      </c>
      <c r="C143" s="33" t="s">
        <v>12</v>
      </c>
      <c r="D143" s="33" t="s">
        <v>219</v>
      </c>
      <c r="E143" s="33" t="s">
        <v>1147</v>
      </c>
      <c r="F143" s="32" t="s">
        <v>1173</v>
      </c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34">
        <v>1</v>
      </c>
      <c r="Z143" s="34">
        <v>1</v>
      </c>
      <c r="AA143" s="34">
        <v>1</v>
      </c>
      <c r="AB143" s="34">
        <v>1</v>
      </c>
      <c r="AC143" s="34">
        <v>1</v>
      </c>
      <c r="AD143" s="34">
        <v>1</v>
      </c>
      <c r="AE143" s="34">
        <v>1</v>
      </c>
      <c r="AF143" s="34">
        <v>1</v>
      </c>
      <c r="AG143" s="34">
        <v>1</v>
      </c>
      <c r="AH143" s="34">
        <v>1</v>
      </c>
      <c r="AI143" s="34">
        <v>1</v>
      </c>
      <c r="AJ143" s="34">
        <v>1</v>
      </c>
      <c r="AK143" s="34">
        <v>1</v>
      </c>
      <c r="AL143" s="10">
        <f t="shared" si="17"/>
        <v>13</v>
      </c>
      <c r="AM143" s="12">
        <v>32000</v>
      </c>
      <c r="AN143" s="12">
        <f t="shared" si="18"/>
        <v>416000</v>
      </c>
    </row>
    <row r="144" spans="1:40">
      <c r="A144" s="48" t="s">
        <v>226</v>
      </c>
      <c r="B144" s="32">
        <v>51</v>
      </c>
      <c r="C144" s="33" t="s">
        <v>998</v>
      </c>
      <c r="D144" s="33" t="s">
        <v>123</v>
      </c>
      <c r="E144" s="33" t="s">
        <v>999</v>
      </c>
      <c r="F144" s="32" t="s">
        <v>1000</v>
      </c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34">
        <v>1</v>
      </c>
      <c r="AD144" s="34">
        <v>1</v>
      </c>
      <c r="AE144" s="34">
        <v>1</v>
      </c>
      <c r="AF144" s="34">
        <v>1</v>
      </c>
      <c r="AG144" s="34">
        <v>1</v>
      </c>
      <c r="AH144" s="34">
        <v>1</v>
      </c>
      <c r="AI144" s="34">
        <v>1</v>
      </c>
      <c r="AJ144" s="34">
        <v>1</v>
      </c>
      <c r="AK144" s="34">
        <v>1</v>
      </c>
      <c r="AL144" s="10">
        <f t="shared" si="17"/>
        <v>9</v>
      </c>
      <c r="AM144" s="12">
        <v>32000</v>
      </c>
      <c r="AN144" s="12">
        <f t="shared" si="18"/>
        <v>288000</v>
      </c>
    </row>
    <row r="145" spans="1:40">
      <c r="A145" s="48" t="s">
        <v>226</v>
      </c>
      <c r="B145" s="32">
        <v>51</v>
      </c>
      <c r="C145" s="33" t="s">
        <v>179</v>
      </c>
      <c r="D145" s="33" t="s">
        <v>757</v>
      </c>
      <c r="E145" s="33" t="s">
        <v>1324</v>
      </c>
      <c r="F145" s="32" t="s">
        <v>1325</v>
      </c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34">
        <v>1</v>
      </c>
      <c r="AD145" s="34">
        <v>1</v>
      </c>
      <c r="AE145" s="46"/>
      <c r="AF145" s="46"/>
      <c r="AG145" s="46"/>
      <c r="AH145" s="46"/>
      <c r="AI145" s="46"/>
      <c r="AJ145" s="46"/>
      <c r="AK145" s="46"/>
      <c r="AL145" s="10">
        <f t="shared" si="17"/>
        <v>2</v>
      </c>
      <c r="AM145" s="12">
        <v>32000</v>
      </c>
      <c r="AN145" s="12">
        <f t="shared" si="18"/>
        <v>64000</v>
      </c>
    </row>
    <row r="146" spans="1:40">
      <c r="A146" s="48" t="s">
        <v>226</v>
      </c>
      <c r="B146" s="32">
        <v>65</v>
      </c>
      <c r="C146" s="33" t="s">
        <v>824</v>
      </c>
      <c r="D146" s="33" t="s">
        <v>910</v>
      </c>
      <c r="E146" s="33" t="s">
        <v>382</v>
      </c>
      <c r="F146" s="32" t="s">
        <v>1172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34">
        <v>1</v>
      </c>
      <c r="Z146" s="34">
        <v>1</v>
      </c>
      <c r="AA146" s="34">
        <v>1</v>
      </c>
      <c r="AB146" s="34">
        <v>1</v>
      </c>
      <c r="AC146" s="34">
        <v>1</v>
      </c>
      <c r="AD146" s="34">
        <v>1</v>
      </c>
      <c r="AE146" s="34">
        <v>1</v>
      </c>
      <c r="AF146" s="34">
        <v>1</v>
      </c>
      <c r="AG146" s="34">
        <v>1</v>
      </c>
      <c r="AH146" s="34">
        <v>1</v>
      </c>
      <c r="AI146" s="34">
        <v>1</v>
      </c>
      <c r="AJ146" s="34">
        <v>1</v>
      </c>
      <c r="AK146" s="34">
        <v>1</v>
      </c>
      <c r="AL146" s="10">
        <f t="shared" si="17"/>
        <v>13</v>
      </c>
      <c r="AM146" s="12">
        <v>32000</v>
      </c>
      <c r="AN146" s="12">
        <f t="shared" si="18"/>
        <v>416000</v>
      </c>
    </row>
    <row r="147" spans="1:40">
      <c r="A147" s="48" t="s">
        <v>226</v>
      </c>
      <c r="B147" s="32">
        <v>65</v>
      </c>
      <c r="C147" s="33" t="s">
        <v>824</v>
      </c>
      <c r="D147" s="33" t="s">
        <v>910</v>
      </c>
      <c r="E147" s="33" t="s">
        <v>163</v>
      </c>
      <c r="F147" s="32" t="s">
        <v>1171</v>
      </c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34">
        <v>1</v>
      </c>
      <c r="Z147" s="34">
        <v>1</v>
      </c>
      <c r="AA147" s="34">
        <v>1</v>
      </c>
      <c r="AB147" s="34">
        <v>1</v>
      </c>
      <c r="AC147" s="34">
        <v>1</v>
      </c>
      <c r="AD147" s="34">
        <v>1</v>
      </c>
      <c r="AE147" s="34">
        <v>1</v>
      </c>
      <c r="AF147" s="34">
        <v>1</v>
      </c>
      <c r="AG147" s="34">
        <v>1</v>
      </c>
      <c r="AH147" s="34">
        <v>1</v>
      </c>
      <c r="AI147" s="34">
        <v>1</v>
      </c>
      <c r="AJ147" s="34">
        <v>1</v>
      </c>
      <c r="AK147" s="34">
        <v>1</v>
      </c>
      <c r="AL147" s="10">
        <f t="shared" si="17"/>
        <v>13</v>
      </c>
      <c r="AM147" s="12">
        <v>32000</v>
      </c>
      <c r="AN147" s="12">
        <f t="shared" si="18"/>
        <v>416000</v>
      </c>
    </row>
    <row r="148" spans="1:40">
      <c r="A148" s="48" t="s">
        <v>226</v>
      </c>
      <c r="B148" s="32">
        <v>66</v>
      </c>
      <c r="C148" s="33" t="s">
        <v>1148</v>
      </c>
      <c r="D148" s="33" t="s">
        <v>128</v>
      </c>
      <c r="E148" s="33" t="s">
        <v>1149</v>
      </c>
      <c r="F148" s="32" t="s">
        <v>1170</v>
      </c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34">
        <v>1</v>
      </c>
      <c r="Z148" s="34">
        <v>1</v>
      </c>
      <c r="AA148" s="34">
        <v>1</v>
      </c>
      <c r="AB148" s="34">
        <v>1</v>
      </c>
      <c r="AC148" s="34">
        <v>1</v>
      </c>
      <c r="AD148" s="34">
        <v>1</v>
      </c>
      <c r="AE148" s="34">
        <v>1</v>
      </c>
      <c r="AF148" s="34">
        <v>1</v>
      </c>
      <c r="AG148" s="34">
        <v>1</v>
      </c>
      <c r="AH148" s="34">
        <v>1</v>
      </c>
      <c r="AI148" s="34">
        <v>1</v>
      </c>
      <c r="AJ148" s="34">
        <v>1</v>
      </c>
      <c r="AK148" s="34">
        <v>1</v>
      </c>
      <c r="AL148" s="10">
        <f t="shared" si="17"/>
        <v>13</v>
      </c>
      <c r="AM148" s="12">
        <v>32000</v>
      </c>
      <c r="AN148" s="12">
        <f t="shared" si="18"/>
        <v>416000</v>
      </c>
    </row>
    <row r="149" spans="1:40">
      <c r="A149" s="48" t="s">
        <v>226</v>
      </c>
      <c r="B149" s="32">
        <v>66</v>
      </c>
      <c r="C149" s="33" t="s">
        <v>1150</v>
      </c>
      <c r="D149" s="33" t="s">
        <v>1151</v>
      </c>
      <c r="E149" s="33" t="s">
        <v>53</v>
      </c>
      <c r="F149" s="32" t="s">
        <v>1169</v>
      </c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34">
        <v>1</v>
      </c>
      <c r="Z149" s="34">
        <v>1</v>
      </c>
      <c r="AA149" s="34">
        <v>1</v>
      </c>
      <c r="AB149" s="34">
        <v>1</v>
      </c>
      <c r="AC149" s="34">
        <v>1</v>
      </c>
      <c r="AD149" s="34">
        <v>1</v>
      </c>
      <c r="AE149" s="34">
        <v>1</v>
      </c>
      <c r="AF149" s="34">
        <v>1</v>
      </c>
      <c r="AG149" s="34">
        <v>1</v>
      </c>
      <c r="AH149" s="34">
        <v>1</v>
      </c>
      <c r="AI149" s="34">
        <v>1</v>
      </c>
      <c r="AJ149" s="34">
        <v>1</v>
      </c>
      <c r="AK149" s="34">
        <v>1</v>
      </c>
      <c r="AL149" s="10">
        <f t="shared" si="17"/>
        <v>13</v>
      </c>
      <c r="AM149" s="12">
        <v>32000</v>
      </c>
      <c r="AN149" s="12">
        <f t="shared" si="18"/>
        <v>416000</v>
      </c>
    </row>
    <row r="150" spans="1:40">
      <c r="A150" s="48" t="s">
        <v>226</v>
      </c>
      <c r="B150" s="32">
        <v>67</v>
      </c>
      <c r="C150" s="33" t="s">
        <v>183</v>
      </c>
      <c r="D150" s="33" t="s">
        <v>1430</v>
      </c>
      <c r="E150" s="33" t="s">
        <v>1431</v>
      </c>
      <c r="F150" s="32" t="s">
        <v>1433</v>
      </c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34">
        <v>1</v>
      </c>
      <c r="AF150" s="34">
        <v>1</v>
      </c>
      <c r="AG150" s="34">
        <v>1</v>
      </c>
      <c r="AH150" s="34">
        <v>1</v>
      </c>
      <c r="AI150" s="34">
        <v>1</v>
      </c>
      <c r="AJ150" s="34">
        <v>1</v>
      </c>
      <c r="AK150" s="34">
        <v>1</v>
      </c>
      <c r="AL150" s="10">
        <f t="shared" si="17"/>
        <v>7</v>
      </c>
      <c r="AM150" s="12">
        <v>32000</v>
      </c>
      <c r="AN150" s="12">
        <f t="shared" si="18"/>
        <v>224000</v>
      </c>
    </row>
    <row r="151" spans="1:40">
      <c r="A151" s="48" t="s">
        <v>226</v>
      </c>
      <c r="B151" s="32">
        <v>67</v>
      </c>
      <c r="C151" s="33" t="s">
        <v>167</v>
      </c>
      <c r="D151" s="33" t="s">
        <v>668</v>
      </c>
      <c r="E151" s="33" t="s">
        <v>1236</v>
      </c>
      <c r="F151" s="32" t="s">
        <v>1432</v>
      </c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34">
        <v>1</v>
      </c>
      <c r="AF151" s="34">
        <v>1</v>
      </c>
      <c r="AG151" s="34">
        <v>1</v>
      </c>
      <c r="AH151" s="34">
        <v>1</v>
      </c>
      <c r="AI151" s="34">
        <v>1</v>
      </c>
      <c r="AJ151" s="34">
        <v>1</v>
      </c>
      <c r="AK151" s="34">
        <v>1</v>
      </c>
      <c r="AL151" s="10">
        <f t="shared" si="17"/>
        <v>7</v>
      </c>
      <c r="AM151" s="12">
        <v>32000</v>
      </c>
      <c r="AN151" s="12">
        <f t="shared" si="18"/>
        <v>224000</v>
      </c>
    </row>
    <row r="152" spans="1:40">
      <c r="A152" s="48" t="s">
        <v>226</v>
      </c>
      <c r="B152" s="32">
        <v>80</v>
      </c>
      <c r="C152" s="33" t="s">
        <v>1285</v>
      </c>
      <c r="D152" s="33" t="s">
        <v>1286</v>
      </c>
      <c r="E152" s="33" t="s">
        <v>43</v>
      </c>
      <c r="F152" s="32" t="s">
        <v>1306</v>
      </c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34">
        <v>1</v>
      </c>
      <c r="AC152" s="34">
        <v>1</v>
      </c>
      <c r="AD152" s="34">
        <v>1</v>
      </c>
      <c r="AE152" s="34">
        <v>1</v>
      </c>
      <c r="AF152" s="34">
        <v>1</v>
      </c>
      <c r="AG152" s="34">
        <v>1</v>
      </c>
      <c r="AH152" s="34">
        <v>1</v>
      </c>
      <c r="AI152" s="34">
        <v>1</v>
      </c>
      <c r="AJ152" s="34">
        <v>1</v>
      </c>
      <c r="AK152" s="34">
        <v>1</v>
      </c>
      <c r="AL152" s="10">
        <f t="shared" si="17"/>
        <v>10</v>
      </c>
      <c r="AM152" s="12">
        <v>32000</v>
      </c>
      <c r="AN152" s="12">
        <f t="shared" si="18"/>
        <v>320000</v>
      </c>
    </row>
    <row r="153" spans="1:40">
      <c r="A153" s="48" t="s">
        <v>226</v>
      </c>
      <c r="B153" s="32">
        <v>80</v>
      </c>
      <c r="C153" s="33" t="s">
        <v>146</v>
      </c>
      <c r="D153" s="33" t="s">
        <v>1309</v>
      </c>
      <c r="E153" s="33" t="s">
        <v>280</v>
      </c>
      <c r="F153" s="32" t="s">
        <v>1310</v>
      </c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34">
        <v>1</v>
      </c>
      <c r="AC153" s="34">
        <v>1</v>
      </c>
      <c r="AD153" s="34">
        <v>1</v>
      </c>
      <c r="AE153" s="34">
        <v>1</v>
      </c>
      <c r="AF153" s="34">
        <v>1</v>
      </c>
      <c r="AG153" s="34">
        <v>1</v>
      </c>
      <c r="AH153" s="34">
        <v>1</v>
      </c>
      <c r="AI153" s="34">
        <v>1</v>
      </c>
      <c r="AJ153" s="34">
        <v>1</v>
      </c>
      <c r="AK153" s="34">
        <v>1</v>
      </c>
      <c r="AL153" s="10">
        <f t="shared" si="17"/>
        <v>10</v>
      </c>
      <c r="AM153" s="12">
        <v>32000</v>
      </c>
      <c r="AN153" s="12">
        <f t="shared" si="18"/>
        <v>320000</v>
      </c>
    </row>
    <row r="154" spans="1:40">
      <c r="A154" s="48" t="s">
        <v>226</v>
      </c>
      <c r="B154" s="32">
        <v>82</v>
      </c>
      <c r="C154" s="33" t="s">
        <v>105</v>
      </c>
      <c r="D154" s="33" t="s">
        <v>47</v>
      </c>
      <c r="E154" s="33" t="s">
        <v>1308</v>
      </c>
      <c r="F154" s="32" t="s">
        <v>1311</v>
      </c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34">
        <v>1</v>
      </c>
      <c r="AC154" s="34">
        <v>1</v>
      </c>
      <c r="AD154" s="34">
        <v>1</v>
      </c>
      <c r="AE154" s="34">
        <v>1</v>
      </c>
      <c r="AF154" s="34">
        <v>1</v>
      </c>
      <c r="AG154" s="34">
        <v>1</v>
      </c>
      <c r="AH154" s="34">
        <v>1</v>
      </c>
      <c r="AI154" s="34">
        <v>1</v>
      </c>
      <c r="AJ154" s="34">
        <v>1</v>
      </c>
      <c r="AK154" s="34">
        <v>1</v>
      </c>
      <c r="AL154" s="10">
        <f t="shared" si="17"/>
        <v>10</v>
      </c>
      <c r="AM154" s="12">
        <v>32000</v>
      </c>
      <c r="AN154" s="12">
        <f t="shared" si="18"/>
        <v>320000</v>
      </c>
    </row>
    <row r="155" spans="1:40">
      <c r="A155" s="48" t="s">
        <v>226</v>
      </c>
      <c r="B155" s="32">
        <v>82</v>
      </c>
      <c r="C155" s="33" t="s">
        <v>145</v>
      </c>
      <c r="D155" s="33" t="s">
        <v>855</v>
      </c>
      <c r="E155" s="33" t="s">
        <v>21</v>
      </c>
      <c r="F155" s="32" t="s">
        <v>1312</v>
      </c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34">
        <v>1</v>
      </c>
      <c r="AC155" s="34">
        <v>1</v>
      </c>
      <c r="AD155" s="34">
        <v>1</v>
      </c>
      <c r="AE155" s="34">
        <v>1</v>
      </c>
      <c r="AF155" s="34">
        <v>1</v>
      </c>
      <c r="AG155" s="34">
        <v>1</v>
      </c>
      <c r="AH155" s="34">
        <v>1</v>
      </c>
      <c r="AI155" s="34">
        <v>1</v>
      </c>
      <c r="AJ155" s="34">
        <v>1</v>
      </c>
      <c r="AK155" s="34">
        <v>1</v>
      </c>
      <c r="AL155" s="10">
        <f t="shared" si="17"/>
        <v>10</v>
      </c>
      <c r="AM155" s="12">
        <v>32000</v>
      </c>
      <c r="AN155" s="12">
        <f t="shared" si="18"/>
        <v>320000</v>
      </c>
    </row>
    <row r="156" spans="1:40">
      <c r="A156" s="48" t="s">
        <v>226</v>
      </c>
      <c r="B156" s="32">
        <v>83</v>
      </c>
      <c r="C156" s="33" t="s">
        <v>47</v>
      </c>
      <c r="D156" s="33" t="s">
        <v>45</v>
      </c>
      <c r="E156" s="33" t="s">
        <v>25</v>
      </c>
      <c r="F156" s="32" t="s">
        <v>1176</v>
      </c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34">
        <v>1</v>
      </c>
      <c r="AB156" s="34">
        <v>1</v>
      </c>
      <c r="AC156" s="34">
        <v>1</v>
      </c>
      <c r="AD156" s="34">
        <v>1</v>
      </c>
      <c r="AE156" s="34">
        <v>1</v>
      </c>
      <c r="AF156" s="34">
        <v>1</v>
      </c>
      <c r="AG156" s="34">
        <v>1</v>
      </c>
      <c r="AH156" s="34">
        <v>1</v>
      </c>
      <c r="AI156" s="34">
        <v>1</v>
      </c>
      <c r="AJ156" s="46"/>
      <c r="AK156" s="46"/>
      <c r="AL156" s="10">
        <f t="shared" si="17"/>
        <v>9</v>
      </c>
      <c r="AM156" s="12">
        <v>32000</v>
      </c>
      <c r="AN156" s="12">
        <f t="shared" si="18"/>
        <v>288000</v>
      </c>
    </row>
    <row r="157" spans="1:40">
      <c r="A157" s="48" t="s">
        <v>226</v>
      </c>
      <c r="B157" s="32">
        <v>83</v>
      </c>
      <c r="C157" s="33" t="s">
        <v>84</v>
      </c>
      <c r="D157" s="33" t="s">
        <v>84</v>
      </c>
      <c r="E157" s="33" t="s">
        <v>652</v>
      </c>
      <c r="F157" s="32" t="s">
        <v>1175</v>
      </c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34">
        <v>1</v>
      </c>
      <c r="AB157" s="34">
        <v>1</v>
      </c>
      <c r="AC157" s="34">
        <v>1</v>
      </c>
      <c r="AD157" s="34">
        <v>1</v>
      </c>
      <c r="AE157" s="34">
        <v>1</v>
      </c>
      <c r="AF157" s="34">
        <v>1</v>
      </c>
      <c r="AG157" s="34">
        <v>1</v>
      </c>
      <c r="AH157" s="34">
        <v>1</v>
      </c>
      <c r="AI157" s="34">
        <v>1</v>
      </c>
      <c r="AJ157" s="46"/>
      <c r="AK157" s="46"/>
      <c r="AL157" s="10">
        <f t="shared" si="17"/>
        <v>9</v>
      </c>
      <c r="AM157" s="12">
        <v>32000</v>
      </c>
      <c r="AN157" s="12">
        <f t="shared" si="18"/>
        <v>288000</v>
      </c>
    </row>
    <row r="158" spans="1:40">
      <c r="A158" s="48" t="s">
        <v>226</v>
      </c>
      <c r="B158" s="32">
        <v>88</v>
      </c>
      <c r="C158" s="33" t="s">
        <v>504</v>
      </c>
      <c r="D158" s="33" t="s">
        <v>181</v>
      </c>
      <c r="E158" s="33" t="s">
        <v>188</v>
      </c>
      <c r="F158" s="32" t="s">
        <v>379</v>
      </c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34">
        <v>1</v>
      </c>
      <c r="AE158" s="34">
        <v>1</v>
      </c>
      <c r="AF158" s="34">
        <v>1</v>
      </c>
      <c r="AG158" s="34">
        <v>1</v>
      </c>
      <c r="AH158" s="34">
        <v>1</v>
      </c>
      <c r="AI158" s="34">
        <v>1</v>
      </c>
      <c r="AJ158" s="34">
        <v>1</v>
      </c>
      <c r="AK158" s="34">
        <v>1</v>
      </c>
      <c r="AL158" s="10">
        <f t="shared" si="17"/>
        <v>8</v>
      </c>
      <c r="AM158" s="12">
        <v>32000</v>
      </c>
      <c r="AN158" s="12">
        <f t="shared" si="18"/>
        <v>256000</v>
      </c>
    </row>
    <row r="159" spans="1:40">
      <c r="A159" s="48" t="s">
        <v>226</v>
      </c>
      <c r="B159" s="32">
        <v>88</v>
      </c>
      <c r="C159" s="33" t="s">
        <v>183</v>
      </c>
      <c r="D159" s="33" t="s">
        <v>19</v>
      </c>
      <c r="E159" s="33" t="s">
        <v>606</v>
      </c>
      <c r="F159" s="32" t="s">
        <v>1336</v>
      </c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34">
        <v>1</v>
      </c>
      <c r="AE159" s="34">
        <v>1</v>
      </c>
      <c r="AF159" s="34">
        <v>1</v>
      </c>
      <c r="AG159" s="34">
        <v>1</v>
      </c>
      <c r="AH159" s="34">
        <v>1</v>
      </c>
      <c r="AI159" s="34">
        <v>1</v>
      </c>
      <c r="AJ159" s="34">
        <v>1</v>
      </c>
      <c r="AK159" s="34">
        <v>1</v>
      </c>
      <c r="AL159" s="10">
        <f t="shared" si="17"/>
        <v>8</v>
      </c>
      <c r="AM159" s="12">
        <v>32000</v>
      </c>
      <c r="AN159" s="12">
        <f t="shared" si="18"/>
        <v>256000</v>
      </c>
    </row>
    <row r="160" spans="1:40">
      <c r="A160" s="48" t="s">
        <v>226</v>
      </c>
      <c r="B160" s="32">
        <v>89</v>
      </c>
      <c r="C160" s="33" t="s">
        <v>479</v>
      </c>
      <c r="D160" s="33" t="s">
        <v>1157</v>
      </c>
      <c r="E160" s="33" t="s">
        <v>1327</v>
      </c>
      <c r="F160" s="32" t="s">
        <v>1335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34">
        <v>1</v>
      </c>
      <c r="AE160" s="34">
        <v>1</v>
      </c>
      <c r="AF160" s="34">
        <v>1</v>
      </c>
      <c r="AG160" s="34">
        <v>1</v>
      </c>
      <c r="AH160" s="46"/>
      <c r="AI160" s="46"/>
      <c r="AJ160" s="46"/>
      <c r="AK160" s="46"/>
      <c r="AL160" s="10">
        <f t="shared" si="17"/>
        <v>4</v>
      </c>
      <c r="AM160" s="12">
        <v>32000</v>
      </c>
      <c r="AN160" s="12">
        <f t="shared" si="18"/>
        <v>128000</v>
      </c>
    </row>
    <row r="161" spans="1:40">
      <c r="A161" s="48" t="s">
        <v>226</v>
      </c>
      <c r="B161" s="32">
        <v>89</v>
      </c>
      <c r="C161" s="33" t="s">
        <v>702</v>
      </c>
      <c r="D161" s="33" t="s">
        <v>624</v>
      </c>
      <c r="E161" s="33" t="s">
        <v>1328</v>
      </c>
      <c r="F161" s="32" t="s">
        <v>1334</v>
      </c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34">
        <v>1</v>
      </c>
      <c r="AE161" s="34">
        <v>1</v>
      </c>
      <c r="AF161" s="34">
        <v>1</v>
      </c>
      <c r="AG161" s="46"/>
      <c r="AH161" s="46"/>
      <c r="AI161" s="46"/>
      <c r="AJ161" s="46"/>
      <c r="AK161" s="46"/>
      <c r="AL161" s="10">
        <f t="shared" si="17"/>
        <v>3</v>
      </c>
      <c r="AM161" s="12">
        <v>32000</v>
      </c>
      <c r="AN161" s="12">
        <f t="shared" si="18"/>
        <v>96000</v>
      </c>
    </row>
    <row r="162" spans="1:40">
      <c r="A162" s="48" t="s">
        <v>226</v>
      </c>
      <c r="B162" s="32">
        <v>90</v>
      </c>
      <c r="C162" s="33" t="s">
        <v>84</v>
      </c>
      <c r="D162" s="33" t="s">
        <v>1003</v>
      </c>
      <c r="E162" s="33" t="s">
        <v>207</v>
      </c>
      <c r="F162" s="32" t="s">
        <v>1435</v>
      </c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34">
        <v>1</v>
      </c>
      <c r="AF162" s="34">
        <v>1</v>
      </c>
      <c r="AG162" s="34">
        <v>1</v>
      </c>
      <c r="AH162" s="34">
        <v>1</v>
      </c>
      <c r="AI162" s="34">
        <v>1</v>
      </c>
      <c r="AJ162" s="34">
        <v>1</v>
      </c>
      <c r="AK162" s="34">
        <v>1</v>
      </c>
      <c r="AL162" s="10">
        <f t="shared" si="17"/>
        <v>7</v>
      </c>
      <c r="AM162" s="12">
        <v>32000</v>
      </c>
      <c r="AN162" s="12">
        <f t="shared" si="18"/>
        <v>224000</v>
      </c>
    </row>
    <row r="163" spans="1:40">
      <c r="A163" s="48" t="s">
        <v>226</v>
      </c>
      <c r="B163" s="32">
        <v>90</v>
      </c>
      <c r="C163" s="33" t="s">
        <v>14</v>
      </c>
      <c r="D163" s="33" t="s">
        <v>1429</v>
      </c>
      <c r="E163" s="33" t="s">
        <v>37</v>
      </c>
      <c r="F163" s="32" t="s">
        <v>1434</v>
      </c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34">
        <v>1</v>
      </c>
      <c r="AF163" s="34">
        <v>1</v>
      </c>
      <c r="AG163" s="34">
        <v>1</v>
      </c>
      <c r="AH163" s="34">
        <v>1</v>
      </c>
      <c r="AI163" s="34">
        <v>1</v>
      </c>
      <c r="AJ163" s="34">
        <v>1</v>
      </c>
      <c r="AK163" s="34">
        <v>1</v>
      </c>
      <c r="AL163" s="10">
        <f t="shared" si="17"/>
        <v>7</v>
      </c>
      <c r="AM163" s="12">
        <v>32000</v>
      </c>
      <c r="AN163" s="12">
        <f t="shared" si="18"/>
        <v>224000</v>
      </c>
    </row>
    <row r="164" spans="1:40">
      <c r="A164" s="48" t="s">
        <v>226</v>
      </c>
      <c r="B164" s="32">
        <v>91</v>
      </c>
      <c r="C164" s="33" t="s">
        <v>213</v>
      </c>
      <c r="D164" s="33" t="s">
        <v>375</v>
      </c>
      <c r="E164" s="33" t="s">
        <v>1267</v>
      </c>
      <c r="F164" s="32" t="s">
        <v>1333</v>
      </c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34">
        <v>1</v>
      </c>
      <c r="AE164" s="34">
        <v>1</v>
      </c>
      <c r="AF164" s="34">
        <v>1</v>
      </c>
      <c r="AG164" s="34">
        <v>1</v>
      </c>
      <c r="AH164" s="34">
        <v>1</v>
      </c>
      <c r="AI164" s="34">
        <v>1</v>
      </c>
      <c r="AJ164" s="34">
        <v>1</v>
      </c>
      <c r="AK164" s="34">
        <v>1</v>
      </c>
      <c r="AL164" s="10">
        <f t="shared" ref="AL164:AL165" si="19">SUM(G164:AK164)</f>
        <v>8</v>
      </c>
      <c r="AM164" s="12">
        <v>32000</v>
      </c>
      <c r="AN164" s="12">
        <f t="shared" ref="AN164:AN165" si="20">AM164*AL164</f>
        <v>256000</v>
      </c>
    </row>
    <row r="165" spans="1:40">
      <c r="A165" s="48" t="s">
        <v>226</v>
      </c>
      <c r="B165" s="32">
        <v>91</v>
      </c>
      <c r="C165" s="33" t="s">
        <v>482</v>
      </c>
      <c r="D165" s="33" t="s">
        <v>855</v>
      </c>
      <c r="E165" s="33" t="s">
        <v>43</v>
      </c>
      <c r="F165" s="32" t="s">
        <v>1332</v>
      </c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34">
        <v>1</v>
      </c>
      <c r="AE165" s="34">
        <v>1</v>
      </c>
      <c r="AF165" s="34">
        <v>1</v>
      </c>
      <c r="AG165" s="46"/>
      <c r="AH165" s="46"/>
      <c r="AI165" s="46"/>
      <c r="AJ165" s="46"/>
      <c r="AK165" s="46"/>
      <c r="AL165" s="10">
        <f t="shared" si="19"/>
        <v>3</v>
      </c>
      <c r="AM165" s="12">
        <v>32000</v>
      </c>
      <c r="AN165" s="12">
        <f t="shared" si="20"/>
        <v>96000</v>
      </c>
    </row>
    <row r="166" spans="1:40">
      <c r="A166" s="48" t="s">
        <v>226</v>
      </c>
      <c r="B166" s="32">
        <v>26</v>
      </c>
      <c r="C166" s="33" t="s">
        <v>180</v>
      </c>
      <c r="D166" s="33" t="s">
        <v>1437</v>
      </c>
      <c r="E166" s="33" t="s">
        <v>1051</v>
      </c>
      <c r="F166" s="32" t="s">
        <v>1052</v>
      </c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34">
        <v>1</v>
      </c>
      <c r="AK166" s="34">
        <v>1</v>
      </c>
      <c r="AL166" s="10">
        <f t="shared" ref="AL166:AL173" si="21">SUM(G166:AK166)</f>
        <v>2</v>
      </c>
      <c r="AM166" s="12">
        <v>32000</v>
      </c>
      <c r="AN166" s="12">
        <f t="shared" ref="AN166:AN173" si="22">AM166*AL166</f>
        <v>64000</v>
      </c>
    </row>
    <row r="167" spans="1:40">
      <c r="A167" s="48" t="s">
        <v>226</v>
      </c>
      <c r="B167" s="32">
        <v>26</v>
      </c>
      <c r="C167" s="33" t="s">
        <v>963</v>
      </c>
      <c r="D167" s="33" t="s">
        <v>963</v>
      </c>
      <c r="E167" s="33" t="s">
        <v>1080</v>
      </c>
      <c r="F167" s="32" t="s">
        <v>1081</v>
      </c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34">
        <v>1</v>
      </c>
      <c r="AK167" s="34">
        <v>1</v>
      </c>
      <c r="AL167" s="10">
        <f t="shared" si="21"/>
        <v>2</v>
      </c>
      <c r="AM167" s="12">
        <v>32000</v>
      </c>
      <c r="AN167" s="12">
        <f t="shared" si="22"/>
        <v>64000</v>
      </c>
    </row>
    <row r="168" spans="1:40">
      <c r="A168" s="48" t="s">
        <v>226</v>
      </c>
      <c r="B168" s="32">
        <v>27</v>
      </c>
      <c r="C168" s="33" t="s">
        <v>273</v>
      </c>
      <c r="D168" s="33" t="s">
        <v>67</v>
      </c>
      <c r="E168" s="33" t="s">
        <v>1029</v>
      </c>
      <c r="F168" s="32" t="s">
        <v>1030</v>
      </c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34">
        <v>1</v>
      </c>
      <c r="AK168" s="34">
        <v>1</v>
      </c>
      <c r="AL168" s="10">
        <f t="shared" si="21"/>
        <v>2</v>
      </c>
      <c r="AM168" s="12">
        <v>32000</v>
      </c>
      <c r="AN168" s="12">
        <f t="shared" si="22"/>
        <v>64000</v>
      </c>
    </row>
    <row r="169" spans="1:40">
      <c r="A169" s="48" t="s">
        <v>226</v>
      </c>
      <c r="B169" s="32">
        <v>27</v>
      </c>
      <c r="C169" s="33" t="s">
        <v>1026</v>
      </c>
      <c r="D169" s="33" t="s">
        <v>1027</v>
      </c>
      <c r="E169" s="33" t="s">
        <v>40</v>
      </c>
      <c r="F169" s="32" t="s">
        <v>1028</v>
      </c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34">
        <v>1</v>
      </c>
      <c r="AK169" s="34">
        <v>1</v>
      </c>
      <c r="AL169" s="10">
        <f t="shared" si="21"/>
        <v>2</v>
      </c>
      <c r="AM169" s="12">
        <v>32000</v>
      </c>
      <c r="AN169" s="12">
        <f t="shared" si="22"/>
        <v>64000</v>
      </c>
    </row>
    <row r="170" spans="1:40">
      <c r="A170" s="48" t="s">
        <v>226</v>
      </c>
      <c r="B170" s="32">
        <v>1</v>
      </c>
      <c r="C170" s="33" t="s">
        <v>426</v>
      </c>
      <c r="D170" s="33" t="s">
        <v>1038</v>
      </c>
      <c r="E170" s="33" t="s">
        <v>1039</v>
      </c>
      <c r="F170" s="32" t="s">
        <v>1040</v>
      </c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34">
        <v>1</v>
      </c>
      <c r="AK170" s="34">
        <v>1</v>
      </c>
      <c r="AL170" s="10">
        <f t="shared" si="21"/>
        <v>2</v>
      </c>
      <c r="AM170" s="12">
        <v>32000</v>
      </c>
      <c r="AN170" s="12">
        <f t="shared" si="22"/>
        <v>64000</v>
      </c>
    </row>
    <row r="171" spans="1:40">
      <c r="A171" s="48" t="s">
        <v>226</v>
      </c>
      <c r="B171" s="32">
        <v>83</v>
      </c>
      <c r="C171" s="33" t="s">
        <v>16</v>
      </c>
      <c r="D171" s="33" t="s">
        <v>13</v>
      </c>
      <c r="E171" s="33" t="s">
        <v>15</v>
      </c>
      <c r="F171" s="32" t="s">
        <v>1036</v>
      </c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34">
        <v>1</v>
      </c>
      <c r="AK171" s="34">
        <v>1</v>
      </c>
      <c r="AL171" s="10">
        <f t="shared" si="21"/>
        <v>2</v>
      </c>
      <c r="AM171" s="12">
        <v>32000</v>
      </c>
      <c r="AN171" s="12">
        <f t="shared" si="22"/>
        <v>64000</v>
      </c>
    </row>
    <row r="172" spans="1:40">
      <c r="A172" s="48" t="s">
        <v>226</v>
      </c>
      <c r="B172" s="32">
        <v>83</v>
      </c>
      <c r="C172" s="33" t="s">
        <v>156</v>
      </c>
      <c r="D172" s="33" t="s">
        <v>157</v>
      </c>
      <c r="E172" s="33" t="s">
        <v>9</v>
      </c>
      <c r="F172" s="32" t="s">
        <v>1025</v>
      </c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34">
        <v>1</v>
      </c>
      <c r="AK172" s="34">
        <v>1</v>
      </c>
      <c r="AL172" s="10">
        <f t="shared" si="21"/>
        <v>2</v>
      </c>
      <c r="AM172" s="12">
        <v>32000</v>
      </c>
      <c r="AN172" s="12">
        <f t="shared" si="22"/>
        <v>64000</v>
      </c>
    </row>
    <row r="173" spans="1:40">
      <c r="A173" s="48" t="s">
        <v>226</v>
      </c>
      <c r="B173" s="32">
        <v>12</v>
      </c>
      <c r="C173" s="33" t="s">
        <v>855</v>
      </c>
      <c r="D173" s="33" t="s">
        <v>26</v>
      </c>
      <c r="E173" s="33" t="s">
        <v>55</v>
      </c>
      <c r="F173" s="32" t="s">
        <v>1091</v>
      </c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34">
        <v>1</v>
      </c>
      <c r="AK173" s="34">
        <v>1</v>
      </c>
      <c r="AL173" s="10">
        <f t="shared" si="21"/>
        <v>2</v>
      </c>
      <c r="AM173" s="12">
        <v>32000</v>
      </c>
      <c r="AN173" s="12">
        <f t="shared" si="22"/>
        <v>64000</v>
      </c>
    </row>
    <row r="174" spans="1:40">
      <c r="A174" s="48" t="s">
        <v>226</v>
      </c>
      <c r="B174" s="32">
        <v>15</v>
      </c>
      <c r="C174" s="33" t="s">
        <v>479</v>
      </c>
      <c r="D174" s="33" t="s">
        <v>1157</v>
      </c>
      <c r="E174" s="33" t="s">
        <v>1465</v>
      </c>
      <c r="F174" s="32" t="s">
        <v>1335</v>
      </c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34">
        <v>1</v>
      </c>
      <c r="AL174" s="10">
        <f t="shared" ref="AL174:AL190" si="23">SUM(G174:AK174)</f>
        <v>1</v>
      </c>
      <c r="AM174" s="12">
        <v>32000</v>
      </c>
      <c r="AN174" s="12">
        <f t="shared" ref="AN174:AN190" si="24">AM174*AL174</f>
        <v>32000</v>
      </c>
    </row>
    <row r="175" spans="1:40">
      <c r="A175" s="48" t="s">
        <v>226</v>
      </c>
      <c r="B175" s="32">
        <v>15</v>
      </c>
      <c r="C175" s="33" t="s">
        <v>183</v>
      </c>
      <c r="D175" s="33" t="s">
        <v>221</v>
      </c>
      <c r="E175" s="33" t="s">
        <v>15</v>
      </c>
      <c r="F175" s="32" t="s">
        <v>1013</v>
      </c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34">
        <v>1</v>
      </c>
      <c r="AL175" s="10">
        <f t="shared" si="23"/>
        <v>1</v>
      </c>
      <c r="AM175" s="12">
        <v>32000</v>
      </c>
      <c r="AN175" s="12">
        <f t="shared" si="24"/>
        <v>32000</v>
      </c>
    </row>
    <row r="176" spans="1:40">
      <c r="A176" s="48" t="s">
        <v>226</v>
      </c>
      <c r="B176" s="32">
        <v>17</v>
      </c>
      <c r="C176" s="33" t="s">
        <v>45</v>
      </c>
      <c r="D176" s="33" t="s">
        <v>159</v>
      </c>
      <c r="E176" s="33" t="s">
        <v>1466</v>
      </c>
      <c r="F176" s="32" t="s">
        <v>1469</v>
      </c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34">
        <v>1</v>
      </c>
      <c r="AL176" s="10">
        <f t="shared" si="23"/>
        <v>1</v>
      </c>
      <c r="AM176" s="12">
        <v>32000</v>
      </c>
      <c r="AN176" s="12">
        <f t="shared" si="24"/>
        <v>32000</v>
      </c>
    </row>
    <row r="177" spans="1:41">
      <c r="A177" s="48" t="s">
        <v>226</v>
      </c>
      <c r="B177" s="32">
        <v>35</v>
      </c>
      <c r="C177" s="33" t="s">
        <v>383</v>
      </c>
      <c r="D177" s="33" t="s">
        <v>868</v>
      </c>
      <c r="E177" s="33" t="s">
        <v>9</v>
      </c>
      <c r="F177" s="32" t="s">
        <v>1468</v>
      </c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34">
        <v>1</v>
      </c>
      <c r="AL177" s="10">
        <f t="shared" si="23"/>
        <v>1</v>
      </c>
      <c r="AM177" s="12">
        <v>32000</v>
      </c>
      <c r="AN177" s="12">
        <f t="shared" si="24"/>
        <v>32000</v>
      </c>
    </row>
    <row r="178" spans="1:41">
      <c r="A178" s="48" t="s">
        <v>226</v>
      </c>
      <c r="B178" s="32">
        <v>66</v>
      </c>
      <c r="C178" s="33" t="s">
        <v>67</v>
      </c>
      <c r="D178" s="33" t="s">
        <v>672</v>
      </c>
      <c r="E178" s="33" t="s">
        <v>11</v>
      </c>
      <c r="F178" s="32" t="s">
        <v>1467</v>
      </c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34">
        <v>1</v>
      </c>
      <c r="AL178" s="10">
        <f t="shared" si="23"/>
        <v>1</v>
      </c>
      <c r="AM178" s="12">
        <v>32000</v>
      </c>
      <c r="AN178" s="12">
        <f t="shared" si="24"/>
        <v>32000</v>
      </c>
    </row>
    <row r="179" spans="1:41">
      <c r="A179" s="48" t="s">
        <v>226</v>
      </c>
      <c r="B179" s="32">
        <v>17</v>
      </c>
      <c r="C179" s="33" t="s">
        <v>802</v>
      </c>
      <c r="D179" s="33" t="s">
        <v>1470</v>
      </c>
      <c r="E179" s="33" t="s">
        <v>163</v>
      </c>
      <c r="F179" s="32" t="s">
        <v>1485</v>
      </c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34">
        <v>1</v>
      </c>
      <c r="AL179" s="10">
        <f t="shared" si="23"/>
        <v>1</v>
      </c>
      <c r="AM179" s="12">
        <v>32000</v>
      </c>
      <c r="AN179" s="12">
        <f t="shared" si="24"/>
        <v>32000</v>
      </c>
    </row>
    <row r="180" spans="1:41">
      <c r="A180" s="48" t="s">
        <v>226</v>
      </c>
      <c r="B180" s="32">
        <v>34</v>
      </c>
      <c r="C180" s="33" t="s">
        <v>368</v>
      </c>
      <c r="D180" s="33" t="s">
        <v>145</v>
      </c>
      <c r="E180" s="33" t="s">
        <v>155</v>
      </c>
      <c r="F180" s="32" t="s">
        <v>1484</v>
      </c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34">
        <v>1</v>
      </c>
      <c r="AL180" s="10">
        <f t="shared" si="23"/>
        <v>1</v>
      </c>
      <c r="AM180" s="12">
        <v>32000</v>
      </c>
      <c r="AN180" s="12">
        <f t="shared" si="24"/>
        <v>32000</v>
      </c>
    </row>
    <row r="181" spans="1:41">
      <c r="A181" s="48" t="s">
        <v>226</v>
      </c>
      <c r="B181" s="32">
        <v>23</v>
      </c>
      <c r="C181" s="33" t="s">
        <v>1471</v>
      </c>
      <c r="D181" s="33" t="s">
        <v>935</v>
      </c>
      <c r="E181" s="33" t="s">
        <v>505</v>
      </c>
      <c r="F181" s="32" t="s">
        <v>1483</v>
      </c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34">
        <v>1</v>
      </c>
      <c r="AL181" s="10">
        <f t="shared" si="23"/>
        <v>1</v>
      </c>
      <c r="AM181" s="12">
        <v>32000</v>
      </c>
      <c r="AN181" s="12">
        <f t="shared" si="24"/>
        <v>32000</v>
      </c>
    </row>
    <row r="182" spans="1:41">
      <c r="A182" s="48" t="s">
        <v>226</v>
      </c>
      <c r="B182" s="32">
        <v>24</v>
      </c>
      <c r="C182" s="33" t="s">
        <v>1472</v>
      </c>
      <c r="D182" s="33" t="s">
        <v>1150</v>
      </c>
      <c r="E182" s="33" t="s">
        <v>64</v>
      </c>
      <c r="F182" s="32" t="s">
        <v>1482</v>
      </c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34">
        <v>1</v>
      </c>
      <c r="AL182" s="10">
        <f t="shared" si="23"/>
        <v>1</v>
      </c>
      <c r="AM182" s="12">
        <v>32000</v>
      </c>
      <c r="AN182" s="12">
        <f t="shared" si="24"/>
        <v>32000</v>
      </c>
    </row>
    <row r="183" spans="1:41">
      <c r="A183" s="48" t="s">
        <v>226</v>
      </c>
      <c r="B183" s="32">
        <v>23</v>
      </c>
      <c r="C183" s="33" t="s">
        <v>392</v>
      </c>
      <c r="D183" s="33" t="s">
        <v>206</v>
      </c>
      <c r="E183" s="33" t="s">
        <v>280</v>
      </c>
      <c r="F183" s="32" t="s">
        <v>1481</v>
      </c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34">
        <v>1</v>
      </c>
      <c r="AL183" s="10">
        <f t="shared" si="23"/>
        <v>1</v>
      </c>
      <c r="AM183" s="12">
        <v>32000</v>
      </c>
      <c r="AN183" s="12">
        <f t="shared" si="24"/>
        <v>32000</v>
      </c>
    </row>
    <row r="184" spans="1:41">
      <c r="A184" s="48" t="s">
        <v>226</v>
      </c>
      <c r="B184" s="32">
        <v>66</v>
      </c>
      <c r="C184" s="33" t="s">
        <v>687</v>
      </c>
      <c r="D184" s="33" t="s">
        <v>258</v>
      </c>
      <c r="E184" s="33" t="s">
        <v>1473</v>
      </c>
      <c r="F184" s="32" t="s">
        <v>1480</v>
      </c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34">
        <v>1</v>
      </c>
      <c r="AL184" s="10">
        <f t="shared" si="23"/>
        <v>1</v>
      </c>
      <c r="AM184" s="12">
        <v>32000</v>
      </c>
      <c r="AN184" s="12">
        <f t="shared" si="24"/>
        <v>32000</v>
      </c>
    </row>
    <row r="185" spans="1:41">
      <c r="A185" s="48" t="s">
        <v>226</v>
      </c>
      <c r="B185" s="32">
        <v>24</v>
      </c>
      <c r="C185" s="33" t="s">
        <v>16</v>
      </c>
      <c r="D185" s="33" t="s">
        <v>26</v>
      </c>
      <c r="E185" s="33" t="s">
        <v>25</v>
      </c>
      <c r="F185" s="32" t="s">
        <v>1479</v>
      </c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34">
        <v>1</v>
      </c>
      <c r="AL185" s="10">
        <f t="shared" si="23"/>
        <v>1</v>
      </c>
      <c r="AM185" s="12">
        <v>32000</v>
      </c>
      <c r="AN185" s="12">
        <f t="shared" si="24"/>
        <v>32000</v>
      </c>
    </row>
    <row r="186" spans="1:41">
      <c r="A186" s="48" t="s">
        <v>226</v>
      </c>
      <c r="B186" s="32">
        <v>35</v>
      </c>
      <c r="C186" s="33" t="s">
        <v>798</v>
      </c>
      <c r="D186" s="33" t="s">
        <v>176</v>
      </c>
      <c r="E186" s="33" t="s">
        <v>28</v>
      </c>
      <c r="F186" s="32" t="s">
        <v>1478</v>
      </c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34">
        <v>1</v>
      </c>
      <c r="AL186" s="10">
        <f t="shared" si="23"/>
        <v>1</v>
      </c>
      <c r="AM186" s="12">
        <v>32000</v>
      </c>
      <c r="AN186" s="12">
        <f t="shared" si="24"/>
        <v>32000</v>
      </c>
    </row>
    <row r="187" spans="1:41">
      <c r="A187" s="48" t="s">
        <v>226</v>
      </c>
      <c r="B187" s="32">
        <v>86</v>
      </c>
      <c r="C187" s="33" t="s">
        <v>26</v>
      </c>
      <c r="D187" s="33" t="s">
        <v>223</v>
      </c>
      <c r="E187" s="33" t="s">
        <v>9</v>
      </c>
      <c r="F187" s="32" t="s">
        <v>1477</v>
      </c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34">
        <v>1</v>
      </c>
      <c r="AL187" s="10">
        <f t="shared" si="23"/>
        <v>1</v>
      </c>
      <c r="AM187" s="12">
        <v>32000</v>
      </c>
      <c r="AN187" s="12">
        <f t="shared" si="24"/>
        <v>32000</v>
      </c>
    </row>
    <row r="188" spans="1:41">
      <c r="A188" s="48" t="s">
        <v>226</v>
      </c>
      <c r="B188" s="32">
        <v>86</v>
      </c>
      <c r="C188" s="33" t="s">
        <v>1474</v>
      </c>
      <c r="D188" s="33" t="s">
        <v>94</v>
      </c>
      <c r="E188" s="33" t="s">
        <v>1475</v>
      </c>
      <c r="F188" s="32" t="s">
        <v>1476</v>
      </c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34">
        <v>1</v>
      </c>
      <c r="AL188" s="10">
        <f t="shared" si="23"/>
        <v>1</v>
      </c>
      <c r="AM188" s="12">
        <v>32000</v>
      </c>
      <c r="AN188" s="12">
        <f t="shared" si="24"/>
        <v>32000</v>
      </c>
    </row>
    <row r="189" spans="1:41">
      <c r="A189" s="48" t="s">
        <v>226</v>
      </c>
      <c r="B189" s="32">
        <v>12</v>
      </c>
      <c r="C189" s="33" t="s">
        <v>60</v>
      </c>
      <c r="D189" s="33" t="s">
        <v>16</v>
      </c>
      <c r="E189" s="33" t="s">
        <v>472</v>
      </c>
      <c r="F189" s="32" t="s">
        <v>61</v>
      </c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34">
        <v>1</v>
      </c>
      <c r="AC189" s="46"/>
      <c r="AD189" s="46"/>
      <c r="AE189" s="46"/>
      <c r="AF189" s="46"/>
      <c r="AG189" s="46"/>
      <c r="AH189" s="46"/>
      <c r="AI189" s="46"/>
      <c r="AJ189" s="46"/>
      <c r="AK189" s="46"/>
      <c r="AL189" s="10">
        <f t="shared" si="23"/>
        <v>1</v>
      </c>
      <c r="AM189" s="12">
        <v>32000</v>
      </c>
      <c r="AN189" s="12">
        <f t="shared" si="24"/>
        <v>32000</v>
      </c>
      <c r="AO189" s="61" t="s">
        <v>886</v>
      </c>
    </row>
    <row r="190" spans="1:41">
      <c r="A190" s="48" t="s">
        <v>226</v>
      </c>
      <c r="B190" s="32">
        <v>12</v>
      </c>
      <c r="C190" s="33" t="s">
        <v>56</v>
      </c>
      <c r="D190" s="33" t="s">
        <v>473</v>
      </c>
      <c r="E190" s="33" t="s">
        <v>57</v>
      </c>
      <c r="F190" s="32" t="s">
        <v>58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34">
        <v>1</v>
      </c>
      <c r="AC190" s="46"/>
      <c r="AD190" s="46"/>
      <c r="AE190" s="46"/>
      <c r="AF190" s="46"/>
      <c r="AG190" s="46"/>
      <c r="AH190" s="46"/>
      <c r="AI190" s="46"/>
      <c r="AJ190" s="46"/>
      <c r="AK190" s="46"/>
      <c r="AL190" s="10">
        <f t="shared" si="23"/>
        <v>1</v>
      </c>
      <c r="AM190" s="12">
        <v>32000</v>
      </c>
      <c r="AN190" s="12">
        <f t="shared" si="24"/>
        <v>32000</v>
      </c>
      <c r="AO190" s="61" t="s">
        <v>886</v>
      </c>
    </row>
    <row r="191" spans="1:41">
      <c r="A191" s="48" t="s">
        <v>226</v>
      </c>
      <c r="B191" s="32">
        <v>51</v>
      </c>
      <c r="C191" s="33" t="s">
        <v>541</v>
      </c>
      <c r="D191" s="33" t="s">
        <v>228</v>
      </c>
      <c r="E191" s="33" t="s">
        <v>144</v>
      </c>
      <c r="F191" s="32" t="s">
        <v>484</v>
      </c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34">
        <v>1</v>
      </c>
      <c r="AC191" s="46"/>
      <c r="AD191" s="46"/>
      <c r="AE191" s="46"/>
      <c r="AF191" s="46"/>
      <c r="AG191" s="46"/>
      <c r="AH191" s="46"/>
      <c r="AI191" s="46"/>
      <c r="AJ191" s="46"/>
      <c r="AK191" s="46"/>
      <c r="AL191" s="10">
        <f t="shared" ref="AL191:AL209" si="25">SUM(G191:AK191)</f>
        <v>1</v>
      </c>
      <c r="AM191" s="12">
        <v>32000</v>
      </c>
      <c r="AN191" s="12">
        <f t="shared" ref="AN191:AN209" si="26">AM191*AL191</f>
        <v>32000</v>
      </c>
      <c r="AO191" s="61" t="s">
        <v>886</v>
      </c>
    </row>
    <row r="192" spans="1:41">
      <c r="A192" s="48" t="s">
        <v>226</v>
      </c>
      <c r="B192" s="32">
        <v>51</v>
      </c>
      <c r="C192" s="33" t="s">
        <v>38</v>
      </c>
      <c r="D192" s="33" t="s">
        <v>383</v>
      </c>
      <c r="E192" s="33" t="s">
        <v>356</v>
      </c>
      <c r="F192" s="32" t="s">
        <v>483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34">
        <v>1</v>
      </c>
      <c r="AC192" s="46"/>
      <c r="AD192" s="46"/>
      <c r="AE192" s="46"/>
      <c r="AF192" s="46"/>
      <c r="AG192" s="46"/>
      <c r="AH192" s="46"/>
      <c r="AI192" s="46"/>
      <c r="AJ192" s="46"/>
      <c r="AK192" s="46"/>
      <c r="AL192" s="10">
        <f t="shared" si="25"/>
        <v>1</v>
      </c>
      <c r="AM192" s="12">
        <v>32000</v>
      </c>
      <c r="AN192" s="12">
        <f t="shared" si="26"/>
        <v>32000</v>
      </c>
      <c r="AO192" s="61" t="s">
        <v>886</v>
      </c>
    </row>
    <row r="193" spans="1:41">
      <c r="A193" s="48" t="s">
        <v>226</v>
      </c>
      <c r="B193" s="32">
        <v>76</v>
      </c>
      <c r="C193" s="33" t="s">
        <v>477</v>
      </c>
      <c r="D193" s="33" t="s">
        <v>478</v>
      </c>
      <c r="E193" s="33" t="s">
        <v>447</v>
      </c>
      <c r="F193" s="32" t="s">
        <v>59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34">
        <v>1</v>
      </c>
      <c r="AC193" s="46"/>
      <c r="AD193" s="46"/>
      <c r="AE193" s="46"/>
      <c r="AF193" s="46"/>
      <c r="AG193" s="46"/>
      <c r="AH193" s="46"/>
      <c r="AI193" s="46"/>
      <c r="AJ193" s="46"/>
      <c r="AK193" s="46"/>
      <c r="AL193" s="10">
        <f t="shared" si="25"/>
        <v>1</v>
      </c>
      <c r="AM193" s="12">
        <v>32000</v>
      </c>
      <c r="AN193" s="12">
        <f t="shared" si="26"/>
        <v>32000</v>
      </c>
      <c r="AO193" s="61" t="s">
        <v>886</v>
      </c>
    </row>
    <row r="194" spans="1:41">
      <c r="A194" s="48" t="s">
        <v>226</v>
      </c>
      <c r="B194" s="32">
        <v>7</v>
      </c>
      <c r="C194" s="33" t="s">
        <v>468</v>
      </c>
      <c r="D194" s="33" t="s">
        <v>469</v>
      </c>
      <c r="E194" s="33" t="s">
        <v>544</v>
      </c>
      <c r="F194" s="32" t="s">
        <v>471</v>
      </c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34">
        <v>1</v>
      </c>
      <c r="AC194" s="46"/>
      <c r="AD194" s="46"/>
      <c r="AE194" s="46"/>
      <c r="AF194" s="46"/>
      <c r="AG194" s="46"/>
      <c r="AH194" s="46"/>
      <c r="AI194" s="46"/>
      <c r="AJ194" s="46"/>
      <c r="AK194" s="46"/>
      <c r="AL194" s="10">
        <f t="shared" si="25"/>
        <v>1</v>
      </c>
      <c r="AM194" s="12">
        <v>32000</v>
      </c>
      <c r="AN194" s="12">
        <f t="shared" si="26"/>
        <v>32000</v>
      </c>
      <c r="AO194" s="61" t="s">
        <v>886</v>
      </c>
    </row>
    <row r="195" spans="1:41">
      <c r="A195" s="48" t="s">
        <v>226</v>
      </c>
      <c r="B195" s="32">
        <v>7</v>
      </c>
      <c r="C195" s="33" t="s">
        <v>533</v>
      </c>
      <c r="D195" s="33" t="s">
        <v>475</v>
      </c>
      <c r="E195" s="33" t="s">
        <v>217</v>
      </c>
      <c r="F195" s="32" t="s">
        <v>49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34">
        <v>1</v>
      </c>
      <c r="AC195" s="46"/>
      <c r="AD195" s="46"/>
      <c r="AE195" s="46"/>
      <c r="AF195" s="46"/>
      <c r="AG195" s="46"/>
      <c r="AH195" s="46"/>
      <c r="AI195" s="46"/>
      <c r="AJ195" s="46"/>
      <c r="AK195" s="46"/>
      <c r="AL195" s="10">
        <f t="shared" si="25"/>
        <v>1</v>
      </c>
      <c r="AM195" s="12">
        <v>32000</v>
      </c>
      <c r="AN195" s="12">
        <f t="shared" si="26"/>
        <v>32000</v>
      </c>
      <c r="AO195" s="61" t="s">
        <v>886</v>
      </c>
    </row>
    <row r="196" spans="1:41">
      <c r="A196" s="48" t="s">
        <v>226</v>
      </c>
      <c r="B196" s="32">
        <v>81</v>
      </c>
      <c r="C196" s="33" t="s">
        <v>45</v>
      </c>
      <c r="D196" s="33" t="s">
        <v>542</v>
      </c>
      <c r="E196" s="33" t="s">
        <v>543</v>
      </c>
      <c r="F196" s="32" t="s">
        <v>488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34">
        <v>1</v>
      </c>
      <c r="AC196" s="46"/>
      <c r="AD196" s="46"/>
      <c r="AE196" s="46"/>
      <c r="AF196" s="46"/>
      <c r="AG196" s="46"/>
      <c r="AH196" s="46"/>
      <c r="AI196" s="46"/>
      <c r="AJ196" s="46"/>
      <c r="AK196" s="46"/>
      <c r="AL196" s="10">
        <f t="shared" si="25"/>
        <v>1</v>
      </c>
      <c r="AM196" s="12">
        <v>32000</v>
      </c>
      <c r="AN196" s="12">
        <f t="shared" si="26"/>
        <v>32000</v>
      </c>
      <c r="AO196" s="61" t="s">
        <v>886</v>
      </c>
    </row>
    <row r="197" spans="1:41">
      <c r="A197" s="48" t="s">
        <v>226</v>
      </c>
      <c r="B197" s="32">
        <v>81</v>
      </c>
      <c r="C197" s="33" t="s">
        <v>50</v>
      </c>
      <c r="D197" s="33" t="s">
        <v>150</v>
      </c>
      <c r="E197" s="33" t="s">
        <v>474</v>
      </c>
      <c r="F197" s="32" t="s">
        <v>489</v>
      </c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34">
        <v>1</v>
      </c>
      <c r="AC197" s="46"/>
      <c r="AD197" s="46"/>
      <c r="AE197" s="46"/>
      <c r="AF197" s="46"/>
      <c r="AG197" s="46"/>
      <c r="AH197" s="46"/>
      <c r="AI197" s="46"/>
      <c r="AJ197" s="46"/>
      <c r="AK197" s="46"/>
      <c r="AL197" s="10">
        <f t="shared" si="25"/>
        <v>1</v>
      </c>
      <c r="AM197" s="12">
        <v>32000</v>
      </c>
      <c r="AN197" s="12">
        <f t="shared" si="26"/>
        <v>32000</v>
      </c>
      <c r="AO197" s="61" t="s">
        <v>886</v>
      </c>
    </row>
    <row r="198" spans="1:41">
      <c r="A198" s="48" t="s">
        <v>226</v>
      </c>
      <c r="B198" s="32">
        <v>76</v>
      </c>
      <c r="C198" s="33" t="s">
        <v>8</v>
      </c>
      <c r="D198" s="33" t="s">
        <v>480</v>
      </c>
      <c r="E198" s="33" t="s">
        <v>42</v>
      </c>
      <c r="F198" s="32" t="s">
        <v>51</v>
      </c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34">
        <v>1</v>
      </c>
      <c r="AC198" s="46"/>
      <c r="AD198" s="46"/>
      <c r="AE198" s="46"/>
      <c r="AF198" s="46"/>
      <c r="AG198" s="46"/>
      <c r="AH198" s="46"/>
      <c r="AI198" s="46"/>
      <c r="AJ198" s="46"/>
      <c r="AK198" s="46"/>
      <c r="AL198" s="10">
        <f t="shared" si="25"/>
        <v>1</v>
      </c>
      <c r="AM198" s="12">
        <v>32000</v>
      </c>
      <c r="AN198" s="12">
        <f t="shared" si="26"/>
        <v>32000</v>
      </c>
      <c r="AO198" s="61" t="s">
        <v>886</v>
      </c>
    </row>
    <row r="199" spans="1:41">
      <c r="A199" s="48" t="s">
        <v>226</v>
      </c>
      <c r="B199" s="32">
        <v>88</v>
      </c>
      <c r="C199" s="33" t="s">
        <v>476</v>
      </c>
      <c r="D199" s="33" t="s">
        <v>532</v>
      </c>
      <c r="E199" s="33" t="s">
        <v>37</v>
      </c>
      <c r="F199" s="32" t="s">
        <v>486</v>
      </c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34">
        <v>1</v>
      </c>
      <c r="AC199" s="46"/>
      <c r="AD199" s="46"/>
      <c r="AE199" s="46"/>
      <c r="AF199" s="46"/>
      <c r="AG199" s="46"/>
      <c r="AH199" s="46"/>
      <c r="AI199" s="46"/>
      <c r="AJ199" s="46"/>
      <c r="AK199" s="46"/>
      <c r="AL199" s="10">
        <f t="shared" si="25"/>
        <v>1</v>
      </c>
      <c r="AM199" s="12">
        <v>32000</v>
      </c>
      <c r="AN199" s="12">
        <f t="shared" si="26"/>
        <v>32000</v>
      </c>
      <c r="AO199" s="61" t="s">
        <v>886</v>
      </c>
    </row>
    <row r="200" spans="1:41">
      <c r="A200" s="48" t="s">
        <v>226</v>
      </c>
      <c r="B200" s="32">
        <v>88</v>
      </c>
      <c r="C200" s="33" t="s">
        <v>26</v>
      </c>
      <c r="D200" s="33" t="s">
        <v>93</v>
      </c>
      <c r="E200" s="33" t="s">
        <v>43</v>
      </c>
      <c r="F200" s="32" t="s">
        <v>44</v>
      </c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34">
        <v>1</v>
      </c>
      <c r="AC200" s="46"/>
      <c r="AD200" s="46"/>
      <c r="AE200" s="46"/>
      <c r="AF200" s="46"/>
      <c r="AG200" s="46"/>
      <c r="AH200" s="46"/>
      <c r="AI200" s="46"/>
      <c r="AJ200" s="46"/>
      <c r="AK200" s="46"/>
      <c r="AL200" s="10">
        <f t="shared" si="25"/>
        <v>1</v>
      </c>
      <c r="AM200" s="12">
        <v>32000</v>
      </c>
      <c r="AN200" s="12">
        <f t="shared" si="26"/>
        <v>32000</v>
      </c>
      <c r="AO200" s="61" t="s">
        <v>886</v>
      </c>
    </row>
    <row r="201" spans="1:41">
      <c r="A201" s="48" t="s">
        <v>226</v>
      </c>
      <c r="B201" s="32">
        <v>74</v>
      </c>
      <c r="C201" s="33" t="s">
        <v>231</v>
      </c>
      <c r="D201" s="33" t="s">
        <v>481</v>
      </c>
      <c r="E201" s="33" t="s">
        <v>450</v>
      </c>
      <c r="F201" s="32" t="s">
        <v>485</v>
      </c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34">
        <v>1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10">
        <f t="shared" si="25"/>
        <v>1</v>
      </c>
      <c r="AM201" s="12">
        <v>32000</v>
      </c>
      <c r="AN201" s="12">
        <f t="shared" si="26"/>
        <v>32000</v>
      </c>
      <c r="AO201" s="61" t="s">
        <v>886</v>
      </c>
    </row>
    <row r="202" spans="1:41">
      <c r="A202" s="48" t="s">
        <v>226</v>
      </c>
      <c r="B202" s="32">
        <v>1</v>
      </c>
      <c r="C202" s="33" t="s">
        <v>12</v>
      </c>
      <c r="D202" s="33" t="s">
        <v>72</v>
      </c>
      <c r="E202" s="33" t="s">
        <v>545</v>
      </c>
      <c r="F202" s="32" t="s">
        <v>487</v>
      </c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34">
        <v>1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10">
        <f t="shared" si="25"/>
        <v>1</v>
      </c>
      <c r="AM202" s="12">
        <v>32000</v>
      </c>
      <c r="AN202" s="12">
        <f t="shared" si="26"/>
        <v>32000</v>
      </c>
      <c r="AO202" s="61" t="s">
        <v>886</v>
      </c>
    </row>
    <row r="203" spans="1:41">
      <c r="A203" s="48" t="s">
        <v>226</v>
      </c>
      <c r="B203" s="32">
        <v>74</v>
      </c>
      <c r="C203" s="33" t="s">
        <v>456</v>
      </c>
      <c r="D203" s="33" t="s">
        <v>479</v>
      </c>
      <c r="E203" s="33" t="s">
        <v>194</v>
      </c>
      <c r="F203" s="32" t="s">
        <v>451</v>
      </c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34">
        <v>1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10">
        <f t="shared" si="25"/>
        <v>1</v>
      </c>
      <c r="AM203" s="12">
        <v>32000</v>
      </c>
      <c r="AN203" s="12">
        <f t="shared" si="26"/>
        <v>32000</v>
      </c>
      <c r="AO203" s="61" t="s">
        <v>886</v>
      </c>
    </row>
    <row r="204" spans="1:41">
      <c r="A204" s="48" t="s">
        <v>226</v>
      </c>
      <c r="B204" s="32">
        <v>33</v>
      </c>
      <c r="C204" s="33" t="s">
        <v>1119</v>
      </c>
      <c r="D204" s="33" t="s">
        <v>94</v>
      </c>
      <c r="E204" s="33" t="s">
        <v>1120</v>
      </c>
      <c r="F204" s="32" t="s">
        <v>1145</v>
      </c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34">
        <v>1</v>
      </c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10">
        <f t="shared" si="25"/>
        <v>1</v>
      </c>
      <c r="AM204" s="12">
        <v>32000</v>
      </c>
      <c r="AN204" s="12">
        <f t="shared" si="26"/>
        <v>32000</v>
      </c>
    </row>
    <row r="205" spans="1:41">
      <c r="A205" s="48" t="s">
        <v>226</v>
      </c>
      <c r="B205" s="32">
        <v>33</v>
      </c>
      <c r="C205" s="33" t="s">
        <v>167</v>
      </c>
      <c r="D205" s="33" t="s">
        <v>668</v>
      </c>
      <c r="E205" s="33" t="s">
        <v>1121</v>
      </c>
      <c r="F205" s="32" t="s">
        <v>1144</v>
      </c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34">
        <v>1</v>
      </c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10">
        <f t="shared" si="25"/>
        <v>1</v>
      </c>
      <c r="AM205" s="12">
        <v>32000</v>
      </c>
      <c r="AN205" s="12">
        <f t="shared" si="26"/>
        <v>32000</v>
      </c>
    </row>
    <row r="206" spans="1:41">
      <c r="A206" s="48" t="s">
        <v>226</v>
      </c>
      <c r="B206" s="32">
        <v>56</v>
      </c>
      <c r="C206" s="33" t="s">
        <v>1122</v>
      </c>
      <c r="D206" s="33" t="s">
        <v>181</v>
      </c>
      <c r="E206" s="33" t="s">
        <v>24</v>
      </c>
      <c r="F206" s="32" t="s">
        <v>1143</v>
      </c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34">
        <v>1</v>
      </c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10">
        <f t="shared" si="25"/>
        <v>1</v>
      </c>
      <c r="AM206" s="12">
        <v>32000</v>
      </c>
      <c r="AN206" s="12">
        <f t="shared" si="26"/>
        <v>32000</v>
      </c>
    </row>
    <row r="207" spans="1:41">
      <c r="A207" s="48" t="s">
        <v>226</v>
      </c>
      <c r="B207" s="32">
        <v>56</v>
      </c>
      <c r="C207" s="33" t="s">
        <v>1123</v>
      </c>
      <c r="D207" s="33" t="s">
        <v>364</v>
      </c>
      <c r="E207" s="33" t="s">
        <v>9</v>
      </c>
      <c r="F207" s="32" t="s">
        <v>1142</v>
      </c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34">
        <v>1</v>
      </c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10">
        <f t="shared" si="25"/>
        <v>1</v>
      </c>
      <c r="AM207" s="12">
        <v>32000</v>
      </c>
      <c r="AN207" s="12">
        <f t="shared" si="26"/>
        <v>32000</v>
      </c>
    </row>
    <row r="208" spans="1:41">
      <c r="A208" s="48" t="s">
        <v>226</v>
      </c>
      <c r="B208" s="32">
        <v>65</v>
      </c>
      <c r="C208" s="33" t="s">
        <v>1124</v>
      </c>
      <c r="D208" s="33" t="s">
        <v>1125</v>
      </c>
      <c r="E208" s="33" t="s">
        <v>1126</v>
      </c>
      <c r="F208" s="32" t="s">
        <v>1141</v>
      </c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34">
        <v>1</v>
      </c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10">
        <f t="shared" si="25"/>
        <v>1</v>
      </c>
      <c r="AM208" s="12">
        <v>32000</v>
      </c>
      <c r="AN208" s="12">
        <f t="shared" si="26"/>
        <v>32000</v>
      </c>
    </row>
    <row r="209" spans="1:41">
      <c r="A209" s="48" t="s">
        <v>226</v>
      </c>
      <c r="B209" s="32">
        <v>65</v>
      </c>
      <c r="C209" s="33" t="s">
        <v>94</v>
      </c>
      <c r="D209" s="33" t="s">
        <v>1127</v>
      </c>
      <c r="E209" s="33" t="s">
        <v>64</v>
      </c>
      <c r="F209" s="32" t="s">
        <v>1140</v>
      </c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34">
        <v>1</v>
      </c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10">
        <f t="shared" si="25"/>
        <v>1</v>
      </c>
      <c r="AM209" s="12">
        <v>32000</v>
      </c>
      <c r="AN209" s="12">
        <f t="shared" si="26"/>
        <v>32000</v>
      </c>
    </row>
    <row r="210" spans="1:41">
      <c r="A210" s="48" t="s">
        <v>226</v>
      </c>
      <c r="B210" s="32">
        <v>66</v>
      </c>
      <c r="C210" s="33" t="s">
        <v>332</v>
      </c>
      <c r="D210" s="33" t="s">
        <v>176</v>
      </c>
      <c r="E210" s="33" t="s">
        <v>1128</v>
      </c>
      <c r="F210" s="32" t="s">
        <v>1139</v>
      </c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34">
        <v>1</v>
      </c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10">
        <f t="shared" ref="AL210:AL214" si="27">SUM(G210:AK210)</f>
        <v>1</v>
      </c>
      <c r="AM210" s="12">
        <v>32000</v>
      </c>
      <c r="AN210" s="12">
        <f t="shared" ref="AN210:AN214" si="28">AM210*AL210</f>
        <v>32000</v>
      </c>
    </row>
    <row r="211" spans="1:41">
      <c r="A211" s="48" t="s">
        <v>226</v>
      </c>
      <c r="B211" s="32">
        <v>66</v>
      </c>
      <c r="C211" s="33" t="s">
        <v>145</v>
      </c>
      <c r="D211" s="33" t="s">
        <v>8</v>
      </c>
      <c r="E211" s="33" t="s">
        <v>1129</v>
      </c>
      <c r="F211" s="32" t="s">
        <v>1138</v>
      </c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34">
        <v>1</v>
      </c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10">
        <f t="shared" si="27"/>
        <v>1</v>
      </c>
      <c r="AM211" s="12">
        <v>32000</v>
      </c>
      <c r="AN211" s="12">
        <f t="shared" si="28"/>
        <v>32000</v>
      </c>
    </row>
    <row r="212" spans="1:41">
      <c r="A212" s="48" t="s">
        <v>226</v>
      </c>
      <c r="B212" s="32">
        <v>77</v>
      </c>
      <c r="C212" s="33" t="s">
        <v>312</v>
      </c>
      <c r="D212" s="33" t="s">
        <v>1130</v>
      </c>
      <c r="E212" s="33" t="s">
        <v>1131</v>
      </c>
      <c r="F212" s="32" t="s">
        <v>1137</v>
      </c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34">
        <v>1</v>
      </c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10">
        <f t="shared" si="27"/>
        <v>1</v>
      </c>
      <c r="AM212" s="12">
        <v>32000</v>
      </c>
      <c r="AN212" s="12">
        <f t="shared" si="28"/>
        <v>32000</v>
      </c>
    </row>
    <row r="213" spans="1:41">
      <c r="A213" s="48" t="s">
        <v>226</v>
      </c>
      <c r="B213" s="32">
        <v>77</v>
      </c>
      <c r="C213" s="33" t="s">
        <v>94</v>
      </c>
      <c r="D213" s="33" t="s">
        <v>757</v>
      </c>
      <c r="E213" s="33" t="s">
        <v>1132</v>
      </c>
      <c r="F213" s="32" t="s">
        <v>1136</v>
      </c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34">
        <v>1</v>
      </c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10">
        <f t="shared" si="27"/>
        <v>1</v>
      </c>
      <c r="AM213" s="12">
        <v>32000</v>
      </c>
      <c r="AN213" s="12">
        <f t="shared" si="28"/>
        <v>32000</v>
      </c>
    </row>
    <row r="214" spans="1:41">
      <c r="A214" s="48" t="s">
        <v>226</v>
      </c>
      <c r="B214" s="32">
        <v>81</v>
      </c>
      <c r="C214" s="33" t="s">
        <v>1133</v>
      </c>
      <c r="D214" s="33" t="s">
        <v>1134</v>
      </c>
      <c r="E214" s="33" t="s">
        <v>606</v>
      </c>
      <c r="F214" s="32" t="s">
        <v>1135</v>
      </c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34">
        <v>1</v>
      </c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10">
        <f t="shared" si="27"/>
        <v>1</v>
      </c>
      <c r="AM214" s="12">
        <v>32000</v>
      </c>
      <c r="AN214" s="12">
        <f t="shared" si="28"/>
        <v>32000</v>
      </c>
    </row>
    <row r="215" spans="1:41" ht="12.75" customHeight="1">
      <c r="A215" s="40"/>
      <c r="B215" s="40"/>
      <c r="C215" s="41"/>
      <c r="D215" s="41"/>
      <c r="E215" s="41"/>
      <c r="F215" s="40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42"/>
      <c r="AM215" s="43"/>
      <c r="AN215" s="43"/>
    </row>
    <row r="216" spans="1:41">
      <c r="A216" s="3"/>
      <c r="G216" s="16">
        <f t="shared" ref="G216:AL216" si="29">SUM(G10:G215)</f>
        <v>28</v>
      </c>
      <c r="H216" s="16">
        <f t="shared" si="29"/>
        <v>44</v>
      </c>
      <c r="I216" s="16">
        <f t="shared" si="29"/>
        <v>54</v>
      </c>
      <c r="J216" s="16">
        <f t="shared" si="29"/>
        <v>60</v>
      </c>
      <c r="K216" s="16">
        <f t="shared" si="29"/>
        <v>59</v>
      </c>
      <c r="L216" s="16">
        <f t="shared" si="29"/>
        <v>61</v>
      </c>
      <c r="M216" s="16">
        <f t="shared" si="29"/>
        <v>61</v>
      </c>
      <c r="N216" s="16">
        <f t="shared" si="29"/>
        <v>61</v>
      </c>
      <c r="O216" s="16">
        <f t="shared" si="29"/>
        <v>61</v>
      </c>
      <c r="P216" s="16">
        <f t="shared" si="29"/>
        <v>59</v>
      </c>
      <c r="Q216" s="16">
        <f t="shared" si="29"/>
        <v>59</v>
      </c>
      <c r="R216" s="16">
        <f t="shared" si="29"/>
        <v>59</v>
      </c>
      <c r="S216" s="16">
        <f t="shared" si="29"/>
        <v>59</v>
      </c>
      <c r="T216" s="16">
        <f t="shared" si="29"/>
        <v>59</v>
      </c>
      <c r="U216" s="16">
        <f t="shared" si="29"/>
        <v>59</v>
      </c>
      <c r="V216" s="16">
        <f t="shared" si="29"/>
        <v>10</v>
      </c>
      <c r="W216" s="16">
        <f t="shared" si="29"/>
        <v>26</v>
      </c>
      <c r="X216" s="16">
        <f t="shared" si="29"/>
        <v>15</v>
      </c>
      <c r="Y216" s="16">
        <f t="shared" si="29"/>
        <v>30</v>
      </c>
      <c r="Z216" s="16">
        <f t="shared" si="29"/>
        <v>30</v>
      </c>
      <c r="AA216" s="16">
        <f t="shared" si="29"/>
        <v>32</v>
      </c>
      <c r="AB216" s="16">
        <f t="shared" si="29"/>
        <v>63</v>
      </c>
      <c r="AC216" s="16">
        <f t="shared" si="29"/>
        <v>52</v>
      </c>
      <c r="AD216" s="16">
        <f t="shared" si="29"/>
        <v>59</v>
      </c>
      <c r="AE216" s="16">
        <f t="shared" si="29"/>
        <v>63</v>
      </c>
      <c r="AF216" s="16">
        <f t="shared" si="29"/>
        <v>63</v>
      </c>
      <c r="AG216" s="16">
        <f t="shared" si="29"/>
        <v>61</v>
      </c>
      <c r="AH216" s="16">
        <f t="shared" si="29"/>
        <v>60</v>
      </c>
      <c r="AI216" s="16">
        <f t="shared" si="29"/>
        <v>60</v>
      </c>
      <c r="AJ216" s="16">
        <f t="shared" si="29"/>
        <v>58</v>
      </c>
      <c r="AK216" s="16">
        <f t="shared" si="29"/>
        <v>73</v>
      </c>
      <c r="AL216" s="16">
        <f t="shared" si="29"/>
        <v>1598</v>
      </c>
      <c r="AO216" s="3" t="s">
        <v>29</v>
      </c>
    </row>
    <row r="217" spans="1:41">
      <c r="A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41">
      <c r="A218" s="3"/>
      <c r="AM218" s="17" t="s">
        <v>30</v>
      </c>
      <c r="AN218" s="18">
        <f>SUM(AN10:AN217)</f>
        <v>51136000</v>
      </c>
    </row>
    <row r="219" spans="1:41" ht="17.25" customHeight="1" thickBot="1">
      <c r="A219" s="19"/>
      <c r="B219" s="20"/>
      <c r="C219" s="19"/>
      <c r="D219" s="19"/>
      <c r="E219" s="19"/>
    </row>
    <row r="220" spans="1:41" ht="17.25" customHeight="1" thickBot="1">
      <c r="A220" s="92" t="s">
        <v>574</v>
      </c>
      <c r="B220" s="93"/>
      <c r="C220" s="93"/>
      <c r="D220" s="93"/>
      <c r="E220" s="93"/>
      <c r="F220" s="94"/>
      <c r="G220" s="91">
        <v>45839</v>
      </c>
      <c r="H220" s="91">
        <v>45840</v>
      </c>
      <c r="I220" s="91">
        <v>45841</v>
      </c>
      <c r="J220" s="91">
        <v>45842</v>
      </c>
      <c r="K220" s="91">
        <v>45843</v>
      </c>
      <c r="L220" s="91">
        <v>45844</v>
      </c>
      <c r="M220" s="91">
        <v>45845</v>
      </c>
      <c r="N220" s="91">
        <v>45846</v>
      </c>
      <c r="O220" s="91">
        <v>45847</v>
      </c>
      <c r="P220" s="91">
        <v>45848</v>
      </c>
      <c r="Q220" s="91">
        <v>45849</v>
      </c>
      <c r="R220" s="91">
        <v>45850</v>
      </c>
      <c r="S220" s="91">
        <v>45851</v>
      </c>
      <c r="T220" s="91">
        <v>45852</v>
      </c>
      <c r="U220" s="91">
        <v>45853</v>
      </c>
      <c r="V220" s="91">
        <v>45854</v>
      </c>
      <c r="W220" s="91">
        <v>45855</v>
      </c>
      <c r="X220" s="91">
        <v>45856</v>
      </c>
      <c r="Y220" s="91">
        <v>45857</v>
      </c>
      <c r="Z220" s="91">
        <v>45858</v>
      </c>
      <c r="AA220" s="91">
        <v>45859</v>
      </c>
      <c r="AB220" s="91">
        <v>45860</v>
      </c>
      <c r="AC220" s="91">
        <v>45861</v>
      </c>
      <c r="AD220" s="91">
        <v>45862</v>
      </c>
      <c r="AE220" s="91">
        <v>45863</v>
      </c>
      <c r="AF220" s="91">
        <v>45864</v>
      </c>
      <c r="AG220" s="91">
        <v>45865</v>
      </c>
      <c r="AH220" s="91">
        <v>45866</v>
      </c>
      <c r="AI220" s="91">
        <v>45867</v>
      </c>
      <c r="AJ220" s="91">
        <v>45868</v>
      </c>
      <c r="AK220" s="91">
        <v>45869</v>
      </c>
      <c r="AL220" s="87" t="s">
        <v>575</v>
      </c>
      <c r="AM220" s="87"/>
      <c r="AN220" s="87"/>
    </row>
    <row r="221" spans="1:41" ht="12.75" customHeight="1" thickBot="1">
      <c r="A221" s="95"/>
      <c r="B221" s="96"/>
      <c r="C221" s="96"/>
      <c r="D221" s="96"/>
      <c r="E221" s="96"/>
      <c r="F221" s="97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87"/>
      <c r="AM221" s="87"/>
      <c r="AN221" s="87"/>
    </row>
    <row r="222" spans="1:41" ht="11.25" hidden="1" customHeight="1" thickBot="1">
      <c r="A222" s="95"/>
      <c r="B222" s="96"/>
      <c r="C222" s="96"/>
      <c r="D222" s="96"/>
      <c r="E222" s="96"/>
      <c r="F222" s="97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87"/>
      <c r="AM222" s="87"/>
      <c r="AN222" s="87"/>
    </row>
    <row r="223" spans="1:41" ht="17.25" customHeight="1">
      <c r="A223" s="98"/>
      <c r="B223" s="99"/>
      <c r="C223" s="99"/>
      <c r="D223" s="99"/>
      <c r="E223" s="99"/>
      <c r="F223" s="100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21" t="s">
        <v>5</v>
      </c>
      <c r="AM223" s="21" t="s">
        <v>6</v>
      </c>
      <c r="AN223" s="22" t="s">
        <v>7</v>
      </c>
    </row>
    <row r="224" spans="1:41" ht="17.25" customHeight="1">
      <c r="A224" s="23">
        <v>1</v>
      </c>
      <c r="B224" s="78" t="s">
        <v>32</v>
      </c>
      <c r="C224" s="78"/>
      <c r="D224" s="78"/>
      <c r="E224" s="78"/>
      <c r="F224" s="78"/>
      <c r="G224" s="49"/>
      <c r="H224" s="44">
        <v>1</v>
      </c>
      <c r="I224" s="44">
        <v>5</v>
      </c>
      <c r="J224" s="44">
        <v>5</v>
      </c>
      <c r="K224" s="44">
        <v>3</v>
      </c>
      <c r="L224" s="44">
        <v>2</v>
      </c>
      <c r="M224" s="44">
        <v>1</v>
      </c>
      <c r="N224" s="44">
        <v>3</v>
      </c>
      <c r="O224" s="44">
        <v>1</v>
      </c>
      <c r="P224" s="44">
        <v>1</v>
      </c>
      <c r="Q224" s="49"/>
      <c r="R224" s="49"/>
      <c r="S224" s="44">
        <v>2</v>
      </c>
      <c r="T224" s="44">
        <v>1</v>
      </c>
      <c r="U224" s="44">
        <v>2</v>
      </c>
      <c r="V224" s="49"/>
      <c r="W224" s="44">
        <v>20</v>
      </c>
      <c r="X224" s="49"/>
      <c r="Y224" s="44">
        <v>15</v>
      </c>
      <c r="Z224" s="44"/>
      <c r="AA224" s="49"/>
      <c r="AB224" s="44">
        <v>15</v>
      </c>
      <c r="AC224" s="44">
        <v>8</v>
      </c>
      <c r="AD224" s="44">
        <v>4</v>
      </c>
      <c r="AE224" s="44">
        <v>3</v>
      </c>
      <c r="AF224" s="44">
        <v>6</v>
      </c>
      <c r="AG224" s="44">
        <v>2</v>
      </c>
      <c r="AH224" s="44">
        <v>3</v>
      </c>
      <c r="AI224" s="49"/>
      <c r="AJ224" s="49"/>
      <c r="AK224" s="49"/>
      <c r="AL224" s="24">
        <f>SUM(G224:AK224)</f>
        <v>103</v>
      </c>
      <c r="AM224" s="15">
        <v>8500</v>
      </c>
      <c r="AN224" s="15">
        <f>AM224*AL224</f>
        <v>875500</v>
      </c>
    </row>
    <row r="226" spans="3:43" ht="11.25" customHeight="1">
      <c r="AL226" s="25"/>
      <c r="AM226" s="26" t="s">
        <v>33</v>
      </c>
      <c r="AN226" s="27">
        <f>AN218</f>
        <v>51136000</v>
      </c>
      <c r="AO226" s="25"/>
    </row>
    <row r="227" spans="3:43" ht="11.25" customHeight="1">
      <c r="AL227" s="25"/>
      <c r="AM227" s="26" t="s">
        <v>32</v>
      </c>
      <c r="AN227" s="27">
        <f>AN224</f>
        <v>875500</v>
      </c>
      <c r="AO227" s="25"/>
    </row>
    <row r="228" spans="3:43" ht="14.25" customHeight="1">
      <c r="AL228" s="25"/>
      <c r="AM228" s="28"/>
      <c r="AN228" s="28"/>
      <c r="AO228" s="25"/>
    </row>
    <row r="229" spans="3:43" ht="14.25" customHeight="1">
      <c r="AL229" s="25"/>
      <c r="AM229" s="25"/>
      <c r="AN229" s="25"/>
      <c r="AO229" s="25"/>
      <c r="AP229" s="2"/>
      <c r="AQ229" s="2"/>
    </row>
    <row r="230" spans="3:43" ht="14.25" customHeight="1">
      <c r="AL230" s="25"/>
      <c r="AM230" s="25"/>
      <c r="AN230" s="25"/>
      <c r="AO230" s="25"/>
      <c r="AP230" s="2"/>
      <c r="AQ230" s="2"/>
    </row>
    <row r="231" spans="3:43" ht="14.25" customHeight="1">
      <c r="AL231" s="28"/>
      <c r="AO231" s="28"/>
      <c r="AP231" s="2"/>
      <c r="AQ231" s="2"/>
    </row>
    <row r="232" spans="3:43" ht="14.25" customHeight="1">
      <c r="AL232" s="25"/>
      <c r="AO232" s="25"/>
      <c r="AP232" s="31"/>
      <c r="AQ232" s="31"/>
    </row>
    <row r="233" spans="3:43" ht="14.25" customHeight="1">
      <c r="AL233" s="25"/>
      <c r="AO233" s="25"/>
      <c r="AP233" s="31"/>
      <c r="AQ233" s="31"/>
    </row>
    <row r="234" spans="3:43" ht="14.25" customHeight="1">
      <c r="AL234" s="25"/>
      <c r="AO234" s="25"/>
    </row>
    <row r="235" spans="3:43" ht="20.25">
      <c r="AL235" s="25"/>
      <c r="AO235" s="25"/>
    </row>
    <row r="236" spans="3:43" ht="20.25">
      <c r="AL236" s="25"/>
      <c r="AO236" s="25"/>
    </row>
    <row r="238" spans="3:43">
      <c r="C238" s="77"/>
      <c r="D238" s="77"/>
    </row>
  </sheetData>
  <autoFilter ref="AL9:AN9" xr:uid="{00000000-0001-0000-0000-000000000000}"/>
  <sortState xmlns:xlrd2="http://schemas.microsoft.com/office/spreadsheetml/2017/richdata2" ref="A100:AN165">
    <sortCondition ref="B100:B165"/>
  </sortState>
  <mergeCells count="71">
    <mergeCell ref="R6:R9"/>
    <mergeCell ref="S6:S9"/>
    <mergeCell ref="T6:T9"/>
    <mergeCell ref="AA6:AA9"/>
    <mergeCell ref="AB6:AB9"/>
    <mergeCell ref="Z6:Z9"/>
    <mergeCell ref="AI220:AI223"/>
    <mergeCell ref="AK220:AK223"/>
    <mergeCell ref="AF6:AF9"/>
    <mergeCell ref="AG6:AG9"/>
    <mergeCell ref="AH6:AH9"/>
    <mergeCell ref="AI6:AI9"/>
    <mergeCell ref="AK6:AK9"/>
    <mergeCell ref="AJ6:AJ9"/>
    <mergeCell ref="AJ220:AJ223"/>
    <mergeCell ref="A1:F5"/>
    <mergeCell ref="G1:AN3"/>
    <mergeCell ref="G4:AN5"/>
    <mergeCell ref="A6:F8"/>
    <mergeCell ref="AL6:AN8"/>
    <mergeCell ref="O6:O9"/>
    <mergeCell ref="P6:P9"/>
    <mergeCell ref="Q6:Q9"/>
    <mergeCell ref="AC6:AC9"/>
    <mergeCell ref="AD6:AD9"/>
    <mergeCell ref="AE6:AE9"/>
    <mergeCell ref="U6:U9"/>
    <mergeCell ref="V6:V9"/>
    <mergeCell ref="W6:W9"/>
    <mergeCell ref="X6:X9"/>
    <mergeCell ref="Y6:Y9"/>
    <mergeCell ref="L6:L9"/>
    <mergeCell ref="M6:M9"/>
    <mergeCell ref="N6:N9"/>
    <mergeCell ref="L220:L223"/>
    <mergeCell ref="G6:G9"/>
    <mergeCell ref="H6:H9"/>
    <mergeCell ref="I6:I9"/>
    <mergeCell ref="J6:J9"/>
    <mergeCell ref="K6:K9"/>
    <mergeCell ref="AL220:AN222"/>
    <mergeCell ref="B224:F224"/>
    <mergeCell ref="G220:G223"/>
    <mergeCell ref="H220:H223"/>
    <mergeCell ref="I220:I223"/>
    <mergeCell ref="J220:J223"/>
    <mergeCell ref="K220:K223"/>
    <mergeCell ref="R220:R223"/>
    <mergeCell ref="S220:S223"/>
    <mergeCell ref="T220:T223"/>
    <mergeCell ref="AA220:AA223"/>
    <mergeCell ref="AB220:AB223"/>
    <mergeCell ref="AF220:AF223"/>
    <mergeCell ref="AG220:AG223"/>
    <mergeCell ref="AH220:AH223"/>
    <mergeCell ref="A220:F223"/>
    <mergeCell ref="C238:D238"/>
    <mergeCell ref="AC220:AC223"/>
    <mergeCell ref="AD220:AD223"/>
    <mergeCell ref="AE220:AE223"/>
    <mergeCell ref="M220:M223"/>
    <mergeCell ref="N220:N223"/>
    <mergeCell ref="U220:U223"/>
    <mergeCell ref="V220:V223"/>
    <mergeCell ref="W220:W223"/>
    <mergeCell ref="X220:X223"/>
    <mergeCell ref="Y220:Y223"/>
    <mergeCell ref="Z220:Z223"/>
    <mergeCell ref="O220:O223"/>
    <mergeCell ref="P220:P223"/>
    <mergeCell ref="Q220:Q223"/>
  </mergeCells>
  <phoneticPr fontId="23" type="noConversion"/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7"/>
  <sheetViews>
    <sheetView zoomScale="124" zoomScaleNormal="124" workbookViewId="0">
      <pane xSplit="6" ySplit="9" topLeftCell="T111" activePane="bottomRight" state="frozen"/>
      <selection pane="topRight" activeCell="I1" sqref="I1"/>
      <selection pane="bottomLeft" activeCell="A46" sqref="A46"/>
      <selection pane="bottomRight" activeCell="AL103" activeCellId="3" sqref="AJ130:AK130 AL58 AL82 AL103"/>
    </sheetView>
  </sheetViews>
  <sheetFormatPr baseColWidth="10" defaultColWidth="11.42578125" defaultRowHeight="12.75"/>
  <cols>
    <col min="1" max="1" width="6.28515625" style="1" customWidth="1"/>
    <col min="2" max="2" width="5.140625" style="1" bestFit="1" customWidth="1"/>
    <col min="3" max="3" width="10.7109375" style="3" customWidth="1"/>
    <col min="4" max="4" width="11.85546875" style="3" bestFit="1" customWidth="1"/>
    <col min="5" max="5" width="13.5703125" style="3" customWidth="1"/>
    <col min="6" max="6" width="10.5703125" style="1" customWidth="1"/>
    <col min="7" max="19" width="3.7109375" style="3" customWidth="1"/>
    <col min="20" max="20" width="3.140625" style="3" customWidth="1"/>
    <col min="21" max="37" width="3.7109375" style="3" customWidth="1"/>
    <col min="38" max="38" width="5.5703125" style="3" customWidth="1"/>
    <col min="39" max="39" width="18.28515625" style="3" customWidth="1"/>
    <col min="40" max="40" width="15.5703125" style="3" customWidth="1"/>
    <col min="41" max="41" width="12.42578125" style="3" customWidth="1"/>
    <col min="42" max="44" width="3" style="3" customWidth="1"/>
    <col min="45" max="16384" width="11.42578125" style="3"/>
  </cols>
  <sheetData>
    <row r="1" spans="1:40" ht="12.75" customHeight="1" thickBot="1">
      <c r="A1" s="88"/>
      <c r="B1" s="88"/>
      <c r="C1" s="88"/>
      <c r="D1" s="88"/>
      <c r="E1" s="88"/>
      <c r="F1" s="88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</row>
    <row r="2" spans="1:40" ht="12.75" customHeight="1" thickBot="1">
      <c r="A2" s="88"/>
      <c r="B2" s="88"/>
      <c r="C2" s="88"/>
      <c r="D2" s="88"/>
      <c r="E2" s="88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</row>
    <row r="3" spans="1:40" ht="20.25" customHeight="1" thickBot="1">
      <c r="A3" s="88"/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</row>
    <row r="4" spans="1:40" ht="12.75" customHeight="1" thickBot="1">
      <c r="A4" s="88"/>
      <c r="B4" s="88"/>
      <c r="C4" s="88"/>
      <c r="D4" s="88"/>
      <c r="E4" s="88"/>
      <c r="F4" s="88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</row>
    <row r="5" spans="1:40" ht="7.5" customHeight="1" thickBot="1">
      <c r="A5" s="88"/>
      <c r="B5" s="88"/>
      <c r="C5" s="88"/>
      <c r="D5" s="88"/>
      <c r="E5" s="88"/>
      <c r="F5" s="88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</row>
    <row r="6" spans="1:40" ht="12.75" customHeight="1" thickBot="1">
      <c r="A6" s="81" t="s">
        <v>1230</v>
      </c>
      <c r="B6" s="81"/>
      <c r="C6" s="81"/>
      <c r="D6" s="81"/>
      <c r="E6" s="81"/>
      <c r="F6" s="81"/>
      <c r="G6" s="91">
        <v>45839</v>
      </c>
      <c r="H6" s="91">
        <v>45840</v>
      </c>
      <c r="I6" s="91">
        <v>45841</v>
      </c>
      <c r="J6" s="91">
        <v>45842</v>
      </c>
      <c r="K6" s="91">
        <v>45843</v>
      </c>
      <c r="L6" s="91">
        <v>45844</v>
      </c>
      <c r="M6" s="91">
        <v>45845</v>
      </c>
      <c r="N6" s="91">
        <v>45846</v>
      </c>
      <c r="O6" s="91">
        <v>45847</v>
      </c>
      <c r="P6" s="91">
        <v>45848</v>
      </c>
      <c r="Q6" s="91">
        <v>45849</v>
      </c>
      <c r="R6" s="91">
        <v>45850</v>
      </c>
      <c r="S6" s="91">
        <v>45851</v>
      </c>
      <c r="T6" s="91">
        <v>45852</v>
      </c>
      <c r="U6" s="91">
        <v>45853</v>
      </c>
      <c r="V6" s="91">
        <v>45854</v>
      </c>
      <c r="W6" s="91">
        <v>45855</v>
      </c>
      <c r="X6" s="91">
        <v>45856</v>
      </c>
      <c r="Y6" s="91">
        <v>45857</v>
      </c>
      <c r="Z6" s="91">
        <v>45858</v>
      </c>
      <c r="AA6" s="91">
        <v>45859</v>
      </c>
      <c r="AB6" s="91">
        <v>45860</v>
      </c>
      <c r="AC6" s="91">
        <v>45861</v>
      </c>
      <c r="AD6" s="91">
        <v>45862</v>
      </c>
      <c r="AE6" s="91">
        <v>45863</v>
      </c>
      <c r="AF6" s="91">
        <v>45864</v>
      </c>
      <c r="AG6" s="91">
        <v>45865</v>
      </c>
      <c r="AH6" s="91">
        <v>45866</v>
      </c>
      <c r="AI6" s="91">
        <v>45867</v>
      </c>
      <c r="AJ6" s="91">
        <v>45868</v>
      </c>
      <c r="AK6" s="91">
        <v>45869</v>
      </c>
      <c r="AL6" s="87" t="s">
        <v>575</v>
      </c>
      <c r="AM6" s="87"/>
      <c r="AN6" s="87"/>
    </row>
    <row r="7" spans="1:40" ht="15" customHeight="1" thickBot="1">
      <c r="A7" s="81"/>
      <c r="B7" s="81"/>
      <c r="C7" s="81"/>
      <c r="D7" s="81"/>
      <c r="E7" s="81"/>
      <c r="F7" s="8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87"/>
      <c r="AM7" s="87"/>
      <c r="AN7" s="87"/>
    </row>
    <row r="8" spans="1:40" ht="15.75" customHeight="1" thickBot="1">
      <c r="A8" s="81"/>
      <c r="B8" s="81"/>
      <c r="C8" s="81"/>
      <c r="D8" s="81"/>
      <c r="E8" s="81"/>
      <c r="F8" s="8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87"/>
      <c r="AM8" s="87"/>
      <c r="AN8" s="87"/>
    </row>
    <row r="9" spans="1:40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7" t="s">
        <v>5</v>
      </c>
      <c r="AM9" s="8" t="s">
        <v>6</v>
      </c>
      <c r="AN9" s="9" t="s">
        <v>7</v>
      </c>
    </row>
    <row r="10" spans="1:40">
      <c r="A10" s="51" t="s">
        <v>36</v>
      </c>
      <c r="B10" s="32">
        <v>203</v>
      </c>
      <c r="C10" s="33" t="s">
        <v>52</v>
      </c>
      <c r="D10" s="33" t="s">
        <v>17</v>
      </c>
      <c r="E10" s="33" t="s">
        <v>53</v>
      </c>
      <c r="F10" s="32" t="s">
        <v>54</v>
      </c>
      <c r="G10" s="34">
        <v>1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10">
        <f t="shared" ref="AL10:AL29" si="0">SUM(G10:AK10)</f>
        <v>1</v>
      </c>
      <c r="AM10" s="12">
        <v>33000</v>
      </c>
      <c r="AN10" s="12">
        <f t="shared" ref="AN10:AN29" si="1">AM10*AL10</f>
        <v>33000</v>
      </c>
    </row>
    <row r="11" spans="1:40">
      <c r="A11" s="51" t="s">
        <v>36</v>
      </c>
      <c r="B11" s="32">
        <v>203</v>
      </c>
      <c r="C11" s="33" t="s">
        <v>26</v>
      </c>
      <c r="D11" s="33" t="s">
        <v>93</v>
      </c>
      <c r="E11" s="33" t="s">
        <v>43</v>
      </c>
      <c r="F11" s="32" t="s">
        <v>44</v>
      </c>
      <c r="G11" s="34">
        <v>1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10">
        <f t="shared" si="0"/>
        <v>1</v>
      </c>
      <c r="AM11" s="12">
        <v>33000</v>
      </c>
      <c r="AN11" s="12">
        <f t="shared" si="1"/>
        <v>33000</v>
      </c>
    </row>
    <row r="12" spans="1:40">
      <c r="A12" s="51" t="s">
        <v>36</v>
      </c>
      <c r="B12" s="32">
        <v>205</v>
      </c>
      <c r="C12" s="33" t="s">
        <v>541</v>
      </c>
      <c r="D12" s="33" t="s">
        <v>228</v>
      </c>
      <c r="E12" s="33" t="s">
        <v>144</v>
      </c>
      <c r="F12" s="32" t="s">
        <v>484</v>
      </c>
      <c r="G12" s="34">
        <v>1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10">
        <f t="shared" si="0"/>
        <v>1</v>
      </c>
      <c r="AM12" s="12">
        <v>33000</v>
      </c>
      <c r="AN12" s="12">
        <f t="shared" si="1"/>
        <v>33000</v>
      </c>
    </row>
    <row r="13" spans="1:40">
      <c r="A13" s="51" t="s">
        <v>36</v>
      </c>
      <c r="B13" s="32">
        <v>205</v>
      </c>
      <c r="C13" s="33" t="s">
        <v>38</v>
      </c>
      <c r="D13" s="33" t="s">
        <v>383</v>
      </c>
      <c r="E13" s="33" t="s">
        <v>356</v>
      </c>
      <c r="F13" s="32" t="s">
        <v>483</v>
      </c>
      <c r="G13" s="34">
        <v>1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10">
        <f t="shared" si="0"/>
        <v>1</v>
      </c>
      <c r="AM13" s="12">
        <v>33000</v>
      </c>
      <c r="AN13" s="12">
        <f t="shared" si="1"/>
        <v>33000</v>
      </c>
    </row>
    <row r="14" spans="1:40">
      <c r="A14" s="51" t="s">
        <v>36</v>
      </c>
      <c r="B14" s="32">
        <v>302</v>
      </c>
      <c r="C14" s="33" t="s">
        <v>8</v>
      </c>
      <c r="D14" s="33" t="s">
        <v>480</v>
      </c>
      <c r="E14" s="33" t="s">
        <v>42</v>
      </c>
      <c r="F14" s="32" t="s">
        <v>51</v>
      </c>
      <c r="G14" s="34">
        <v>1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10">
        <f t="shared" si="0"/>
        <v>1</v>
      </c>
      <c r="AM14" s="12">
        <v>33000</v>
      </c>
      <c r="AN14" s="12">
        <f t="shared" si="1"/>
        <v>33000</v>
      </c>
    </row>
    <row r="15" spans="1:40">
      <c r="A15" s="51" t="s">
        <v>36</v>
      </c>
      <c r="B15" s="32">
        <v>302</v>
      </c>
      <c r="C15" s="33" t="s">
        <v>231</v>
      </c>
      <c r="D15" s="33" t="s">
        <v>481</v>
      </c>
      <c r="E15" s="33" t="s">
        <v>450</v>
      </c>
      <c r="F15" s="32" t="s">
        <v>485</v>
      </c>
      <c r="G15" s="34">
        <v>1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10">
        <f t="shared" si="0"/>
        <v>1</v>
      </c>
      <c r="AM15" s="12">
        <v>33000</v>
      </c>
      <c r="AN15" s="12">
        <f t="shared" si="1"/>
        <v>33000</v>
      </c>
    </row>
    <row r="16" spans="1:40">
      <c r="A16" s="51" t="s">
        <v>36</v>
      </c>
      <c r="B16" s="32">
        <v>304</v>
      </c>
      <c r="C16" s="33" t="s">
        <v>45</v>
      </c>
      <c r="D16" s="33" t="s">
        <v>542</v>
      </c>
      <c r="E16" s="33" t="s">
        <v>543</v>
      </c>
      <c r="F16" s="32" t="s">
        <v>488</v>
      </c>
      <c r="G16" s="34">
        <v>1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10">
        <f t="shared" si="0"/>
        <v>1</v>
      </c>
      <c r="AM16" s="12">
        <v>33000</v>
      </c>
      <c r="AN16" s="12">
        <f t="shared" si="1"/>
        <v>33000</v>
      </c>
    </row>
    <row r="17" spans="1:40">
      <c r="A17" s="51" t="s">
        <v>36</v>
      </c>
      <c r="B17" s="32">
        <v>304</v>
      </c>
      <c r="C17" s="33" t="s">
        <v>50</v>
      </c>
      <c r="D17" s="33" t="s">
        <v>150</v>
      </c>
      <c r="E17" s="33" t="s">
        <v>474</v>
      </c>
      <c r="F17" s="32" t="s">
        <v>489</v>
      </c>
      <c r="G17" s="34">
        <v>1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10">
        <f t="shared" si="0"/>
        <v>1</v>
      </c>
      <c r="AM17" s="12">
        <v>33000</v>
      </c>
      <c r="AN17" s="12">
        <f t="shared" si="1"/>
        <v>33000</v>
      </c>
    </row>
    <row r="18" spans="1:40">
      <c r="A18" s="51" t="s">
        <v>36</v>
      </c>
      <c r="B18" s="32">
        <v>404</v>
      </c>
      <c r="C18" s="33" t="s">
        <v>477</v>
      </c>
      <c r="D18" s="33" t="s">
        <v>478</v>
      </c>
      <c r="E18" s="33" t="s">
        <v>447</v>
      </c>
      <c r="F18" s="32" t="s">
        <v>59</v>
      </c>
      <c r="G18" s="34">
        <v>1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10">
        <f t="shared" si="0"/>
        <v>1</v>
      </c>
      <c r="AM18" s="12">
        <v>33000</v>
      </c>
      <c r="AN18" s="12">
        <f t="shared" si="1"/>
        <v>33000</v>
      </c>
    </row>
    <row r="19" spans="1:40">
      <c r="A19" s="51" t="s">
        <v>36</v>
      </c>
      <c r="B19" s="32">
        <v>404</v>
      </c>
      <c r="C19" s="33" t="s">
        <v>476</v>
      </c>
      <c r="D19" s="33" t="s">
        <v>532</v>
      </c>
      <c r="E19" s="33" t="s">
        <v>37</v>
      </c>
      <c r="F19" s="32" t="s">
        <v>486</v>
      </c>
      <c r="G19" s="34">
        <v>1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10">
        <f t="shared" si="0"/>
        <v>1</v>
      </c>
      <c r="AM19" s="12">
        <v>33000</v>
      </c>
      <c r="AN19" s="12">
        <f t="shared" si="1"/>
        <v>33000</v>
      </c>
    </row>
    <row r="20" spans="1:40">
      <c r="A20" s="51" t="s">
        <v>36</v>
      </c>
      <c r="B20" s="32">
        <v>604</v>
      </c>
      <c r="C20" s="33" t="s">
        <v>18</v>
      </c>
      <c r="D20" s="33" t="s">
        <v>19</v>
      </c>
      <c r="E20" s="33" t="s">
        <v>20</v>
      </c>
      <c r="F20" s="32" t="s">
        <v>448</v>
      </c>
      <c r="G20" s="34">
        <v>1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10">
        <f t="shared" si="0"/>
        <v>1</v>
      </c>
      <c r="AM20" s="12">
        <v>33000</v>
      </c>
      <c r="AN20" s="12">
        <f t="shared" si="1"/>
        <v>33000</v>
      </c>
    </row>
    <row r="21" spans="1:40">
      <c r="A21" s="51" t="s">
        <v>36</v>
      </c>
      <c r="B21" s="32">
        <v>604</v>
      </c>
      <c r="C21" s="33" t="s">
        <v>310</v>
      </c>
      <c r="D21" s="33" t="s">
        <v>284</v>
      </c>
      <c r="E21" s="33" t="s">
        <v>144</v>
      </c>
      <c r="F21" s="32" t="s">
        <v>449</v>
      </c>
      <c r="G21" s="34">
        <v>1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10">
        <f t="shared" si="0"/>
        <v>1</v>
      </c>
      <c r="AM21" s="12">
        <v>33000</v>
      </c>
      <c r="AN21" s="12">
        <f t="shared" si="1"/>
        <v>33000</v>
      </c>
    </row>
    <row r="22" spans="1:40">
      <c r="A22" s="51" t="s">
        <v>36</v>
      </c>
      <c r="B22" s="32">
        <v>903</v>
      </c>
      <c r="C22" s="33" t="s">
        <v>468</v>
      </c>
      <c r="D22" s="33" t="s">
        <v>469</v>
      </c>
      <c r="E22" s="33" t="s">
        <v>544</v>
      </c>
      <c r="F22" s="32" t="s">
        <v>471</v>
      </c>
      <c r="G22" s="34">
        <v>1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10">
        <f t="shared" si="0"/>
        <v>1</v>
      </c>
      <c r="AM22" s="12">
        <v>33000</v>
      </c>
      <c r="AN22" s="12">
        <f t="shared" si="1"/>
        <v>33000</v>
      </c>
    </row>
    <row r="23" spans="1:40">
      <c r="A23" s="51" t="s">
        <v>36</v>
      </c>
      <c r="B23" s="32">
        <v>903</v>
      </c>
      <c r="C23" s="33" t="s">
        <v>533</v>
      </c>
      <c r="D23" s="33" t="s">
        <v>475</v>
      </c>
      <c r="E23" s="33" t="s">
        <v>217</v>
      </c>
      <c r="F23" s="32" t="s">
        <v>49</v>
      </c>
      <c r="G23" s="34">
        <v>1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10">
        <f t="shared" si="0"/>
        <v>1</v>
      </c>
      <c r="AM23" s="12">
        <v>33000</v>
      </c>
      <c r="AN23" s="12">
        <f t="shared" si="1"/>
        <v>33000</v>
      </c>
    </row>
    <row r="24" spans="1:40">
      <c r="A24" s="51" t="s">
        <v>36</v>
      </c>
      <c r="B24" s="32">
        <v>1101</v>
      </c>
      <c r="C24" s="33" t="s">
        <v>60</v>
      </c>
      <c r="D24" s="33" t="s">
        <v>16</v>
      </c>
      <c r="E24" s="33" t="s">
        <v>472</v>
      </c>
      <c r="F24" s="32" t="s">
        <v>61</v>
      </c>
      <c r="G24" s="34">
        <v>1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10">
        <f t="shared" si="0"/>
        <v>1</v>
      </c>
      <c r="AM24" s="12">
        <v>33000</v>
      </c>
      <c r="AN24" s="12">
        <f t="shared" si="1"/>
        <v>33000</v>
      </c>
    </row>
    <row r="25" spans="1:40">
      <c r="A25" s="51" t="s">
        <v>36</v>
      </c>
      <c r="B25" s="32">
        <v>1101</v>
      </c>
      <c r="C25" s="33" t="s">
        <v>56</v>
      </c>
      <c r="D25" s="33" t="s">
        <v>473</v>
      </c>
      <c r="E25" s="33" t="s">
        <v>57</v>
      </c>
      <c r="F25" s="32" t="s">
        <v>58</v>
      </c>
      <c r="G25" s="34">
        <v>1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10">
        <f t="shared" si="0"/>
        <v>1</v>
      </c>
      <c r="AM25" s="12">
        <v>33000</v>
      </c>
      <c r="AN25" s="12">
        <f t="shared" si="1"/>
        <v>33000</v>
      </c>
    </row>
    <row r="26" spans="1:40">
      <c r="A26" s="51" t="s">
        <v>36</v>
      </c>
      <c r="B26" s="32">
        <v>1302</v>
      </c>
      <c r="C26" s="33" t="s">
        <v>12</v>
      </c>
      <c r="D26" s="33" t="s">
        <v>72</v>
      </c>
      <c r="E26" s="33" t="s">
        <v>545</v>
      </c>
      <c r="F26" s="32" t="s">
        <v>487</v>
      </c>
      <c r="G26" s="34">
        <v>1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10">
        <f t="shared" si="0"/>
        <v>1</v>
      </c>
      <c r="AM26" s="12">
        <v>33000</v>
      </c>
      <c r="AN26" s="12">
        <f t="shared" si="1"/>
        <v>33000</v>
      </c>
    </row>
    <row r="27" spans="1:40">
      <c r="A27" s="51" t="s">
        <v>36</v>
      </c>
      <c r="B27" s="32">
        <v>1302</v>
      </c>
      <c r="C27" s="33" t="s">
        <v>297</v>
      </c>
      <c r="D27" s="33" t="s">
        <v>546</v>
      </c>
      <c r="E27" s="33" t="s">
        <v>446</v>
      </c>
      <c r="F27" s="32" t="s">
        <v>240</v>
      </c>
      <c r="G27" s="34">
        <v>1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10">
        <f t="shared" si="0"/>
        <v>1</v>
      </c>
      <c r="AM27" s="12">
        <v>33000</v>
      </c>
      <c r="AN27" s="12">
        <f t="shared" si="1"/>
        <v>33000</v>
      </c>
    </row>
    <row r="28" spans="1:40">
      <c r="A28" s="51" t="s">
        <v>36</v>
      </c>
      <c r="B28" s="32">
        <v>1402</v>
      </c>
      <c r="C28" s="33" t="s">
        <v>232</v>
      </c>
      <c r="D28" s="33" t="s">
        <v>233</v>
      </c>
      <c r="E28" s="33" t="s">
        <v>234</v>
      </c>
      <c r="F28" s="32" t="s">
        <v>235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10">
        <f t="shared" si="0"/>
        <v>0</v>
      </c>
      <c r="AM28" s="12">
        <v>33000</v>
      </c>
      <c r="AN28" s="12">
        <f t="shared" si="1"/>
        <v>0</v>
      </c>
    </row>
    <row r="29" spans="1:40" ht="13.5" thickBot="1">
      <c r="A29" s="47" t="s">
        <v>36</v>
      </c>
      <c r="B29" s="59">
        <v>1402</v>
      </c>
      <c r="C29" s="38" t="s">
        <v>456</v>
      </c>
      <c r="D29" s="38" t="s">
        <v>479</v>
      </c>
      <c r="E29" s="38" t="s">
        <v>194</v>
      </c>
      <c r="F29" s="59" t="s">
        <v>451</v>
      </c>
      <c r="G29" s="39">
        <v>1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13">
        <f t="shared" si="0"/>
        <v>1</v>
      </c>
      <c r="AM29" s="14">
        <v>33000</v>
      </c>
      <c r="AN29" s="14">
        <f t="shared" si="1"/>
        <v>33000</v>
      </c>
    </row>
    <row r="30" spans="1:40">
      <c r="A30" s="45" t="s">
        <v>36</v>
      </c>
      <c r="B30" s="32">
        <v>203</v>
      </c>
      <c r="C30" s="33" t="s">
        <v>52</v>
      </c>
      <c r="D30" s="33"/>
      <c r="E30" s="33" t="s">
        <v>53</v>
      </c>
      <c r="F30" s="32" t="s">
        <v>54</v>
      </c>
      <c r="G30" s="46"/>
      <c r="H30" s="34">
        <v>1</v>
      </c>
      <c r="I30" s="46"/>
      <c r="J30" s="46"/>
      <c r="K30" s="46"/>
      <c r="L30" s="46"/>
      <c r="M30" s="34">
        <v>1</v>
      </c>
      <c r="N30" s="34">
        <v>1</v>
      </c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2">
        <f t="shared" ref="AL30:AL49" si="2">SUM(G30:AK30)</f>
        <v>3</v>
      </c>
      <c r="AM30" s="11">
        <v>33000</v>
      </c>
      <c r="AN30" s="11">
        <f t="shared" ref="AN30:AN49" si="3">AM30*AL30</f>
        <v>99000</v>
      </c>
    </row>
    <row r="31" spans="1:40">
      <c r="A31" s="51" t="s">
        <v>36</v>
      </c>
      <c r="B31" s="32">
        <v>203</v>
      </c>
      <c r="C31" s="33" t="s">
        <v>228</v>
      </c>
      <c r="D31" s="33" t="s">
        <v>1271</v>
      </c>
      <c r="E31" s="33" t="s">
        <v>225</v>
      </c>
      <c r="F31" s="32" t="s">
        <v>1272</v>
      </c>
      <c r="G31" s="46"/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10">
        <f t="shared" si="2"/>
        <v>7</v>
      </c>
      <c r="AM31" s="12">
        <v>33000</v>
      </c>
      <c r="AN31" s="12">
        <f t="shared" si="3"/>
        <v>231000</v>
      </c>
    </row>
    <row r="32" spans="1:40">
      <c r="A32" s="51" t="s">
        <v>36</v>
      </c>
      <c r="B32" s="32">
        <v>205</v>
      </c>
      <c r="C32" s="33" t="s">
        <v>1235</v>
      </c>
      <c r="D32" s="33"/>
      <c r="E32" s="33" t="s">
        <v>1236</v>
      </c>
      <c r="F32" s="32" t="s">
        <v>1237</v>
      </c>
      <c r="G32" s="46"/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10">
        <f t="shared" si="2"/>
        <v>7</v>
      </c>
      <c r="AM32" s="12">
        <v>33000</v>
      </c>
      <c r="AN32" s="12">
        <f t="shared" si="3"/>
        <v>231000</v>
      </c>
    </row>
    <row r="33" spans="1:40">
      <c r="A33" s="51" t="s">
        <v>36</v>
      </c>
      <c r="B33" s="32">
        <v>205</v>
      </c>
      <c r="C33" s="33" t="s">
        <v>26</v>
      </c>
      <c r="D33" s="33"/>
      <c r="E33" s="33" t="s">
        <v>42</v>
      </c>
      <c r="F33" s="32" t="s">
        <v>1238</v>
      </c>
      <c r="G33" s="46"/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10">
        <f t="shared" si="2"/>
        <v>7</v>
      </c>
      <c r="AM33" s="12">
        <v>33000</v>
      </c>
      <c r="AN33" s="12">
        <f t="shared" si="3"/>
        <v>231000</v>
      </c>
    </row>
    <row r="34" spans="1:40">
      <c r="A34" s="51" t="s">
        <v>36</v>
      </c>
      <c r="B34" s="32">
        <v>302</v>
      </c>
      <c r="C34" s="33" t="s">
        <v>1239</v>
      </c>
      <c r="D34" s="33"/>
      <c r="E34" s="33" t="s">
        <v>43</v>
      </c>
      <c r="F34" s="32" t="s">
        <v>1240</v>
      </c>
      <c r="G34" s="46"/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10">
        <f t="shared" si="2"/>
        <v>7</v>
      </c>
      <c r="AM34" s="12">
        <v>33000</v>
      </c>
      <c r="AN34" s="12">
        <f t="shared" si="3"/>
        <v>231000</v>
      </c>
    </row>
    <row r="35" spans="1:40">
      <c r="A35" s="51" t="s">
        <v>36</v>
      </c>
      <c r="B35" s="32">
        <v>302</v>
      </c>
      <c r="C35" s="33" t="s">
        <v>1241</v>
      </c>
      <c r="D35" s="33"/>
      <c r="E35" s="33" t="s">
        <v>185</v>
      </c>
      <c r="F35" s="32" t="s">
        <v>1242</v>
      </c>
      <c r="G35" s="46"/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10">
        <f t="shared" si="2"/>
        <v>7</v>
      </c>
      <c r="AM35" s="12">
        <v>33000</v>
      </c>
      <c r="AN35" s="12">
        <f t="shared" si="3"/>
        <v>231000</v>
      </c>
    </row>
    <row r="36" spans="1:40">
      <c r="A36" s="51" t="s">
        <v>36</v>
      </c>
      <c r="B36" s="32">
        <v>304</v>
      </c>
      <c r="C36" s="33" t="s">
        <v>41</v>
      </c>
      <c r="D36" s="33"/>
      <c r="E36" s="33" t="s">
        <v>37</v>
      </c>
      <c r="F36" s="32" t="s">
        <v>1243</v>
      </c>
      <c r="G36" s="46"/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10">
        <f t="shared" si="2"/>
        <v>7</v>
      </c>
      <c r="AM36" s="12">
        <v>33000</v>
      </c>
      <c r="AN36" s="12">
        <f t="shared" si="3"/>
        <v>231000</v>
      </c>
    </row>
    <row r="37" spans="1:40">
      <c r="A37" s="51" t="s">
        <v>36</v>
      </c>
      <c r="B37" s="32">
        <v>304</v>
      </c>
      <c r="C37" s="33" t="s">
        <v>1244</v>
      </c>
      <c r="D37" s="33"/>
      <c r="E37" s="33" t="s">
        <v>40</v>
      </c>
      <c r="F37" s="32" t="s">
        <v>1245</v>
      </c>
      <c r="G37" s="46"/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10">
        <f t="shared" si="2"/>
        <v>7</v>
      </c>
      <c r="AM37" s="12">
        <v>33000</v>
      </c>
      <c r="AN37" s="12">
        <f t="shared" si="3"/>
        <v>231000</v>
      </c>
    </row>
    <row r="38" spans="1:40">
      <c r="A38" s="51" t="s">
        <v>36</v>
      </c>
      <c r="B38" s="32">
        <v>404</v>
      </c>
      <c r="C38" s="33" t="s">
        <v>1246</v>
      </c>
      <c r="D38" s="33"/>
      <c r="E38" s="33" t="s">
        <v>24</v>
      </c>
      <c r="F38" s="32" t="s">
        <v>1247</v>
      </c>
      <c r="G38" s="46"/>
      <c r="H38" s="34">
        <v>1</v>
      </c>
      <c r="I38" s="34">
        <v>1</v>
      </c>
      <c r="J38" s="34">
        <v>1</v>
      </c>
      <c r="K38" s="34">
        <v>1</v>
      </c>
      <c r="L38" s="34">
        <v>1</v>
      </c>
      <c r="M38" s="34">
        <v>1</v>
      </c>
      <c r="N38" s="34">
        <v>1</v>
      </c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10">
        <f t="shared" si="2"/>
        <v>7</v>
      </c>
      <c r="AM38" s="12">
        <v>33000</v>
      </c>
      <c r="AN38" s="12">
        <f t="shared" si="3"/>
        <v>231000</v>
      </c>
    </row>
    <row r="39" spans="1:40">
      <c r="A39" s="51" t="s">
        <v>36</v>
      </c>
      <c r="B39" s="32">
        <v>404</v>
      </c>
      <c r="C39" s="33" t="s">
        <v>45</v>
      </c>
      <c r="D39" s="33"/>
      <c r="E39" s="33" t="s">
        <v>46</v>
      </c>
      <c r="F39" s="32" t="s">
        <v>1248</v>
      </c>
      <c r="G39" s="46"/>
      <c r="H39" s="34">
        <v>1</v>
      </c>
      <c r="I39" s="34">
        <v>1</v>
      </c>
      <c r="J39" s="34">
        <v>1</v>
      </c>
      <c r="K39" s="34">
        <v>1</v>
      </c>
      <c r="L39" s="34">
        <v>1</v>
      </c>
      <c r="M39" s="34">
        <v>1</v>
      </c>
      <c r="N39" s="34">
        <v>1</v>
      </c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10">
        <f t="shared" si="2"/>
        <v>7</v>
      </c>
      <c r="AM39" s="12">
        <v>33000</v>
      </c>
      <c r="AN39" s="12">
        <f t="shared" si="3"/>
        <v>231000</v>
      </c>
    </row>
    <row r="40" spans="1:40">
      <c r="A40" s="51" t="s">
        <v>36</v>
      </c>
      <c r="B40" s="32">
        <v>604</v>
      </c>
      <c r="C40" s="33" t="s">
        <v>1249</v>
      </c>
      <c r="D40" s="33" t="s">
        <v>1250</v>
      </c>
      <c r="E40" s="33" t="s">
        <v>1251</v>
      </c>
      <c r="F40" s="32" t="s">
        <v>734</v>
      </c>
      <c r="G40" s="46"/>
      <c r="H40" s="34">
        <v>1</v>
      </c>
      <c r="I40" s="34">
        <v>1</v>
      </c>
      <c r="J40" s="34">
        <v>1</v>
      </c>
      <c r="K40" s="34">
        <v>1</v>
      </c>
      <c r="L40" s="34">
        <v>1</v>
      </c>
      <c r="M40" s="34">
        <v>1</v>
      </c>
      <c r="N40" s="34">
        <v>1</v>
      </c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10">
        <f t="shared" si="2"/>
        <v>7</v>
      </c>
      <c r="AM40" s="12">
        <v>33000</v>
      </c>
      <c r="AN40" s="12">
        <f t="shared" si="3"/>
        <v>231000</v>
      </c>
    </row>
    <row r="41" spans="1:40">
      <c r="A41" s="51" t="s">
        <v>36</v>
      </c>
      <c r="B41" s="32">
        <v>604</v>
      </c>
      <c r="C41" s="33" t="s">
        <v>1252</v>
      </c>
      <c r="D41" s="33" t="s">
        <v>38</v>
      </c>
      <c r="E41" s="33" t="s">
        <v>1253</v>
      </c>
      <c r="F41" s="32" t="s">
        <v>735</v>
      </c>
      <c r="G41" s="46"/>
      <c r="H41" s="34">
        <v>1</v>
      </c>
      <c r="I41" s="34">
        <v>1</v>
      </c>
      <c r="J41" s="34">
        <v>1</v>
      </c>
      <c r="K41" s="34">
        <v>1</v>
      </c>
      <c r="L41" s="34">
        <v>1</v>
      </c>
      <c r="M41" s="34">
        <v>1</v>
      </c>
      <c r="N41" s="34">
        <v>1</v>
      </c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10">
        <f t="shared" si="2"/>
        <v>7</v>
      </c>
      <c r="AM41" s="12">
        <v>33000</v>
      </c>
      <c r="AN41" s="12">
        <f t="shared" si="3"/>
        <v>231000</v>
      </c>
    </row>
    <row r="42" spans="1:40">
      <c r="A42" s="51" t="s">
        <v>36</v>
      </c>
      <c r="B42" s="32">
        <v>903</v>
      </c>
      <c r="C42" s="33" t="s">
        <v>1254</v>
      </c>
      <c r="D42" s="33"/>
      <c r="E42" s="33" t="s">
        <v>1255</v>
      </c>
      <c r="F42" s="32" t="s">
        <v>1256</v>
      </c>
      <c r="G42" s="46"/>
      <c r="H42" s="34">
        <v>1</v>
      </c>
      <c r="I42" s="34">
        <v>1</v>
      </c>
      <c r="J42" s="34">
        <v>1</v>
      </c>
      <c r="K42" s="34">
        <v>1</v>
      </c>
      <c r="L42" s="34">
        <v>1</v>
      </c>
      <c r="M42" s="34">
        <v>1</v>
      </c>
      <c r="N42" s="34">
        <v>1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10">
        <f t="shared" si="2"/>
        <v>7</v>
      </c>
      <c r="AM42" s="12">
        <v>33000</v>
      </c>
      <c r="AN42" s="12">
        <f t="shared" si="3"/>
        <v>231000</v>
      </c>
    </row>
    <row r="43" spans="1:40">
      <c r="A43" s="51" t="s">
        <v>36</v>
      </c>
      <c r="B43" s="32">
        <v>903</v>
      </c>
      <c r="C43" s="33" t="s">
        <v>14</v>
      </c>
      <c r="D43" s="33"/>
      <c r="E43" s="33" t="s">
        <v>1257</v>
      </c>
      <c r="F43" s="32" t="s">
        <v>1258</v>
      </c>
      <c r="G43" s="46"/>
      <c r="H43" s="34">
        <v>1</v>
      </c>
      <c r="I43" s="34">
        <v>1</v>
      </c>
      <c r="J43" s="34">
        <v>1</v>
      </c>
      <c r="K43" s="34">
        <v>1</v>
      </c>
      <c r="L43" s="34">
        <v>1</v>
      </c>
      <c r="M43" s="34">
        <v>1</v>
      </c>
      <c r="N43" s="34">
        <v>1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10">
        <f t="shared" si="2"/>
        <v>7</v>
      </c>
      <c r="AM43" s="12">
        <v>33000</v>
      </c>
      <c r="AN43" s="12">
        <f t="shared" si="3"/>
        <v>231000</v>
      </c>
    </row>
    <row r="44" spans="1:40">
      <c r="A44" s="51" t="s">
        <v>36</v>
      </c>
      <c r="B44" s="32">
        <v>1101</v>
      </c>
      <c r="C44" s="33" t="s">
        <v>1259</v>
      </c>
      <c r="D44" s="33"/>
      <c r="E44" s="33" t="s">
        <v>1260</v>
      </c>
      <c r="F44" s="32" t="s">
        <v>1261</v>
      </c>
      <c r="G44" s="46"/>
      <c r="H44" s="34">
        <v>1</v>
      </c>
      <c r="I44" s="34">
        <v>1</v>
      </c>
      <c r="J44" s="34">
        <v>1</v>
      </c>
      <c r="K44" s="34">
        <v>1</v>
      </c>
      <c r="L44" s="34">
        <v>1</v>
      </c>
      <c r="M44" s="34">
        <v>1</v>
      </c>
      <c r="N44" s="34">
        <v>1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10">
        <f t="shared" si="2"/>
        <v>7</v>
      </c>
      <c r="AM44" s="12">
        <v>33000</v>
      </c>
      <c r="AN44" s="12">
        <f t="shared" si="3"/>
        <v>231000</v>
      </c>
    </row>
    <row r="45" spans="1:40">
      <c r="A45" s="51" t="s">
        <v>36</v>
      </c>
      <c r="B45" s="32">
        <v>1101</v>
      </c>
      <c r="C45" s="33" t="s">
        <v>38</v>
      </c>
      <c r="D45" s="33"/>
      <c r="E45" s="33" t="s">
        <v>1262</v>
      </c>
      <c r="F45" s="32" t="s">
        <v>1263</v>
      </c>
      <c r="G45" s="46"/>
      <c r="H45" s="34">
        <v>1</v>
      </c>
      <c r="I45" s="34">
        <v>1</v>
      </c>
      <c r="J45" s="34">
        <v>1</v>
      </c>
      <c r="K45" s="34">
        <v>1</v>
      </c>
      <c r="L45" s="34">
        <v>1</v>
      </c>
      <c r="M45" s="34">
        <v>1</v>
      </c>
      <c r="N45" s="34">
        <v>1</v>
      </c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10">
        <f t="shared" si="2"/>
        <v>7</v>
      </c>
      <c r="AM45" s="12">
        <v>33000</v>
      </c>
      <c r="AN45" s="12">
        <f t="shared" si="3"/>
        <v>231000</v>
      </c>
    </row>
    <row r="46" spans="1:40">
      <c r="A46" s="51" t="s">
        <v>36</v>
      </c>
      <c r="B46" s="32">
        <v>1302</v>
      </c>
      <c r="C46" s="33" t="s">
        <v>94</v>
      </c>
      <c r="D46" s="33" t="s">
        <v>1264</v>
      </c>
      <c r="E46" s="33" t="s">
        <v>1265</v>
      </c>
      <c r="F46" s="32" t="s">
        <v>1247</v>
      </c>
      <c r="G46" s="46"/>
      <c r="H46" s="34">
        <v>1</v>
      </c>
      <c r="I46" s="34">
        <v>1</v>
      </c>
      <c r="J46" s="34">
        <v>1</v>
      </c>
      <c r="K46" s="34">
        <v>1</v>
      </c>
      <c r="L46" s="34">
        <v>1</v>
      </c>
      <c r="M46" s="34">
        <v>1</v>
      </c>
      <c r="N46" s="34">
        <v>1</v>
      </c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10">
        <f t="shared" si="2"/>
        <v>7</v>
      </c>
      <c r="AM46" s="12">
        <v>33000</v>
      </c>
      <c r="AN46" s="12">
        <f t="shared" si="3"/>
        <v>231000</v>
      </c>
    </row>
    <row r="47" spans="1:40">
      <c r="A47" s="51" t="s">
        <v>36</v>
      </c>
      <c r="B47" s="32">
        <v>1302</v>
      </c>
      <c r="C47" s="33" t="s">
        <v>179</v>
      </c>
      <c r="D47" s="33" t="s">
        <v>258</v>
      </c>
      <c r="E47" s="33" t="s">
        <v>1257</v>
      </c>
      <c r="F47" s="32" t="s">
        <v>1266</v>
      </c>
      <c r="G47" s="46"/>
      <c r="H47" s="34">
        <v>1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10">
        <f t="shared" si="2"/>
        <v>1</v>
      </c>
      <c r="AM47" s="12">
        <v>33000</v>
      </c>
      <c r="AN47" s="12">
        <f t="shared" si="3"/>
        <v>33000</v>
      </c>
    </row>
    <row r="48" spans="1:40">
      <c r="A48" s="51" t="s">
        <v>36</v>
      </c>
      <c r="B48" s="32">
        <v>1402</v>
      </c>
      <c r="C48" s="33" t="s">
        <v>39</v>
      </c>
      <c r="D48" s="33"/>
      <c r="E48" s="33" t="s">
        <v>1267</v>
      </c>
      <c r="F48" s="32" t="s">
        <v>1268</v>
      </c>
      <c r="G48" s="46"/>
      <c r="H48" s="34">
        <v>1</v>
      </c>
      <c r="I48" s="34">
        <v>1</v>
      </c>
      <c r="J48" s="34">
        <v>1</v>
      </c>
      <c r="K48" s="34">
        <v>1</v>
      </c>
      <c r="L48" s="34">
        <v>1</v>
      </c>
      <c r="M48" s="34">
        <v>1</v>
      </c>
      <c r="N48" s="34">
        <v>1</v>
      </c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10">
        <f t="shared" si="2"/>
        <v>7</v>
      </c>
      <c r="AM48" s="12">
        <v>33000</v>
      </c>
      <c r="AN48" s="12">
        <f t="shared" si="3"/>
        <v>231000</v>
      </c>
    </row>
    <row r="49" spans="1:40" ht="13.5" thickBot="1">
      <c r="A49" s="47" t="s">
        <v>36</v>
      </c>
      <c r="B49" s="59">
        <v>1402</v>
      </c>
      <c r="C49" s="38" t="s">
        <v>1269</v>
      </c>
      <c r="D49" s="38"/>
      <c r="E49" s="38" t="s">
        <v>37</v>
      </c>
      <c r="F49" s="59" t="s">
        <v>1270</v>
      </c>
      <c r="G49" s="50"/>
      <c r="H49" s="39">
        <v>1</v>
      </c>
      <c r="I49" s="39">
        <v>1</v>
      </c>
      <c r="J49" s="39">
        <v>1</v>
      </c>
      <c r="K49" s="39">
        <v>1</v>
      </c>
      <c r="L49" s="39">
        <v>1</v>
      </c>
      <c r="M49" s="39">
        <v>1</v>
      </c>
      <c r="N49" s="39">
        <v>1</v>
      </c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13">
        <f t="shared" si="2"/>
        <v>7</v>
      </c>
      <c r="AM49" s="14">
        <v>33000</v>
      </c>
      <c r="AN49" s="14">
        <f t="shared" si="3"/>
        <v>231000</v>
      </c>
    </row>
    <row r="50" spans="1:40">
      <c r="A50" s="45" t="s">
        <v>36</v>
      </c>
      <c r="B50" s="32">
        <v>203</v>
      </c>
      <c r="C50" s="33" t="s">
        <v>52</v>
      </c>
      <c r="D50" s="33" t="s">
        <v>17</v>
      </c>
      <c r="E50" s="33" t="s">
        <v>53</v>
      </c>
      <c r="F50" s="32" t="s">
        <v>54</v>
      </c>
      <c r="G50" s="46"/>
      <c r="H50" s="46"/>
      <c r="I50" s="46"/>
      <c r="J50" s="46"/>
      <c r="K50" s="46"/>
      <c r="L50" s="46"/>
      <c r="M50" s="46"/>
      <c r="N50" s="46"/>
      <c r="O50" s="34">
        <v>1</v>
      </c>
      <c r="P50" s="34">
        <v>1</v>
      </c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2">
        <f t="shared" ref="AL50:AL70" si="4">SUM(G50:AK50)</f>
        <v>2</v>
      </c>
      <c r="AM50" s="11">
        <v>33000</v>
      </c>
      <c r="AN50" s="11">
        <f t="shared" ref="AN50:AN70" si="5">AM50*AL50</f>
        <v>66000</v>
      </c>
    </row>
    <row r="51" spans="1:40">
      <c r="A51" s="51" t="s">
        <v>36</v>
      </c>
      <c r="B51" s="32">
        <v>203</v>
      </c>
      <c r="C51" s="33" t="s">
        <v>26</v>
      </c>
      <c r="D51" s="33" t="s">
        <v>93</v>
      </c>
      <c r="E51" s="33" t="s">
        <v>43</v>
      </c>
      <c r="F51" s="32" t="s">
        <v>44</v>
      </c>
      <c r="G51" s="46"/>
      <c r="H51" s="46"/>
      <c r="I51" s="46"/>
      <c r="J51" s="46"/>
      <c r="K51" s="46"/>
      <c r="L51" s="46"/>
      <c r="M51" s="46"/>
      <c r="N51" s="46"/>
      <c r="O51" s="34">
        <v>1</v>
      </c>
      <c r="P51" s="34">
        <v>1</v>
      </c>
      <c r="Q51" s="34">
        <v>1</v>
      </c>
      <c r="R51" s="34">
        <v>1</v>
      </c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10">
        <f t="shared" si="4"/>
        <v>4</v>
      </c>
      <c r="AM51" s="12">
        <v>33000</v>
      </c>
      <c r="AN51" s="12">
        <f t="shared" si="5"/>
        <v>132000</v>
      </c>
    </row>
    <row r="52" spans="1:40">
      <c r="A52" s="51" t="s">
        <v>36</v>
      </c>
      <c r="B52" s="32">
        <v>205</v>
      </c>
      <c r="C52" s="33" t="s">
        <v>541</v>
      </c>
      <c r="D52" s="33" t="s">
        <v>228</v>
      </c>
      <c r="E52" s="33" t="s">
        <v>144</v>
      </c>
      <c r="F52" s="32" t="s">
        <v>484</v>
      </c>
      <c r="G52" s="46"/>
      <c r="H52" s="46"/>
      <c r="I52" s="46"/>
      <c r="J52" s="46"/>
      <c r="K52" s="46"/>
      <c r="L52" s="46"/>
      <c r="M52" s="46"/>
      <c r="N52" s="46"/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34">
        <v>1</v>
      </c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10">
        <f t="shared" si="4"/>
        <v>7</v>
      </c>
      <c r="AM52" s="12">
        <v>33000</v>
      </c>
      <c r="AN52" s="12">
        <f t="shared" si="5"/>
        <v>231000</v>
      </c>
    </row>
    <row r="53" spans="1:40">
      <c r="A53" s="51" t="s">
        <v>36</v>
      </c>
      <c r="B53" s="32">
        <v>205</v>
      </c>
      <c r="C53" s="33" t="s">
        <v>38</v>
      </c>
      <c r="D53" s="33" t="s">
        <v>383</v>
      </c>
      <c r="E53" s="33" t="s">
        <v>356</v>
      </c>
      <c r="F53" s="32" t="s">
        <v>483</v>
      </c>
      <c r="G53" s="46"/>
      <c r="H53" s="46"/>
      <c r="I53" s="46"/>
      <c r="J53" s="46"/>
      <c r="K53" s="46"/>
      <c r="L53" s="46"/>
      <c r="M53" s="46"/>
      <c r="N53" s="46"/>
      <c r="O53" s="34">
        <v>1</v>
      </c>
      <c r="P53" s="34">
        <v>1</v>
      </c>
      <c r="Q53" s="34">
        <v>1</v>
      </c>
      <c r="R53" s="34">
        <v>1</v>
      </c>
      <c r="S53" s="34">
        <v>1</v>
      </c>
      <c r="T53" s="34">
        <v>1</v>
      </c>
      <c r="U53" s="34">
        <v>1</v>
      </c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10">
        <f t="shared" si="4"/>
        <v>7</v>
      </c>
      <c r="AM53" s="12">
        <v>33000</v>
      </c>
      <c r="AN53" s="12">
        <f t="shared" si="5"/>
        <v>231000</v>
      </c>
    </row>
    <row r="54" spans="1:40">
      <c r="A54" s="51" t="s">
        <v>36</v>
      </c>
      <c r="B54" s="32">
        <v>302</v>
      </c>
      <c r="C54" s="33" t="s">
        <v>8</v>
      </c>
      <c r="D54" s="33" t="s">
        <v>480</v>
      </c>
      <c r="E54" s="33" t="s">
        <v>42</v>
      </c>
      <c r="F54" s="32" t="s">
        <v>51</v>
      </c>
      <c r="G54" s="46"/>
      <c r="H54" s="46"/>
      <c r="I54" s="46"/>
      <c r="J54" s="46"/>
      <c r="K54" s="46"/>
      <c r="L54" s="46"/>
      <c r="M54" s="46"/>
      <c r="N54" s="46"/>
      <c r="O54" s="34">
        <v>1</v>
      </c>
      <c r="P54" s="34">
        <v>1</v>
      </c>
      <c r="Q54" s="34">
        <v>1</v>
      </c>
      <c r="R54" s="34">
        <v>1</v>
      </c>
      <c r="S54" s="34">
        <v>1</v>
      </c>
      <c r="T54" s="34">
        <v>1</v>
      </c>
      <c r="U54" s="34">
        <v>1</v>
      </c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10">
        <f t="shared" si="4"/>
        <v>7</v>
      </c>
      <c r="AM54" s="12">
        <v>33000</v>
      </c>
      <c r="AN54" s="12">
        <f t="shared" si="5"/>
        <v>231000</v>
      </c>
    </row>
    <row r="55" spans="1:40">
      <c r="A55" s="51" t="s">
        <v>36</v>
      </c>
      <c r="B55" s="32">
        <v>302</v>
      </c>
      <c r="C55" s="33" t="s">
        <v>231</v>
      </c>
      <c r="D55" s="33" t="s">
        <v>481</v>
      </c>
      <c r="E55" s="33" t="s">
        <v>450</v>
      </c>
      <c r="F55" s="32" t="s">
        <v>485</v>
      </c>
      <c r="G55" s="46"/>
      <c r="H55" s="46"/>
      <c r="I55" s="46"/>
      <c r="J55" s="46"/>
      <c r="K55" s="46"/>
      <c r="L55" s="46"/>
      <c r="M55" s="46"/>
      <c r="N55" s="46"/>
      <c r="O55" s="34">
        <v>1</v>
      </c>
      <c r="P55" s="34">
        <v>1</v>
      </c>
      <c r="Q55" s="34">
        <v>1</v>
      </c>
      <c r="R55" s="34">
        <v>1</v>
      </c>
      <c r="S55" s="34">
        <v>1</v>
      </c>
      <c r="T55" s="34">
        <v>1</v>
      </c>
      <c r="U55" s="34">
        <v>1</v>
      </c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10">
        <f t="shared" si="4"/>
        <v>7</v>
      </c>
      <c r="AM55" s="12">
        <v>33000</v>
      </c>
      <c r="AN55" s="12">
        <f t="shared" si="5"/>
        <v>231000</v>
      </c>
    </row>
    <row r="56" spans="1:40">
      <c r="A56" s="51" t="s">
        <v>36</v>
      </c>
      <c r="B56" s="32">
        <v>304</v>
      </c>
      <c r="C56" s="33" t="s">
        <v>45</v>
      </c>
      <c r="D56" s="33" t="s">
        <v>542</v>
      </c>
      <c r="E56" s="33" t="s">
        <v>543</v>
      </c>
      <c r="F56" s="32" t="s">
        <v>488</v>
      </c>
      <c r="G56" s="46"/>
      <c r="H56" s="46"/>
      <c r="I56" s="46"/>
      <c r="J56" s="46"/>
      <c r="K56" s="46"/>
      <c r="L56" s="46"/>
      <c r="M56" s="46"/>
      <c r="N56" s="46"/>
      <c r="O56" s="34">
        <v>1</v>
      </c>
      <c r="P56" s="34">
        <v>1</v>
      </c>
      <c r="Q56" s="34">
        <v>1</v>
      </c>
      <c r="R56" s="34">
        <v>1</v>
      </c>
      <c r="S56" s="34">
        <v>1</v>
      </c>
      <c r="T56" s="34">
        <v>1</v>
      </c>
      <c r="U56" s="34">
        <v>1</v>
      </c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10">
        <f t="shared" si="4"/>
        <v>7</v>
      </c>
      <c r="AM56" s="12">
        <v>33000</v>
      </c>
      <c r="AN56" s="12">
        <f t="shared" si="5"/>
        <v>231000</v>
      </c>
    </row>
    <row r="57" spans="1:40">
      <c r="A57" s="51" t="s">
        <v>36</v>
      </c>
      <c r="B57" s="32">
        <v>304</v>
      </c>
      <c r="C57" s="33" t="s">
        <v>50</v>
      </c>
      <c r="D57" s="33" t="s">
        <v>150</v>
      </c>
      <c r="E57" s="33" t="s">
        <v>474</v>
      </c>
      <c r="F57" s="32" t="s">
        <v>489</v>
      </c>
      <c r="G57" s="46"/>
      <c r="H57" s="46"/>
      <c r="I57" s="46"/>
      <c r="J57" s="46"/>
      <c r="K57" s="46"/>
      <c r="L57" s="46"/>
      <c r="M57" s="46"/>
      <c r="N57" s="46"/>
      <c r="O57" s="34">
        <v>1</v>
      </c>
      <c r="P57" s="34">
        <v>1</v>
      </c>
      <c r="Q57" s="34">
        <v>1</v>
      </c>
      <c r="R57" s="34">
        <v>1</v>
      </c>
      <c r="S57" s="34">
        <v>1</v>
      </c>
      <c r="T57" s="34">
        <v>1</v>
      </c>
      <c r="U57" s="34">
        <v>1</v>
      </c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10">
        <f t="shared" si="4"/>
        <v>7</v>
      </c>
      <c r="AM57" s="12">
        <v>33000</v>
      </c>
      <c r="AN57" s="12">
        <f t="shared" si="5"/>
        <v>231000</v>
      </c>
    </row>
    <row r="58" spans="1:40">
      <c r="A58" s="45" t="s">
        <v>36</v>
      </c>
      <c r="B58" s="70">
        <v>403</v>
      </c>
      <c r="C58" s="33" t="s">
        <v>52</v>
      </c>
      <c r="D58" s="33" t="s">
        <v>17</v>
      </c>
      <c r="E58" s="33" t="s">
        <v>53</v>
      </c>
      <c r="F58" s="32" t="s">
        <v>54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34">
        <v>1</v>
      </c>
      <c r="U58" s="34">
        <v>1</v>
      </c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72">
        <f t="shared" ref="AL58" si="6">SUM(G58:AK58)</f>
        <v>2</v>
      </c>
      <c r="AM58" s="12">
        <v>60000</v>
      </c>
      <c r="AN58" s="12">
        <f t="shared" ref="AN58" si="7">AM58*AL58</f>
        <v>120000</v>
      </c>
    </row>
    <row r="59" spans="1:40">
      <c r="A59" s="51" t="s">
        <v>36</v>
      </c>
      <c r="B59" s="32">
        <v>404</v>
      </c>
      <c r="C59" s="33" t="s">
        <v>477</v>
      </c>
      <c r="D59" s="33" t="s">
        <v>478</v>
      </c>
      <c r="E59" s="33" t="s">
        <v>447</v>
      </c>
      <c r="F59" s="32" t="s">
        <v>59</v>
      </c>
      <c r="G59" s="46"/>
      <c r="H59" s="46"/>
      <c r="I59" s="46"/>
      <c r="J59" s="46"/>
      <c r="K59" s="46"/>
      <c r="L59" s="46"/>
      <c r="M59" s="46"/>
      <c r="N59" s="46"/>
      <c r="O59" s="34">
        <v>1</v>
      </c>
      <c r="P59" s="34">
        <v>1</v>
      </c>
      <c r="Q59" s="34">
        <v>1</v>
      </c>
      <c r="R59" s="34">
        <v>1</v>
      </c>
      <c r="S59" s="34">
        <v>1</v>
      </c>
      <c r="T59" s="34">
        <v>1</v>
      </c>
      <c r="U59" s="34">
        <v>1</v>
      </c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10">
        <f t="shared" si="4"/>
        <v>7</v>
      </c>
      <c r="AM59" s="12">
        <v>33000</v>
      </c>
      <c r="AN59" s="12">
        <f t="shared" si="5"/>
        <v>231000</v>
      </c>
    </row>
    <row r="60" spans="1:40">
      <c r="A60" s="51" t="s">
        <v>36</v>
      </c>
      <c r="B60" s="32">
        <v>404</v>
      </c>
      <c r="C60" s="33" t="s">
        <v>476</v>
      </c>
      <c r="D60" s="33" t="s">
        <v>532</v>
      </c>
      <c r="E60" s="33" t="s">
        <v>37</v>
      </c>
      <c r="F60" s="32" t="s">
        <v>486</v>
      </c>
      <c r="G60" s="46"/>
      <c r="H60" s="46"/>
      <c r="I60" s="46"/>
      <c r="J60" s="46"/>
      <c r="K60" s="46"/>
      <c r="L60" s="46"/>
      <c r="M60" s="46"/>
      <c r="N60" s="46"/>
      <c r="O60" s="34">
        <v>1</v>
      </c>
      <c r="P60" s="34">
        <v>1</v>
      </c>
      <c r="Q60" s="34">
        <v>1</v>
      </c>
      <c r="R60" s="34">
        <v>1</v>
      </c>
      <c r="S60" s="34">
        <v>1</v>
      </c>
      <c r="T60" s="34">
        <v>1</v>
      </c>
      <c r="U60" s="34">
        <v>1</v>
      </c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10">
        <f t="shared" si="4"/>
        <v>7</v>
      </c>
      <c r="AM60" s="12">
        <v>33000</v>
      </c>
      <c r="AN60" s="12">
        <f t="shared" si="5"/>
        <v>231000</v>
      </c>
    </row>
    <row r="61" spans="1:40">
      <c r="A61" s="51" t="s">
        <v>36</v>
      </c>
      <c r="B61" s="32">
        <v>604</v>
      </c>
      <c r="C61" s="33" t="s">
        <v>1249</v>
      </c>
      <c r="D61" s="33" t="s">
        <v>1250</v>
      </c>
      <c r="E61" s="33" t="s">
        <v>1251</v>
      </c>
      <c r="F61" s="32" t="s">
        <v>734</v>
      </c>
      <c r="G61" s="46"/>
      <c r="H61" s="46"/>
      <c r="I61" s="46"/>
      <c r="J61" s="46"/>
      <c r="K61" s="46"/>
      <c r="L61" s="46"/>
      <c r="M61" s="46"/>
      <c r="N61" s="46"/>
      <c r="O61" s="34">
        <v>1</v>
      </c>
      <c r="P61" s="34">
        <v>1</v>
      </c>
      <c r="Q61" s="34">
        <v>1</v>
      </c>
      <c r="R61" s="34">
        <v>1</v>
      </c>
      <c r="S61" s="34">
        <v>1</v>
      </c>
      <c r="T61" s="34">
        <v>1</v>
      </c>
      <c r="U61" s="34">
        <v>1</v>
      </c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10">
        <f t="shared" si="4"/>
        <v>7</v>
      </c>
      <c r="AM61" s="12">
        <v>33000</v>
      </c>
      <c r="AN61" s="12">
        <f t="shared" si="5"/>
        <v>231000</v>
      </c>
    </row>
    <row r="62" spans="1:40">
      <c r="A62" s="51" t="s">
        <v>36</v>
      </c>
      <c r="B62" s="32">
        <v>604</v>
      </c>
      <c r="C62" s="33" t="s">
        <v>1252</v>
      </c>
      <c r="D62" s="33" t="s">
        <v>38</v>
      </c>
      <c r="E62" s="33" t="s">
        <v>1253</v>
      </c>
      <c r="F62" s="32" t="s">
        <v>735</v>
      </c>
      <c r="G62" s="46"/>
      <c r="H62" s="46"/>
      <c r="I62" s="46"/>
      <c r="J62" s="46"/>
      <c r="K62" s="46"/>
      <c r="L62" s="46"/>
      <c r="M62" s="46"/>
      <c r="N62" s="46"/>
      <c r="O62" s="34">
        <v>1</v>
      </c>
      <c r="P62" s="34">
        <v>1</v>
      </c>
      <c r="Q62" s="34">
        <v>1</v>
      </c>
      <c r="R62" s="34">
        <v>1</v>
      </c>
      <c r="S62" s="34">
        <v>1</v>
      </c>
      <c r="T62" s="34">
        <v>1</v>
      </c>
      <c r="U62" s="34">
        <v>1</v>
      </c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10">
        <f t="shared" si="4"/>
        <v>7</v>
      </c>
      <c r="AM62" s="12">
        <v>33000</v>
      </c>
      <c r="AN62" s="12">
        <f t="shared" si="5"/>
        <v>231000</v>
      </c>
    </row>
    <row r="63" spans="1:40">
      <c r="A63" s="51" t="s">
        <v>36</v>
      </c>
      <c r="B63" s="32">
        <v>903</v>
      </c>
      <c r="C63" s="33" t="s">
        <v>468</v>
      </c>
      <c r="D63" s="33" t="s">
        <v>469</v>
      </c>
      <c r="E63" s="33" t="s">
        <v>544</v>
      </c>
      <c r="F63" s="32" t="s">
        <v>471</v>
      </c>
      <c r="G63" s="46"/>
      <c r="H63" s="46"/>
      <c r="I63" s="46"/>
      <c r="J63" s="46"/>
      <c r="K63" s="46"/>
      <c r="L63" s="46"/>
      <c r="M63" s="46"/>
      <c r="N63" s="46"/>
      <c r="O63" s="34">
        <v>1</v>
      </c>
      <c r="P63" s="34">
        <v>1</v>
      </c>
      <c r="Q63" s="34">
        <v>1</v>
      </c>
      <c r="R63" s="34">
        <v>1</v>
      </c>
      <c r="S63" s="34">
        <v>1</v>
      </c>
      <c r="T63" s="34">
        <v>1</v>
      </c>
      <c r="U63" s="34">
        <v>1</v>
      </c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10">
        <f t="shared" si="4"/>
        <v>7</v>
      </c>
      <c r="AM63" s="12">
        <v>33000</v>
      </c>
      <c r="AN63" s="12">
        <f t="shared" si="5"/>
        <v>231000</v>
      </c>
    </row>
    <row r="64" spans="1:40">
      <c r="A64" s="51" t="s">
        <v>36</v>
      </c>
      <c r="B64" s="32">
        <v>903</v>
      </c>
      <c r="C64" s="33" t="s">
        <v>533</v>
      </c>
      <c r="D64" s="33" t="s">
        <v>475</v>
      </c>
      <c r="E64" s="33" t="s">
        <v>217</v>
      </c>
      <c r="F64" s="32" t="s">
        <v>49</v>
      </c>
      <c r="G64" s="46"/>
      <c r="H64" s="46"/>
      <c r="I64" s="46"/>
      <c r="J64" s="46"/>
      <c r="K64" s="46"/>
      <c r="L64" s="46"/>
      <c r="M64" s="46"/>
      <c r="N64" s="46"/>
      <c r="O64" s="34">
        <v>1</v>
      </c>
      <c r="P64" s="34">
        <v>1</v>
      </c>
      <c r="Q64" s="34">
        <v>1</v>
      </c>
      <c r="R64" s="34">
        <v>1</v>
      </c>
      <c r="S64" s="34">
        <v>1</v>
      </c>
      <c r="T64" s="34">
        <v>1</v>
      </c>
      <c r="U64" s="34">
        <v>1</v>
      </c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10">
        <f t="shared" si="4"/>
        <v>7</v>
      </c>
      <c r="AM64" s="12">
        <v>33000</v>
      </c>
      <c r="AN64" s="12">
        <f t="shared" si="5"/>
        <v>231000</v>
      </c>
    </row>
    <row r="65" spans="1:40">
      <c r="A65" s="51" t="s">
        <v>36</v>
      </c>
      <c r="B65" s="32">
        <v>1101</v>
      </c>
      <c r="C65" s="33" t="s">
        <v>60</v>
      </c>
      <c r="D65" s="33" t="s">
        <v>16</v>
      </c>
      <c r="E65" s="33" t="s">
        <v>472</v>
      </c>
      <c r="F65" s="32" t="s">
        <v>61</v>
      </c>
      <c r="G65" s="46"/>
      <c r="H65" s="46"/>
      <c r="I65" s="46"/>
      <c r="J65" s="46"/>
      <c r="K65" s="46"/>
      <c r="L65" s="46"/>
      <c r="M65" s="46"/>
      <c r="N65" s="46"/>
      <c r="O65" s="34">
        <v>1</v>
      </c>
      <c r="P65" s="34">
        <v>1</v>
      </c>
      <c r="Q65" s="34">
        <v>1</v>
      </c>
      <c r="R65" s="34">
        <v>1</v>
      </c>
      <c r="S65" s="34">
        <v>1</v>
      </c>
      <c r="T65" s="34">
        <v>1</v>
      </c>
      <c r="U65" s="34">
        <v>1</v>
      </c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10">
        <f t="shared" si="4"/>
        <v>7</v>
      </c>
      <c r="AM65" s="12">
        <v>33000</v>
      </c>
      <c r="AN65" s="12">
        <f t="shared" si="5"/>
        <v>231000</v>
      </c>
    </row>
    <row r="66" spans="1:40">
      <c r="A66" s="51" t="s">
        <v>36</v>
      </c>
      <c r="B66" s="32">
        <v>1101</v>
      </c>
      <c r="C66" s="33" t="s">
        <v>56</v>
      </c>
      <c r="D66" s="33" t="s">
        <v>473</v>
      </c>
      <c r="E66" s="33" t="s">
        <v>57</v>
      </c>
      <c r="F66" s="32" t="s">
        <v>58</v>
      </c>
      <c r="G66" s="46"/>
      <c r="H66" s="46"/>
      <c r="I66" s="46"/>
      <c r="J66" s="46"/>
      <c r="K66" s="46"/>
      <c r="L66" s="46"/>
      <c r="M66" s="46"/>
      <c r="N66" s="46"/>
      <c r="O66" s="34">
        <v>1</v>
      </c>
      <c r="P66" s="34">
        <v>1</v>
      </c>
      <c r="Q66" s="34">
        <v>1</v>
      </c>
      <c r="R66" s="34">
        <v>1</v>
      </c>
      <c r="S66" s="34">
        <v>1</v>
      </c>
      <c r="T66" s="34">
        <v>1</v>
      </c>
      <c r="U66" s="34">
        <v>1</v>
      </c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10">
        <f t="shared" si="4"/>
        <v>7</v>
      </c>
      <c r="AM66" s="12">
        <v>33000</v>
      </c>
      <c r="AN66" s="12">
        <f t="shared" si="5"/>
        <v>231000</v>
      </c>
    </row>
    <row r="67" spans="1:40">
      <c r="A67" s="51" t="s">
        <v>36</v>
      </c>
      <c r="B67" s="32">
        <v>1302</v>
      </c>
      <c r="C67" s="33" t="s">
        <v>12</v>
      </c>
      <c r="D67" s="33" t="s">
        <v>72</v>
      </c>
      <c r="E67" s="33" t="s">
        <v>545</v>
      </c>
      <c r="F67" s="32" t="s">
        <v>487</v>
      </c>
      <c r="G67" s="46"/>
      <c r="H67" s="46"/>
      <c r="I67" s="46"/>
      <c r="J67" s="46"/>
      <c r="K67" s="46"/>
      <c r="L67" s="46"/>
      <c r="M67" s="46"/>
      <c r="N67" s="46"/>
      <c r="O67" s="34">
        <v>1</v>
      </c>
      <c r="P67" s="34">
        <v>1</v>
      </c>
      <c r="Q67" s="34">
        <v>1</v>
      </c>
      <c r="R67" s="34">
        <v>1</v>
      </c>
      <c r="S67" s="34">
        <v>1</v>
      </c>
      <c r="T67" s="34">
        <v>1</v>
      </c>
      <c r="U67" s="34">
        <v>1</v>
      </c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10">
        <f t="shared" si="4"/>
        <v>7</v>
      </c>
      <c r="AM67" s="12">
        <v>33000</v>
      </c>
      <c r="AN67" s="12">
        <f t="shared" si="5"/>
        <v>231000</v>
      </c>
    </row>
    <row r="68" spans="1:40">
      <c r="A68" s="51" t="s">
        <v>36</v>
      </c>
      <c r="B68" s="32">
        <v>1302</v>
      </c>
      <c r="C68" s="33" t="s">
        <v>297</v>
      </c>
      <c r="D68" s="33" t="s">
        <v>546</v>
      </c>
      <c r="E68" s="33" t="s">
        <v>1273</v>
      </c>
      <c r="F68" s="32" t="s">
        <v>240</v>
      </c>
      <c r="G68" s="46"/>
      <c r="H68" s="46"/>
      <c r="I68" s="46"/>
      <c r="J68" s="46"/>
      <c r="K68" s="46"/>
      <c r="L68" s="46"/>
      <c r="M68" s="46"/>
      <c r="N68" s="46"/>
      <c r="O68" s="34">
        <v>1</v>
      </c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10">
        <f t="shared" si="4"/>
        <v>1</v>
      </c>
      <c r="AM68" s="12">
        <v>33000</v>
      </c>
      <c r="AN68" s="12">
        <f t="shared" si="5"/>
        <v>33000</v>
      </c>
    </row>
    <row r="69" spans="1:40">
      <c r="A69" s="51" t="s">
        <v>36</v>
      </c>
      <c r="B69" s="35">
        <v>1402</v>
      </c>
      <c r="C69" s="36" t="s">
        <v>319</v>
      </c>
      <c r="D69" s="36"/>
      <c r="E69" s="36" t="s">
        <v>144</v>
      </c>
      <c r="F69" s="35"/>
      <c r="G69" s="52"/>
      <c r="H69" s="52"/>
      <c r="I69" s="52"/>
      <c r="J69" s="52"/>
      <c r="K69" s="52"/>
      <c r="L69" s="52"/>
      <c r="M69" s="52"/>
      <c r="N69" s="52"/>
      <c r="O69" s="37">
        <v>1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10">
        <f t="shared" si="4"/>
        <v>1</v>
      </c>
      <c r="AM69" s="12">
        <v>33000</v>
      </c>
      <c r="AN69" s="12">
        <f t="shared" si="5"/>
        <v>33000</v>
      </c>
    </row>
    <row r="70" spans="1:40">
      <c r="A70" s="51" t="s">
        <v>36</v>
      </c>
      <c r="B70" s="32">
        <v>1402</v>
      </c>
      <c r="C70" s="33" t="s">
        <v>456</v>
      </c>
      <c r="D70" s="33" t="s">
        <v>479</v>
      </c>
      <c r="E70" s="33" t="s">
        <v>194</v>
      </c>
      <c r="F70" s="32" t="s">
        <v>451</v>
      </c>
      <c r="G70" s="46"/>
      <c r="H70" s="46"/>
      <c r="I70" s="46"/>
      <c r="J70" s="46"/>
      <c r="K70" s="46"/>
      <c r="L70" s="46"/>
      <c r="M70" s="46"/>
      <c r="N70" s="46"/>
      <c r="O70" s="34">
        <v>1</v>
      </c>
      <c r="P70" s="34">
        <v>1</v>
      </c>
      <c r="Q70" s="34">
        <v>1</v>
      </c>
      <c r="R70" s="34">
        <v>1</v>
      </c>
      <c r="S70" s="34">
        <v>1</v>
      </c>
      <c r="T70" s="34">
        <v>1</v>
      </c>
      <c r="U70" s="34">
        <v>1</v>
      </c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10">
        <f t="shared" si="4"/>
        <v>7</v>
      </c>
      <c r="AM70" s="12">
        <v>33000</v>
      </c>
      <c r="AN70" s="12">
        <f t="shared" si="5"/>
        <v>231000</v>
      </c>
    </row>
    <row r="71" spans="1:40" ht="13.5" thickBot="1">
      <c r="A71" s="47" t="s">
        <v>36</v>
      </c>
      <c r="B71" s="55">
        <v>1402</v>
      </c>
      <c r="C71" s="56" t="s">
        <v>26</v>
      </c>
      <c r="D71" s="56" t="s">
        <v>93</v>
      </c>
      <c r="E71" s="56" t="s">
        <v>43</v>
      </c>
      <c r="F71" s="55" t="s">
        <v>44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57">
        <v>1</v>
      </c>
      <c r="T71" s="57">
        <v>1</v>
      </c>
      <c r="U71" s="57">
        <v>1</v>
      </c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13">
        <f t="shared" ref="AL71:AL72" si="8">SUM(G71:AK71)</f>
        <v>3</v>
      </c>
      <c r="AM71" s="14">
        <v>33000</v>
      </c>
      <c r="AN71" s="14">
        <f t="shared" ref="AN71:AN72" si="9">AM71*AL71</f>
        <v>99000</v>
      </c>
    </row>
    <row r="72" spans="1:40">
      <c r="A72" s="45" t="s">
        <v>36</v>
      </c>
      <c r="B72" s="32">
        <v>205</v>
      </c>
      <c r="C72" s="33" t="s">
        <v>1235</v>
      </c>
      <c r="D72" s="33" t="s">
        <v>899</v>
      </c>
      <c r="E72" s="33" t="s">
        <v>1236</v>
      </c>
      <c r="F72" s="32" t="s">
        <v>1237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34">
        <v>1</v>
      </c>
      <c r="W72" s="34">
        <v>1</v>
      </c>
      <c r="X72" s="34">
        <v>1</v>
      </c>
      <c r="Y72" s="34">
        <v>1</v>
      </c>
      <c r="Z72" s="34">
        <v>1</v>
      </c>
      <c r="AA72" s="34">
        <v>1</v>
      </c>
      <c r="AB72" s="34">
        <v>1</v>
      </c>
      <c r="AC72" s="46"/>
      <c r="AD72" s="46"/>
      <c r="AE72" s="46"/>
      <c r="AF72" s="46"/>
      <c r="AG72" s="46"/>
      <c r="AH72" s="46"/>
      <c r="AI72" s="46"/>
      <c r="AJ72" s="46"/>
      <c r="AK72" s="46"/>
      <c r="AL72" s="42">
        <f t="shared" si="8"/>
        <v>7</v>
      </c>
      <c r="AM72" s="11">
        <v>33000</v>
      </c>
      <c r="AN72" s="11">
        <f t="shared" si="9"/>
        <v>231000</v>
      </c>
    </row>
    <row r="73" spans="1:40">
      <c r="A73" s="51" t="s">
        <v>36</v>
      </c>
      <c r="B73" s="32">
        <v>205</v>
      </c>
      <c r="C73" s="33" t="s">
        <v>26</v>
      </c>
      <c r="D73" s="33" t="s">
        <v>1274</v>
      </c>
      <c r="E73" s="33" t="s">
        <v>42</v>
      </c>
      <c r="F73" s="32" t="s">
        <v>1238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34">
        <v>1</v>
      </c>
      <c r="W73" s="34">
        <v>1</v>
      </c>
      <c r="X73" s="34">
        <v>1</v>
      </c>
      <c r="Y73" s="34">
        <v>1</v>
      </c>
      <c r="Z73" s="34">
        <v>1</v>
      </c>
      <c r="AA73" s="34">
        <v>1</v>
      </c>
      <c r="AB73" s="34">
        <v>1</v>
      </c>
      <c r="AC73" s="46"/>
      <c r="AD73" s="46"/>
      <c r="AE73" s="46"/>
      <c r="AF73" s="46"/>
      <c r="AG73" s="46"/>
      <c r="AH73" s="46"/>
      <c r="AI73" s="46"/>
      <c r="AJ73" s="46"/>
      <c r="AK73" s="46"/>
      <c r="AL73" s="10">
        <f t="shared" ref="AL73:AL92" si="10">SUM(G73:AK73)</f>
        <v>7</v>
      </c>
      <c r="AM73" s="12">
        <v>33000</v>
      </c>
      <c r="AN73" s="12">
        <f t="shared" ref="AN73:AN92" si="11">AM73*AL73</f>
        <v>231000</v>
      </c>
    </row>
    <row r="74" spans="1:40">
      <c r="A74" s="51" t="s">
        <v>36</v>
      </c>
      <c r="B74" s="32">
        <v>302</v>
      </c>
      <c r="C74" s="33" t="s">
        <v>1239</v>
      </c>
      <c r="D74" s="33" t="s">
        <v>1275</v>
      </c>
      <c r="E74" s="33" t="s">
        <v>43</v>
      </c>
      <c r="F74" s="32" t="s">
        <v>1240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34">
        <v>1</v>
      </c>
      <c r="W74" s="34">
        <v>1</v>
      </c>
      <c r="X74" s="34">
        <v>1</v>
      </c>
      <c r="Y74" s="34">
        <v>1</v>
      </c>
      <c r="Z74" s="34">
        <v>1</v>
      </c>
      <c r="AA74" s="34">
        <v>1</v>
      </c>
      <c r="AB74" s="34">
        <v>1</v>
      </c>
      <c r="AC74" s="46"/>
      <c r="AD74" s="46"/>
      <c r="AE74" s="46"/>
      <c r="AF74" s="46"/>
      <c r="AG74" s="46"/>
      <c r="AH74" s="46"/>
      <c r="AI74" s="46"/>
      <c r="AJ74" s="46"/>
      <c r="AK74" s="46"/>
      <c r="AL74" s="10">
        <f t="shared" si="10"/>
        <v>7</v>
      </c>
      <c r="AM74" s="12">
        <v>33000</v>
      </c>
      <c r="AN74" s="12">
        <f t="shared" si="11"/>
        <v>231000</v>
      </c>
    </row>
    <row r="75" spans="1:40">
      <c r="A75" s="51" t="s">
        <v>36</v>
      </c>
      <c r="B75" s="32">
        <v>302</v>
      </c>
      <c r="C75" s="33" t="s">
        <v>1241</v>
      </c>
      <c r="D75" s="33" t="s">
        <v>186</v>
      </c>
      <c r="E75" s="33" t="s">
        <v>185</v>
      </c>
      <c r="F75" s="32" t="s">
        <v>1242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34">
        <v>1</v>
      </c>
      <c r="W75" s="34">
        <v>1</v>
      </c>
      <c r="X75" s="34">
        <v>1</v>
      </c>
      <c r="Y75" s="34">
        <v>1</v>
      </c>
      <c r="Z75" s="34">
        <v>1</v>
      </c>
      <c r="AA75" s="34">
        <v>1</v>
      </c>
      <c r="AB75" s="34">
        <v>1</v>
      </c>
      <c r="AC75" s="46"/>
      <c r="AD75" s="46"/>
      <c r="AE75" s="46"/>
      <c r="AF75" s="46"/>
      <c r="AG75" s="46"/>
      <c r="AH75" s="46"/>
      <c r="AI75" s="46"/>
      <c r="AJ75" s="46"/>
      <c r="AK75" s="46"/>
      <c r="AL75" s="10">
        <f t="shared" si="10"/>
        <v>7</v>
      </c>
      <c r="AM75" s="12">
        <v>33000</v>
      </c>
      <c r="AN75" s="12">
        <f t="shared" si="11"/>
        <v>231000</v>
      </c>
    </row>
    <row r="76" spans="1:40">
      <c r="A76" s="51" t="s">
        <v>36</v>
      </c>
      <c r="B76" s="32">
        <v>304</v>
      </c>
      <c r="C76" s="33" t="s">
        <v>41</v>
      </c>
      <c r="D76" s="33" t="s">
        <v>13</v>
      </c>
      <c r="E76" s="33" t="s">
        <v>37</v>
      </c>
      <c r="F76" s="32" t="s">
        <v>1243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34">
        <v>1</v>
      </c>
      <c r="W76" s="34">
        <v>1</v>
      </c>
      <c r="X76" s="34">
        <v>1</v>
      </c>
      <c r="Y76" s="34">
        <v>1</v>
      </c>
      <c r="Z76" s="34">
        <v>1</v>
      </c>
      <c r="AA76" s="34">
        <v>1</v>
      </c>
      <c r="AB76" s="34">
        <v>1</v>
      </c>
      <c r="AC76" s="46"/>
      <c r="AD76" s="46"/>
      <c r="AE76" s="46"/>
      <c r="AF76" s="46"/>
      <c r="AG76" s="46"/>
      <c r="AH76" s="46"/>
      <c r="AI76" s="46"/>
      <c r="AJ76" s="46"/>
      <c r="AK76" s="46"/>
      <c r="AL76" s="10">
        <f t="shared" si="10"/>
        <v>7</v>
      </c>
      <c r="AM76" s="12">
        <v>33000</v>
      </c>
      <c r="AN76" s="12">
        <f t="shared" si="11"/>
        <v>231000</v>
      </c>
    </row>
    <row r="77" spans="1:40">
      <c r="A77" s="51" t="s">
        <v>36</v>
      </c>
      <c r="B77" s="32">
        <v>304</v>
      </c>
      <c r="C77" s="33" t="s">
        <v>1244</v>
      </c>
      <c r="D77" s="33" t="s">
        <v>39</v>
      </c>
      <c r="E77" s="33" t="s">
        <v>40</v>
      </c>
      <c r="F77" s="32" t="s">
        <v>1245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34">
        <v>1</v>
      </c>
      <c r="W77" s="34">
        <v>1</v>
      </c>
      <c r="X77" s="34">
        <v>1</v>
      </c>
      <c r="Y77" s="34">
        <v>1</v>
      </c>
      <c r="Z77" s="34">
        <v>1</v>
      </c>
      <c r="AA77" s="34">
        <v>1</v>
      </c>
      <c r="AB77" s="34">
        <v>1</v>
      </c>
      <c r="AC77" s="46"/>
      <c r="AD77" s="46"/>
      <c r="AE77" s="46"/>
      <c r="AF77" s="46"/>
      <c r="AG77" s="46"/>
      <c r="AH77" s="46"/>
      <c r="AI77" s="46"/>
      <c r="AJ77" s="46"/>
      <c r="AK77" s="46"/>
      <c r="AL77" s="10">
        <f t="shared" si="10"/>
        <v>7</v>
      </c>
      <c r="AM77" s="12">
        <v>33000</v>
      </c>
      <c r="AN77" s="12">
        <f t="shared" si="11"/>
        <v>231000</v>
      </c>
    </row>
    <row r="78" spans="1:40">
      <c r="A78" s="51" t="s">
        <v>36</v>
      </c>
      <c r="B78" s="32">
        <v>403</v>
      </c>
      <c r="C78" s="33" t="s">
        <v>1276</v>
      </c>
      <c r="D78" s="33" t="s">
        <v>1277</v>
      </c>
      <c r="E78" s="33" t="s">
        <v>24</v>
      </c>
      <c r="F78" s="32" t="s">
        <v>1278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34">
        <v>1</v>
      </c>
      <c r="W78" s="34">
        <v>1</v>
      </c>
      <c r="X78" s="34">
        <v>1</v>
      </c>
      <c r="Y78" s="34">
        <v>1</v>
      </c>
      <c r="Z78" s="34">
        <v>1</v>
      </c>
      <c r="AA78" s="34">
        <v>1</v>
      </c>
      <c r="AB78" s="34">
        <v>1</v>
      </c>
      <c r="AC78" s="46"/>
      <c r="AD78" s="46"/>
      <c r="AE78" s="46"/>
      <c r="AF78" s="46"/>
      <c r="AG78" s="46"/>
      <c r="AH78" s="46"/>
      <c r="AI78" s="46"/>
      <c r="AJ78" s="46"/>
      <c r="AK78" s="46"/>
      <c r="AL78" s="10">
        <f t="shared" si="10"/>
        <v>7</v>
      </c>
      <c r="AM78" s="12">
        <v>33000</v>
      </c>
      <c r="AN78" s="12">
        <f t="shared" si="11"/>
        <v>231000</v>
      </c>
    </row>
    <row r="79" spans="1:40">
      <c r="A79" s="51" t="s">
        <v>36</v>
      </c>
      <c r="B79" s="32">
        <v>403</v>
      </c>
      <c r="C79" s="33" t="s">
        <v>228</v>
      </c>
      <c r="D79" s="33" t="s">
        <v>1271</v>
      </c>
      <c r="E79" s="33" t="s">
        <v>225</v>
      </c>
      <c r="F79" s="32" t="s">
        <v>1272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34">
        <v>1</v>
      </c>
      <c r="W79" s="34">
        <v>1</v>
      </c>
      <c r="X79" s="34">
        <v>1</v>
      </c>
      <c r="Y79" s="34">
        <v>1</v>
      </c>
      <c r="Z79" s="34">
        <v>1</v>
      </c>
      <c r="AA79" s="34">
        <v>1</v>
      </c>
      <c r="AB79" s="34">
        <v>1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10">
        <f t="shared" si="10"/>
        <v>7</v>
      </c>
      <c r="AM79" s="12">
        <v>33000</v>
      </c>
      <c r="AN79" s="12">
        <f t="shared" si="11"/>
        <v>231000</v>
      </c>
    </row>
    <row r="80" spans="1:40">
      <c r="A80" s="51" t="s">
        <v>36</v>
      </c>
      <c r="B80" s="32">
        <v>404</v>
      </c>
      <c r="C80" s="33" t="s">
        <v>1246</v>
      </c>
      <c r="D80" s="33" t="s">
        <v>1264</v>
      </c>
      <c r="E80" s="33" t="s">
        <v>24</v>
      </c>
      <c r="F80" s="32" t="s">
        <v>1247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34">
        <v>1</v>
      </c>
      <c r="W80" s="34">
        <v>1</v>
      </c>
      <c r="X80" s="34">
        <v>1</v>
      </c>
      <c r="Y80" s="34">
        <v>1</v>
      </c>
      <c r="Z80" s="34">
        <v>1</v>
      </c>
      <c r="AA80" s="34">
        <v>1</v>
      </c>
      <c r="AB80" s="34">
        <v>1</v>
      </c>
      <c r="AC80" s="46"/>
      <c r="AD80" s="46"/>
      <c r="AE80" s="46"/>
      <c r="AF80" s="46"/>
      <c r="AG80" s="46"/>
      <c r="AH80" s="46"/>
      <c r="AI80" s="46"/>
      <c r="AJ80" s="46"/>
      <c r="AK80" s="46"/>
      <c r="AL80" s="10">
        <f t="shared" si="10"/>
        <v>7</v>
      </c>
      <c r="AM80" s="12">
        <v>33000</v>
      </c>
      <c r="AN80" s="12">
        <f t="shared" si="11"/>
        <v>231000</v>
      </c>
    </row>
    <row r="81" spans="1:40">
      <c r="A81" s="51" t="s">
        <v>36</v>
      </c>
      <c r="B81" s="32">
        <v>404</v>
      </c>
      <c r="C81" s="33" t="s">
        <v>45</v>
      </c>
      <c r="D81" s="33" t="s">
        <v>1153</v>
      </c>
      <c r="E81" s="33" t="s">
        <v>46</v>
      </c>
      <c r="F81" s="32" t="s">
        <v>1248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34">
        <v>1</v>
      </c>
      <c r="W81" s="34">
        <v>1</v>
      </c>
      <c r="X81" s="34">
        <v>1</v>
      </c>
      <c r="Y81" s="34">
        <v>1</v>
      </c>
      <c r="Z81" s="34">
        <v>1</v>
      </c>
      <c r="AA81" s="34">
        <v>1</v>
      </c>
      <c r="AB81" s="34">
        <v>1</v>
      </c>
      <c r="AC81" s="46"/>
      <c r="AD81" s="46"/>
      <c r="AE81" s="46"/>
      <c r="AF81" s="46"/>
      <c r="AG81" s="46"/>
      <c r="AH81" s="46"/>
      <c r="AI81" s="46"/>
      <c r="AJ81" s="46"/>
      <c r="AK81" s="46"/>
      <c r="AL81" s="10">
        <f t="shared" si="10"/>
        <v>7</v>
      </c>
      <c r="AM81" s="12">
        <v>33000</v>
      </c>
      <c r="AN81" s="12">
        <f t="shared" si="11"/>
        <v>231000</v>
      </c>
    </row>
    <row r="82" spans="1:40">
      <c r="A82" s="51" t="s">
        <v>36</v>
      </c>
      <c r="B82" s="70">
        <v>406</v>
      </c>
      <c r="C82" s="33" t="s">
        <v>52</v>
      </c>
      <c r="D82" s="33" t="s">
        <v>17</v>
      </c>
      <c r="E82" s="33" t="s">
        <v>53</v>
      </c>
      <c r="F82" s="32" t="s">
        <v>54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34">
        <v>1</v>
      </c>
      <c r="W82" s="34">
        <v>1</v>
      </c>
      <c r="X82" s="34">
        <v>1</v>
      </c>
      <c r="Y82" s="34">
        <v>1</v>
      </c>
      <c r="Z82" s="34">
        <v>1</v>
      </c>
      <c r="AA82" s="34">
        <v>1</v>
      </c>
      <c r="AB82" s="34">
        <v>1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72">
        <f t="shared" si="10"/>
        <v>7</v>
      </c>
      <c r="AM82" s="12">
        <v>60000</v>
      </c>
      <c r="AN82" s="12">
        <f t="shared" si="11"/>
        <v>420000</v>
      </c>
    </row>
    <row r="83" spans="1:40">
      <c r="A83" s="51" t="s">
        <v>36</v>
      </c>
      <c r="B83" s="32">
        <v>604</v>
      </c>
      <c r="C83" s="33" t="s">
        <v>18</v>
      </c>
      <c r="D83" s="33" t="s">
        <v>19</v>
      </c>
      <c r="E83" s="33" t="s">
        <v>20</v>
      </c>
      <c r="F83" s="32" t="s">
        <v>448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34">
        <v>1</v>
      </c>
      <c r="W83" s="34">
        <v>1</v>
      </c>
      <c r="X83" s="34">
        <v>1</v>
      </c>
      <c r="Y83" s="34">
        <v>1</v>
      </c>
      <c r="Z83" s="34">
        <v>1</v>
      </c>
      <c r="AA83" s="34">
        <v>1</v>
      </c>
      <c r="AB83" s="34">
        <v>1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10">
        <f t="shared" si="10"/>
        <v>7</v>
      </c>
      <c r="AM83" s="12">
        <v>33000</v>
      </c>
      <c r="AN83" s="12">
        <f t="shared" si="11"/>
        <v>231000</v>
      </c>
    </row>
    <row r="84" spans="1:40">
      <c r="A84" s="51" t="s">
        <v>36</v>
      </c>
      <c r="B84" s="32">
        <v>604</v>
      </c>
      <c r="C84" s="33" t="s">
        <v>310</v>
      </c>
      <c r="D84" s="33" t="s">
        <v>284</v>
      </c>
      <c r="E84" s="33" t="s">
        <v>1279</v>
      </c>
      <c r="F84" s="32" t="s">
        <v>449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34">
        <v>1</v>
      </c>
      <c r="W84" s="34">
        <v>1</v>
      </c>
      <c r="X84" s="34">
        <v>1</v>
      </c>
      <c r="Y84" s="34">
        <v>1</v>
      </c>
      <c r="Z84" s="34">
        <v>1</v>
      </c>
      <c r="AA84" s="34">
        <v>1</v>
      </c>
      <c r="AB84" s="34">
        <v>1</v>
      </c>
      <c r="AC84" s="46"/>
      <c r="AD84" s="46"/>
      <c r="AE84" s="46"/>
      <c r="AF84" s="46"/>
      <c r="AG84" s="46"/>
      <c r="AH84" s="46"/>
      <c r="AI84" s="46"/>
      <c r="AJ84" s="46"/>
      <c r="AK84" s="46"/>
      <c r="AL84" s="10">
        <f t="shared" si="10"/>
        <v>7</v>
      </c>
      <c r="AM84" s="12">
        <v>33000</v>
      </c>
      <c r="AN84" s="12">
        <f t="shared" si="11"/>
        <v>231000</v>
      </c>
    </row>
    <row r="85" spans="1:40">
      <c r="A85" s="51" t="s">
        <v>36</v>
      </c>
      <c r="B85" s="32">
        <v>903</v>
      </c>
      <c r="C85" s="33" t="s">
        <v>1254</v>
      </c>
      <c r="D85" s="33" t="s">
        <v>1044</v>
      </c>
      <c r="E85" s="33" t="s">
        <v>1255</v>
      </c>
      <c r="F85" s="32" t="s">
        <v>1256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34">
        <v>1</v>
      </c>
      <c r="W85" s="34">
        <v>1</v>
      </c>
      <c r="X85" s="34">
        <v>1</v>
      </c>
      <c r="Y85" s="34">
        <v>1</v>
      </c>
      <c r="Z85" s="34">
        <v>1</v>
      </c>
      <c r="AA85" s="34">
        <v>1</v>
      </c>
      <c r="AB85" s="34">
        <v>1</v>
      </c>
      <c r="AC85" s="46"/>
      <c r="AD85" s="46"/>
      <c r="AE85" s="46"/>
      <c r="AF85" s="46"/>
      <c r="AG85" s="46"/>
      <c r="AH85" s="46"/>
      <c r="AI85" s="46"/>
      <c r="AJ85" s="46"/>
      <c r="AK85" s="46"/>
      <c r="AL85" s="10">
        <f t="shared" si="10"/>
        <v>7</v>
      </c>
      <c r="AM85" s="12">
        <v>33000</v>
      </c>
      <c r="AN85" s="12">
        <f t="shared" si="11"/>
        <v>231000</v>
      </c>
    </row>
    <row r="86" spans="1:40">
      <c r="A86" s="51" t="s">
        <v>36</v>
      </c>
      <c r="B86" s="32">
        <v>903</v>
      </c>
      <c r="C86" s="33" t="s">
        <v>14</v>
      </c>
      <c r="D86" s="33" t="s">
        <v>332</v>
      </c>
      <c r="E86" s="33" t="s">
        <v>1257</v>
      </c>
      <c r="F86" s="32" t="s">
        <v>1258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34">
        <v>1</v>
      </c>
      <c r="W86" s="34">
        <v>1</v>
      </c>
      <c r="X86" s="34">
        <v>1</v>
      </c>
      <c r="Y86" s="34">
        <v>1</v>
      </c>
      <c r="Z86" s="34">
        <v>1</v>
      </c>
      <c r="AA86" s="34">
        <v>1</v>
      </c>
      <c r="AB86" s="34">
        <v>1</v>
      </c>
      <c r="AC86" s="46"/>
      <c r="AD86" s="46"/>
      <c r="AE86" s="46"/>
      <c r="AF86" s="46"/>
      <c r="AG86" s="46"/>
      <c r="AH86" s="46"/>
      <c r="AI86" s="46"/>
      <c r="AJ86" s="46"/>
      <c r="AK86" s="46"/>
      <c r="AL86" s="10">
        <f t="shared" si="10"/>
        <v>7</v>
      </c>
      <c r="AM86" s="12">
        <v>33000</v>
      </c>
      <c r="AN86" s="12">
        <f t="shared" si="11"/>
        <v>231000</v>
      </c>
    </row>
    <row r="87" spans="1:40">
      <c r="A87" s="51" t="s">
        <v>36</v>
      </c>
      <c r="B87" s="32">
        <v>1101</v>
      </c>
      <c r="C87" s="33" t="s">
        <v>1259</v>
      </c>
      <c r="D87" s="33" t="s">
        <v>1280</v>
      </c>
      <c r="E87" s="33" t="s">
        <v>1260</v>
      </c>
      <c r="F87" s="32" t="s">
        <v>1261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34">
        <v>1</v>
      </c>
      <c r="W87" s="34">
        <v>1</v>
      </c>
      <c r="X87" s="34">
        <v>1</v>
      </c>
      <c r="Y87" s="34">
        <v>1</v>
      </c>
      <c r="Z87" s="34">
        <v>1</v>
      </c>
      <c r="AA87" s="34">
        <v>1</v>
      </c>
      <c r="AB87" s="34">
        <v>1</v>
      </c>
      <c r="AC87" s="46"/>
      <c r="AD87" s="46"/>
      <c r="AE87" s="46"/>
      <c r="AF87" s="46"/>
      <c r="AG87" s="46"/>
      <c r="AH87" s="46"/>
      <c r="AI87" s="46"/>
      <c r="AJ87" s="46"/>
      <c r="AK87" s="46"/>
      <c r="AL87" s="10">
        <f t="shared" si="10"/>
        <v>7</v>
      </c>
      <c r="AM87" s="12">
        <v>33000</v>
      </c>
      <c r="AN87" s="12">
        <f t="shared" si="11"/>
        <v>231000</v>
      </c>
    </row>
    <row r="88" spans="1:40">
      <c r="A88" s="51" t="s">
        <v>36</v>
      </c>
      <c r="B88" s="32">
        <v>1101</v>
      </c>
      <c r="C88" s="33" t="s">
        <v>38</v>
      </c>
      <c r="D88" s="33" t="s">
        <v>335</v>
      </c>
      <c r="E88" s="33" t="s">
        <v>1262</v>
      </c>
      <c r="F88" s="32" t="s">
        <v>1263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34">
        <v>1</v>
      </c>
      <c r="W88" s="34">
        <v>1</v>
      </c>
      <c r="X88" s="34">
        <v>1</v>
      </c>
      <c r="Y88" s="34">
        <v>1</v>
      </c>
      <c r="Z88" s="34">
        <v>1</v>
      </c>
      <c r="AA88" s="34">
        <v>1</v>
      </c>
      <c r="AB88" s="34">
        <v>1</v>
      </c>
      <c r="AC88" s="46"/>
      <c r="AD88" s="46"/>
      <c r="AE88" s="46"/>
      <c r="AF88" s="46"/>
      <c r="AG88" s="46"/>
      <c r="AH88" s="46"/>
      <c r="AI88" s="46"/>
      <c r="AJ88" s="46"/>
      <c r="AK88" s="46"/>
      <c r="AL88" s="10">
        <f t="shared" ref="AL88:AL89" si="12">SUM(G88:AK88)</f>
        <v>7</v>
      </c>
      <c r="AM88" s="12">
        <v>33000</v>
      </c>
      <c r="AN88" s="12">
        <f t="shared" ref="AN88:AN89" si="13">AM88*AL88</f>
        <v>231000</v>
      </c>
    </row>
    <row r="89" spans="1:40">
      <c r="A89" s="51" t="s">
        <v>36</v>
      </c>
      <c r="B89" s="32">
        <v>1302</v>
      </c>
      <c r="C89" s="33" t="s">
        <v>94</v>
      </c>
      <c r="D89" s="33" t="s">
        <v>1264</v>
      </c>
      <c r="E89" s="33" t="s">
        <v>1265</v>
      </c>
      <c r="F89" s="32" t="s">
        <v>1247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34">
        <v>1</v>
      </c>
      <c r="W89" s="34">
        <v>1</v>
      </c>
      <c r="X89" s="34">
        <v>1</v>
      </c>
      <c r="Y89" s="34">
        <v>1</v>
      </c>
      <c r="Z89" s="34">
        <v>1</v>
      </c>
      <c r="AA89" s="34">
        <v>1</v>
      </c>
      <c r="AB89" s="34">
        <v>1</v>
      </c>
      <c r="AC89" s="46"/>
      <c r="AD89" s="46"/>
      <c r="AE89" s="46"/>
      <c r="AF89" s="46"/>
      <c r="AG89" s="46"/>
      <c r="AH89" s="46"/>
      <c r="AI89" s="46"/>
      <c r="AJ89" s="46"/>
      <c r="AK89" s="46"/>
      <c r="AL89" s="10">
        <f t="shared" si="12"/>
        <v>7</v>
      </c>
      <c r="AM89" s="12">
        <v>33000</v>
      </c>
      <c r="AN89" s="12">
        <f t="shared" si="13"/>
        <v>231000</v>
      </c>
    </row>
    <row r="90" spans="1:40">
      <c r="A90" s="51" t="s">
        <v>36</v>
      </c>
      <c r="B90" s="32">
        <v>1302</v>
      </c>
      <c r="C90" s="33" t="s">
        <v>297</v>
      </c>
      <c r="D90" s="33" t="s">
        <v>546</v>
      </c>
      <c r="E90" s="33" t="s">
        <v>446</v>
      </c>
      <c r="F90" s="32" t="s">
        <v>240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34">
        <v>1</v>
      </c>
      <c r="W90" s="34">
        <v>1</v>
      </c>
      <c r="X90" s="34">
        <v>1</v>
      </c>
      <c r="Y90" s="34">
        <v>1</v>
      </c>
      <c r="Z90" s="34">
        <v>1</v>
      </c>
      <c r="AA90" s="34">
        <v>1</v>
      </c>
      <c r="AB90" s="34">
        <v>1</v>
      </c>
      <c r="AC90" s="46"/>
      <c r="AD90" s="46"/>
      <c r="AE90" s="46"/>
      <c r="AF90" s="46"/>
      <c r="AG90" s="46"/>
      <c r="AH90" s="46"/>
      <c r="AI90" s="46"/>
      <c r="AJ90" s="46"/>
      <c r="AK90" s="46"/>
      <c r="AL90" s="10">
        <f t="shared" si="10"/>
        <v>7</v>
      </c>
      <c r="AM90" s="12">
        <v>33000</v>
      </c>
      <c r="AN90" s="12">
        <f t="shared" si="11"/>
        <v>231000</v>
      </c>
    </row>
    <row r="91" spans="1:40">
      <c r="A91" s="51" t="s">
        <v>36</v>
      </c>
      <c r="B91" s="32">
        <v>1402</v>
      </c>
      <c r="C91" s="33" t="s">
        <v>39</v>
      </c>
      <c r="D91" s="33" t="s">
        <v>1281</v>
      </c>
      <c r="E91" s="33" t="s">
        <v>1267</v>
      </c>
      <c r="F91" s="32" t="s">
        <v>1268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34">
        <v>1</v>
      </c>
      <c r="W91" s="34">
        <v>1</v>
      </c>
      <c r="X91" s="34">
        <v>1</v>
      </c>
      <c r="Y91" s="34">
        <v>1</v>
      </c>
      <c r="Z91" s="34">
        <v>1</v>
      </c>
      <c r="AA91" s="34">
        <v>1</v>
      </c>
      <c r="AB91" s="34">
        <v>1</v>
      </c>
      <c r="AC91" s="46"/>
      <c r="AD91" s="46"/>
      <c r="AE91" s="46"/>
      <c r="AF91" s="46"/>
      <c r="AG91" s="46"/>
      <c r="AH91" s="46"/>
      <c r="AI91" s="46"/>
      <c r="AJ91" s="46"/>
      <c r="AK91" s="46"/>
      <c r="AL91" s="10">
        <f t="shared" si="10"/>
        <v>7</v>
      </c>
      <c r="AM91" s="12">
        <v>33000</v>
      </c>
      <c r="AN91" s="12">
        <f t="shared" si="11"/>
        <v>231000</v>
      </c>
    </row>
    <row r="92" spans="1:40" ht="13.5" thickBot="1">
      <c r="A92" s="47" t="s">
        <v>36</v>
      </c>
      <c r="B92" s="73">
        <v>1402</v>
      </c>
      <c r="C92" s="74" t="s">
        <v>1269</v>
      </c>
      <c r="D92" s="74" t="s">
        <v>333</v>
      </c>
      <c r="E92" s="74" t="s">
        <v>37</v>
      </c>
      <c r="F92" s="73" t="s">
        <v>1270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39">
        <v>1</v>
      </c>
      <c r="W92" s="39">
        <v>1</v>
      </c>
      <c r="X92" s="39">
        <v>1</v>
      </c>
      <c r="Y92" s="39">
        <v>1</v>
      </c>
      <c r="Z92" s="39">
        <v>1</v>
      </c>
      <c r="AA92" s="39">
        <v>1</v>
      </c>
      <c r="AB92" s="39">
        <v>1</v>
      </c>
      <c r="AC92" s="50"/>
      <c r="AD92" s="50"/>
      <c r="AE92" s="50"/>
      <c r="AF92" s="50"/>
      <c r="AG92" s="50"/>
      <c r="AH92" s="50"/>
      <c r="AI92" s="50"/>
      <c r="AJ92" s="50"/>
      <c r="AK92" s="50"/>
      <c r="AL92" s="13">
        <f t="shared" si="10"/>
        <v>7</v>
      </c>
      <c r="AM92" s="14">
        <v>33000</v>
      </c>
      <c r="AN92" s="14">
        <f t="shared" si="11"/>
        <v>231000</v>
      </c>
    </row>
    <row r="93" spans="1:40">
      <c r="A93" s="45" t="s">
        <v>36</v>
      </c>
      <c r="B93" s="35">
        <v>205</v>
      </c>
      <c r="C93" s="36" t="s">
        <v>541</v>
      </c>
      <c r="D93" s="36" t="s">
        <v>228</v>
      </c>
      <c r="E93" s="36" t="s">
        <v>144</v>
      </c>
      <c r="F93" s="35" t="s">
        <v>484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34">
        <v>1</v>
      </c>
      <c r="AD93" s="34">
        <v>1</v>
      </c>
      <c r="AE93" s="34">
        <v>1</v>
      </c>
      <c r="AF93" s="34">
        <v>1</v>
      </c>
      <c r="AG93" s="34">
        <v>1</v>
      </c>
      <c r="AH93" s="34">
        <v>1</v>
      </c>
      <c r="AI93" s="34">
        <v>1</v>
      </c>
      <c r="AJ93" s="34">
        <v>1</v>
      </c>
      <c r="AK93" s="34">
        <v>1</v>
      </c>
      <c r="AL93" s="42">
        <f t="shared" ref="AL93:AL113" si="14">SUM(G93:AK93)</f>
        <v>9</v>
      </c>
      <c r="AM93" s="11">
        <v>33000</v>
      </c>
      <c r="AN93" s="11">
        <f t="shared" ref="AN93:AN113" si="15">AM93*AL93</f>
        <v>297000</v>
      </c>
    </row>
    <row r="94" spans="1:40">
      <c r="A94" s="51" t="s">
        <v>36</v>
      </c>
      <c r="B94" s="35">
        <v>205</v>
      </c>
      <c r="C94" s="36" t="s">
        <v>38</v>
      </c>
      <c r="D94" s="36" t="s">
        <v>383</v>
      </c>
      <c r="E94" s="36" t="s">
        <v>356</v>
      </c>
      <c r="F94" s="35" t="s">
        <v>483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34">
        <v>1</v>
      </c>
      <c r="AD94" s="34">
        <v>1</v>
      </c>
      <c r="AE94" s="34">
        <v>1</v>
      </c>
      <c r="AF94" s="34">
        <v>1</v>
      </c>
      <c r="AG94" s="34">
        <v>1</v>
      </c>
      <c r="AH94" s="34">
        <v>1</v>
      </c>
      <c r="AI94" s="34">
        <v>1</v>
      </c>
      <c r="AJ94" s="34">
        <v>1</v>
      </c>
      <c r="AK94" s="34">
        <v>1</v>
      </c>
      <c r="AL94" s="10">
        <f t="shared" si="14"/>
        <v>9</v>
      </c>
      <c r="AM94" s="12">
        <v>33000</v>
      </c>
      <c r="AN94" s="12">
        <f t="shared" si="15"/>
        <v>297000</v>
      </c>
    </row>
    <row r="95" spans="1:40">
      <c r="A95" s="51" t="s">
        <v>36</v>
      </c>
      <c r="B95" s="35">
        <v>302</v>
      </c>
      <c r="C95" s="36" t="s">
        <v>8</v>
      </c>
      <c r="D95" s="36" t="s">
        <v>480</v>
      </c>
      <c r="E95" s="36" t="s">
        <v>42</v>
      </c>
      <c r="F95" s="35" t="s">
        <v>51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34">
        <v>1</v>
      </c>
      <c r="AD95" s="34">
        <v>1</v>
      </c>
      <c r="AE95" s="34">
        <v>1</v>
      </c>
      <c r="AF95" s="34">
        <v>1</v>
      </c>
      <c r="AG95" s="34">
        <v>1</v>
      </c>
      <c r="AH95" s="34">
        <v>1</v>
      </c>
      <c r="AI95" s="34">
        <v>1</v>
      </c>
      <c r="AJ95" s="34">
        <v>1</v>
      </c>
      <c r="AK95" s="34">
        <v>1</v>
      </c>
      <c r="AL95" s="10">
        <f t="shared" si="14"/>
        <v>9</v>
      </c>
      <c r="AM95" s="12">
        <v>33000</v>
      </c>
      <c r="AN95" s="12">
        <f t="shared" si="15"/>
        <v>297000</v>
      </c>
    </row>
    <row r="96" spans="1:40">
      <c r="A96" s="51" t="s">
        <v>36</v>
      </c>
      <c r="B96" s="35">
        <v>302</v>
      </c>
      <c r="C96" s="36" t="s">
        <v>231</v>
      </c>
      <c r="D96" s="36" t="s">
        <v>481</v>
      </c>
      <c r="E96" s="36" t="s">
        <v>450</v>
      </c>
      <c r="F96" s="35" t="s">
        <v>485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34">
        <v>1</v>
      </c>
      <c r="AD96" s="34">
        <v>1</v>
      </c>
      <c r="AE96" s="34">
        <v>1</v>
      </c>
      <c r="AF96" s="34">
        <v>1</v>
      </c>
      <c r="AG96" s="34">
        <v>1</v>
      </c>
      <c r="AH96" s="34">
        <v>1</v>
      </c>
      <c r="AI96" s="34">
        <v>1</v>
      </c>
      <c r="AJ96" s="34">
        <v>1</v>
      </c>
      <c r="AK96" s="34">
        <v>1</v>
      </c>
      <c r="AL96" s="10">
        <f t="shared" si="14"/>
        <v>9</v>
      </c>
      <c r="AM96" s="12">
        <v>33000</v>
      </c>
      <c r="AN96" s="12">
        <f t="shared" si="15"/>
        <v>297000</v>
      </c>
    </row>
    <row r="97" spans="1:40">
      <c r="A97" s="51" t="s">
        <v>36</v>
      </c>
      <c r="B97" s="35">
        <v>304</v>
      </c>
      <c r="C97" s="36" t="s">
        <v>45</v>
      </c>
      <c r="D97" s="36" t="s">
        <v>542</v>
      </c>
      <c r="E97" s="36" t="s">
        <v>543</v>
      </c>
      <c r="F97" s="35" t="s">
        <v>488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34">
        <v>1</v>
      </c>
      <c r="AD97" s="34">
        <v>1</v>
      </c>
      <c r="AE97" s="34">
        <v>1</v>
      </c>
      <c r="AF97" s="34">
        <v>1</v>
      </c>
      <c r="AG97" s="34">
        <v>1</v>
      </c>
      <c r="AH97" s="34">
        <v>1</v>
      </c>
      <c r="AI97" s="34">
        <v>1</v>
      </c>
      <c r="AJ97" s="34">
        <v>1</v>
      </c>
      <c r="AK97" s="34">
        <v>1</v>
      </c>
      <c r="AL97" s="10">
        <f t="shared" si="14"/>
        <v>9</v>
      </c>
      <c r="AM97" s="12">
        <v>33000</v>
      </c>
      <c r="AN97" s="12">
        <f t="shared" si="15"/>
        <v>297000</v>
      </c>
    </row>
    <row r="98" spans="1:40">
      <c r="A98" s="51" t="s">
        <v>36</v>
      </c>
      <c r="B98" s="35">
        <v>304</v>
      </c>
      <c r="C98" s="36" t="s">
        <v>50</v>
      </c>
      <c r="D98" s="36" t="s">
        <v>150</v>
      </c>
      <c r="E98" s="36" t="s">
        <v>474</v>
      </c>
      <c r="F98" s="35" t="s">
        <v>489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34">
        <v>1</v>
      </c>
      <c r="AD98" s="34">
        <v>1</v>
      </c>
      <c r="AE98" s="34">
        <v>1</v>
      </c>
      <c r="AF98" s="34">
        <v>1</v>
      </c>
      <c r="AG98" s="34">
        <v>1</v>
      </c>
      <c r="AH98" s="34">
        <v>1</v>
      </c>
      <c r="AI98" s="34">
        <v>1</v>
      </c>
      <c r="AJ98" s="34">
        <v>1</v>
      </c>
      <c r="AK98" s="34">
        <v>1</v>
      </c>
      <c r="AL98" s="10">
        <f t="shared" si="14"/>
        <v>9</v>
      </c>
      <c r="AM98" s="12">
        <v>33000</v>
      </c>
      <c r="AN98" s="12">
        <f t="shared" si="15"/>
        <v>297000</v>
      </c>
    </row>
    <row r="99" spans="1:40">
      <c r="A99" s="51" t="s">
        <v>36</v>
      </c>
      <c r="B99" s="35">
        <v>403</v>
      </c>
      <c r="C99" s="36" t="s">
        <v>26</v>
      </c>
      <c r="D99" s="36" t="s">
        <v>93</v>
      </c>
      <c r="E99" s="36" t="s">
        <v>43</v>
      </c>
      <c r="F99" s="35" t="s">
        <v>44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34">
        <v>1</v>
      </c>
      <c r="AD99" s="34">
        <v>1</v>
      </c>
      <c r="AE99" s="34">
        <v>1</v>
      </c>
      <c r="AF99" s="34">
        <v>1</v>
      </c>
      <c r="AG99" s="34">
        <v>1</v>
      </c>
      <c r="AH99" s="34">
        <v>1</v>
      </c>
      <c r="AI99" s="34">
        <v>1</v>
      </c>
      <c r="AJ99" s="34">
        <v>1</v>
      </c>
      <c r="AK99" s="34">
        <v>1</v>
      </c>
      <c r="AL99" s="10">
        <f t="shared" si="14"/>
        <v>9</v>
      </c>
      <c r="AM99" s="12">
        <v>33000</v>
      </c>
      <c r="AN99" s="12">
        <f t="shared" si="15"/>
        <v>297000</v>
      </c>
    </row>
    <row r="100" spans="1:40">
      <c r="A100" s="51" t="s">
        <v>36</v>
      </c>
      <c r="B100" s="35">
        <v>403</v>
      </c>
      <c r="C100" s="36" t="s">
        <v>180</v>
      </c>
      <c r="D100" s="36" t="s">
        <v>353</v>
      </c>
      <c r="E100" s="36" t="s">
        <v>280</v>
      </c>
      <c r="F100" s="35" t="s">
        <v>1461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34">
        <v>1</v>
      </c>
      <c r="AE100" s="34">
        <v>1</v>
      </c>
      <c r="AF100" s="34">
        <v>1</v>
      </c>
      <c r="AG100" s="34">
        <v>1</v>
      </c>
      <c r="AH100" s="34">
        <v>1</v>
      </c>
      <c r="AI100" s="34">
        <v>1</v>
      </c>
      <c r="AJ100" s="34">
        <v>1</v>
      </c>
      <c r="AK100" s="34">
        <v>1</v>
      </c>
      <c r="AL100" s="10">
        <f t="shared" ref="AL100" si="16">SUM(G100:AK100)</f>
        <v>8</v>
      </c>
      <c r="AM100" s="12">
        <v>33000</v>
      </c>
      <c r="AN100" s="12">
        <f t="shared" ref="AN100" si="17">AM100*AL100</f>
        <v>264000</v>
      </c>
    </row>
    <row r="101" spans="1:40">
      <c r="A101" s="51" t="s">
        <v>36</v>
      </c>
      <c r="B101" s="35">
        <v>404</v>
      </c>
      <c r="C101" s="36" t="s">
        <v>477</v>
      </c>
      <c r="D101" s="36" t="s">
        <v>478</v>
      </c>
      <c r="E101" s="36" t="s">
        <v>447</v>
      </c>
      <c r="F101" s="35" t="s">
        <v>59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34">
        <v>1</v>
      </c>
      <c r="AD101" s="34">
        <v>1</v>
      </c>
      <c r="AE101" s="34">
        <v>1</v>
      </c>
      <c r="AF101" s="34">
        <v>1</v>
      </c>
      <c r="AG101" s="34">
        <v>1</v>
      </c>
      <c r="AH101" s="34">
        <v>1</v>
      </c>
      <c r="AI101" s="34">
        <v>1</v>
      </c>
      <c r="AJ101" s="34">
        <v>1</v>
      </c>
      <c r="AK101" s="34">
        <v>1</v>
      </c>
      <c r="AL101" s="10">
        <f t="shared" si="14"/>
        <v>9</v>
      </c>
      <c r="AM101" s="12">
        <v>33000</v>
      </c>
      <c r="AN101" s="12">
        <f t="shared" si="15"/>
        <v>297000</v>
      </c>
    </row>
    <row r="102" spans="1:40">
      <c r="A102" s="51" t="s">
        <v>36</v>
      </c>
      <c r="B102" s="35">
        <v>404</v>
      </c>
      <c r="C102" s="36" t="s">
        <v>476</v>
      </c>
      <c r="D102" s="36" t="s">
        <v>532</v>
      </c>
      <c r="E102" s="36" t="s">
        <v>37</v>
      </c>
      <c r="F102" s="35" t="s">
        <v>486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34">
        <v>1</v>
      </c>
      <c r="AD102" s="34">
        <v>1</v>
      </c>
      <c r="AE102" s="34">
        <v>1</v>
      </c>
      <c r="AF102" s="34">
        <v>1</v>
      </c>
      <c r="AG102" s="34">
        <v>1</v>
      </c>
      <c r="AH102" s="34">
        <v>1</v>
      </c>
      <c r="AI102" s="34">
        <v>1</v>
      </c>
      <c r="AJ102" s="34">
        <v>1</v>
      </c>
      <c r="AK102" s="34">
        <v>1</v>
      </c>
      <c r="AL102" s="10">
        <f t="shared" si="14"/>
        <v>9</v>
      </c>
      <c r="AM102" s="12">
        <v>33000</v>
      </c>
      <c r="AN102" s="12">
        <f t="shared" si="15"/>
        <v>297000</v>
      </c>
    </row>
    <row r="103" spans="1:40">
      <c r="A103" s="51" t="s">
        <v>36</v>
      </c>
      <c r="B103" s="75">
        <v>406</v>
      </c>
      <c r="C103" s="36" t="s">
        <v>52</v>
      </c>
      <c r="D103" s="36" t="s">
        <v>17</v>
      </c>
      <c r="E103" s="36" t="s">
        <v>53</v>
      </c>
      <c r="F103" s="35" t="s">
        <v>54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34">
        <v>1</v>
      </c>
      <c r="AD103" s="34">
        <v>1</v>
      </c>
      <c r="AE103" s="34">
        <v>1</v>
      </c>
      <c r="AF103" s="34">
        <v>1</v>
      </c>
      <c r="AG103" s="34">
        <v>1</v>
      </c>
      <c r="AH103" s="34">
        <v>1</v>
      </c>
      <c r="AI103" s="34">
        <v>1</v>
      </c>
      <c r="AJ103" s="34">
        <v>1</v>
      </c>
      <c r="AK103" s="34">
        <v>1</v>
      </c>
      <c r="AL103" s="72">
        <f t="shared" si="14"/>
        <v>9</v>
      </c>
      <c r="AM103" s="12">
        <v>60000</v>
      </c>
      <c r="AN103" s="12">
        <f t="shared" si="15"/>
        <v>540000</v>
      </c>
    </row>
    <row r="104" spans="1:40">
      <c r="A104" s="51" t="s">
        <v>36</v>
      </c>
      <c r="B104" s="35">
        <v>604</v>
      </c>
      <c r="C104" s="36" t="s">
        <v>18</v>
      </c>
      <c r="D104" s="36" t="s">
        <v>19</v>
      </c>
      <c r="E104" s="36" t="s">
        <v>20</v>
      </c>
      <c r="F104" s="35" t="s">
        <v>448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34">
        <v>1</v>
      </c>
      <c r="AD104" s="34">
        <v>1</v>
      </c>
      <c r="AE104" s="34">
        <v>1</v>
      </c>
      <c r="AF104" s="34">
        <v>1</v>
      </c>
      <c r="AG104" s="34">
        <v>1</v>
      </c>
      <c r="AH104" s="34">
        <v>1</v>
      </c>
      <c r="AI104" s="34">
        <v>1</v>
      </c>
      <c r="AJ104" s="34">
        <v>1</v>
      </c>
      <c r="AK104" s="34">
        <v>1</v>
      </c>
      <c r="AL104" s="10">
        <f t="shared" si="14"/>
        <v>9</v>
      </c>
      <c r="AM104" s="12">
        <v>33000</v>
      </c>
      <c r="AN104" s="12">
        <f t="shared" si="15"/>
        <v>297000</v>
      </c>
    </row>
    <row r="105" spans="1:40">
      <c r="A105" s="51" t="s">
        <v>36</v>
      </c>
      <c r="B105" s="35">
        <v>604</v>
      </c>
      <c r="C105" s="36" t="s">
        <v>310</v>
      </c>
      <c r="D105" s="36" t="s">
        <v>284</v>
      </c>
      <c r="E105" s="36" t="s">
        <v>1279</v>
      </c>
      <c r="F105" s="35" t="s">
        <v>449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34">
        <v>1</v>
      </c>
      <c r="AD105" s="34">
        <v>1</v>
      </c>
      <c r="AE105" s="34">
        <v>1</v>
      </c>
      <c r="AF105" s="34">
        <v>1</v>
      </c>
      <c r="AG105" s="34">
        <v>1</v>
      </c>
      <c r="AH105" s="34">
        <v>1</v>
      </c>
      <c r="AI105" s="34">
        <v>1</v>
      </c>
      <c r="AJ105" s="34">
        <v>1</v>
      </c>
      <c r="AK105" s="34">
        <v>1</v>
      </c>
      <c r="AL105" s="10">
        <f t="shared" si="14"/>
        <v>9</v>
      </c>
      <c r="AM105" s="12">
        <v>33000</v>
      </c>
      <c r="AN105" s="12">
        <f t="shared" si="15"/>
        <v>297000</v>
      </c>
    </row>
    <row r="106" spans="1:40">
      <c r="A106" s="51" t="s">
        <v>36</v>
      </c>
      <c r="B106" s="35">
        <v>903</v>
      </c>
      <c r="C106" s="36" t="s">
        <v>468</v>
      </c>
      <c r="D106" s="36" t="s">
        <v>469</v>
      </c>
      <c r="E106" s="36" t="s">
        <v>544</v>
      </c>
      <c r="F106" s="35" t="s">
        <v>471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34">
        <v>1</v>
      </c>
      <c r="AD106" s="34">
        <v>1</v>
      </c>
      <c r="AE106" s="34">
        <v>1</v>
      </c>
      <c r="AF106" s="34">
        <v>1</v>
      </c>
      <c r="AG106" s="34">
        <v>1</v>
      </c>
      <c r="AH106" s="34">
        <v>1</v>
      </c>
      <c r="AI106" s="34">
        <v>1</v>
      </c>
      <c r="AJ106" s="34">
        <v>1</v>
      </c>
      <c r="AK106" s="34">
        <v>1</v>
      </c>
      <c r="AL106" s="10">
        <f t="shared" si="14"/>
        <v>9</v>
      </c>
      <c r="AM106" s="12">
        <v>33000</v>
      </c>
      <c r="AN106" s="12">
        <f t="shared" si="15"/>
        <v>297000</v>
      </c>
    </row>
    <row r="107" spans="1:40">
      <c r="A107" s="51" t="s">
        <v>36</v>
      </c>
      <c r="B107" s="35">
        <v>903</v>
      </c>
      <c r="C107" s="36" t="s">
        <v>533</v>
      </c>
      <c r="D107" s="36" t="s">
        <v>475</v>
      </c>
      <c r="E107" s="36" t="s">
        <v>217</v>
      </c>
      <c r="F107" s="35" t="s">
        <v>49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34">
        <v>1</v>
      </c>
      <c r="AD107" s="34">
        <v>1</v>
      </c>
      <c r="AE107" s="34">
        <v>1</v>
      </c>
      <c r="AF107" s="34">
        <v>1</v>
      </c>
      <c r="AG107" s="34">
        <v>1</v>
      </c>
      <c r="AH107" s="34">
        <v>1</v>
      </c>
      <c r="AI107" s="34">
        <v>1</v>
      </c>
      <c r="AJ107" s="34">
        <v>1</v>
      </c>
      <c r="AK107" s="34">
        <v>1</v>
      </c>
      <c r="AL107" s="10">
        <f t="shared" si="14"/>
        <v>9</v>
      </c>
      <c r="AM107" s="12">
        <v>33000</v>
      </c>
      <c r="AN107" s="12">
        <f t="shared" si="15"/>
        <v>297000</v>
      </c>
    </row>
    <row r="108" spans="1:40">
      <c r="A108" s="51" t="s">
        <v>36</v>
      </c>
      <c r="B108" s="35">
        <v>1101</v>
      </c>
      <c r="C108" s="36" t="s">
        <v>60</v>
      </c>
      <c r="D108" s="36" t="s">
        <v>16</v>
      </c>
      <c r="E108" s="36" t="s">
        <v>472</v>
      </c>
      <c r="F108" s="35" t="s">
        <v>61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34">
        <v>1</v>
      </c>
      <c r="AD108" s="34">
        <v>1</v>
      </c>
      <c r="AE108" s="34">
        <v>1</v>
      </c>
      <c r="AF108" s="34">
        <v>1</v>
      </c>
      <c r="AG108" s="34">
        <v>1</v>
      </c>
      <c r="AH108" s="34">
        <v>1</v>
      </c>
      <c r="AI108" s="34">
        <v>1</v>
      </c>
      <c r="AJ108" s="34">
        <v>1</v>
      </c>
      <c r="AK108" s="34">
        <v>1</v>
      </c>
      <c r="AL108" s="10">
        <f t="shared" si="14"/>
        <v>9</v>
      </c>
      <c r="AM108" s="12">
        <v>33000</v>
      </c>
      <c r="AN108" s="12">
        <f t="shared" si="15"/>
        <v>297000</v>
      </c>
    </row>
    <row r="109" spans="1:40">
      <c r="A109" s="51" t="s">
        <v>36</v>
      </c>
      <c r="B109" s="35">
        <v>1101</v>
      </c>
      <c r="C109" s="36" t="s">
        <v>56</v>
      </c>
      <c r="D109" s="36" t="s">
        <v>473</v>
      </c>
      <c r="E109" s="36" t="s">
        <v>57</v>
      </c>
      <c r="F109" s="35" t="s">
        <v>58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34">
        <v>1</v>
      </c>
      <c r="AD109" s="34">
        <v>1</v>
      </c>
      <c r="AE109" s="34">
        <v>1</v>
      </c>
      <c r="AF109" s="34">
        <v>1</v>
      </c>
      <c r="AG109" s="34">
        <v>1</v>
      </c>
      <c r="AH109" s="34">
        <v>1</v>
      </c>
      <c r="AI109" s="34">
        <v>1</v>
      </c>
      <c r="AJ109" s="34">
        <v>1</v>
      </c>
      <c r="AK109" s="34">
        <v>1</v>
      </c>
      <c r="AL109" s="10">
        <f t="shared" si="14"/>
        <v>9</v>
      </c>
      <c r="AM109" s="12">
        <v>33000</v>
      </c>
      <c r="AN109" s="12">
        <f t="shared" si="15"/>
        <v>297000</v>
      </c>
    </row>
    <row r="110" spans="1:40">
      <c r="A110" s="51" t="s">
        <v>36</v>
      </c>
      <c r="B110" s="35">
        <v>1302</v>
      </c>
      <c r="C110" s="36" t="s">
        <v>12</v>
      </c>
      <c r="D110" s="36" t="s">
        <v>72</v>
      </c>
      <c r="E110" s="36" t="s">
        <v>545</v>
      </c>
      <c r="F110" s="35" t="s">
        <v>487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34">
        <v>1</v>
      </c>
      <c r="AD110" s="34">
        <v>1</v>
      </c>
      <c r="AE110" s="34">
        <v>1</v>
      </c>
      <c r="AF110" s="34">
        <v>1</v>
      </c>
      <c r="AG110" s="34">
        <v>1</v>
      </c>
      <c r="AH110" s="34">
        <v>1</v>
      </c>
      <c r="AI110" s="34">
        <v>1</v>
      </c>
      <c r="AJ110" s="34">
        <v>1</v>
      </c>
      <c r="AK110" s="34">
        <v>1</v>
      </c>
      <c r="AL110" s="10">
        <f t="shared" si="14"/>
        <v>9</v>
      </c>
      <c r="AM110" s="12">
        <v>33000</v>
      </c>
      <c r="AN110" s="12">
        <f t="shared" si="15"/>
        <v>297000</v>
      </c>
    </row>
    <row r="111" spans="1:40">
      <c r="A111" s="51" t="s">
        <v>36</v>
      </c>
      <c r="B111" s="35">
        <v>1302</v>
      </c>
      <c r="C111" s="36" t="s">
        <v>297</v>
      </c>
      <c r="D111" s="36" t="s">
        <v>546</v>
      </c>
      <c r="E111" s="36" t="s">
        <v>1273</v>
      </c>
      <c r="F111" s="35" t="s">
        <v>240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34">
        <v>1</v>
      </c>
      <c r="AD111" s="34">
        <v>1</v>
      </c>
      <c r="AE111" s="34">
        <v>1</v>
      </c>
      <c r="AF111" s="34">
        <v>1</v>
      </c>
      <c r="AG111" s="34">
        <v>1</v>
      </c>
      <c r="AH111" s="34">
        <v>1</v>
      </c>
      <c r="AI111" s="34">
        <v>1</v>
      </c>
      <c r="AJ111" s="34">
        <v>1</v>
      </c>
      <c r="AK111" s="34">
        <v>1</v>
      </c>
      <c r="AL111" s="10">
        <f t="shared" si="14"/>
        <v>9</v>
      </c>
      <c r="AM111" s="12">
        <v>33000</v>
      </c>
      <c r="AN111" s="12">
        <f t="shared" si="15"/>
        <v>297000</v>
      </c>
    </row>
    <row r="112" spans="1:40">
      <c r="A112" s="51" t="s">
        <v>36</v>
      </c>
      <c r="B112" s="35">
        <v>1402</v>
      </c>
      <c r="C112" s="36" t="s">
        <v>319</v>
      </c>
      <c r="D112" s="36"/>
      <c r="E112" s="36" t="s">
        <v>144</v>
      </c>
      <c r="F112" s="35" t="s">
        <v>1338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34">
        <v>1</v>
      </c>
      <c r="AD112" s="46"/>
      <c r="AE112" s="46"/>
      <c r="AF112" s="46"/>
      <c r="AG112" s="46"/>
      <c r="AH112" s="46"/>
      <c r="AI112" s="46"/>
      <c r="AJ112" s="34">
        <v>1</v>
      </c>
      <c r="AK112" s="34">
        <v>1</v>
      </c>
      <c r="AL112" s="10">
        <f t="shared" si="14"/>
        <v>3</v>
      </c>
      <c r="AM112" s="12">
        <v>33000</v>
      </c>
      <c r="AN112" s="12">
        <f t="shared" si="15"/>
        <v>99000</v>
      </c>
    </row>
    <row r="113" spans="1:41">
      <c r="A113" s="51" t="s">
        <v>36</v>
      </c>
      <c r="B113" s="35">
        <v>1402</v>
      </c>
      <c r="C113" s="36" t="s">
        <v>456</v>
      </c>
      <c r="D113" s="36" t="s">
        <v>479</v>
      </c>
      <c r="E113" s="36" t="s">
        <v>194</v>
      </c>
      <c r="F113" s="35" t="s">
        <v>451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34">
        <v>1</v>
      </c>
      <c r="AD113" s="34">
        <v>1</v>
      </c>
      <c r="AE113" s="34">
        <v>1</v>
      </c>
      <c r="AF113" s="34">
        <v>1</v>
      </c>
      <c r="AG113" s="34">
        <v>1</v>
      </c>
      <c r="AH113" s="34">
        <v>1</v>
      </c>
      <c r="AI113" s="34">
        <v>1</v>
      </c>
      <c r="AJ113" s="34">
        <v>1</v>
      </c>
      <c r="AK113" s="34">
        <v>1</v>
      </c>
      <c r="AL113" s="10">
        <f t="shared" si="14"/>
        <v>9</v>
      </c>
      <c r="AM113" s="12">
        <v>33000</v>
      </c>
      <c r="AN113" s="12">
        <f t="shared" si="15"/>
        <v>297000</v>
      </c>
    </row>
    <row r="114" spans="1:41">
      <c r="A114" s="51" t="s">
        <v>36</v>
      </c>
      <c r="B114" s="32">
        <v>503</v>
      </c>
      <c r="C114" s="33" t="s">
        <v>1462</v>
      </c>
      <c r="D114" s="33"/>
      <c r="E114" s="33" t="s">
        <v>24</v>
      </c>
      <c r="F114" s="32" t="s">
        <v>1278</v>
      </c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34">
        <v>1</v>
      </c>
      <c r="AI114" s="34">
        <v>1</v>
      </c>
      <c r="AJ114" s="34">
        <v>1</v>
      </c>
      <c r="AK114" s="34">
        <v>1</v>
      </c>
      <c r="AL114" s="10">
        <f t="shared" ref="AL114:AL115" si="18">SUM(G114:AK114)</f>
        <v>4</v>
      </c>
      <c r="AM114" s="12">
        <v>33000</v>
      </c>
      <c r="AN114" s="12">
        <f t="shared" ref="AN114:AN115" si="19">AM114*AL114</f>
        <v>132000</v>
      </c>
    </row>
    <row r="115" spans="1:41">
      <c r="A115" s="51" t="s">
        <v>36</v>
      </c>
      <c r="B115" s="32">
        <v>503</v>
      </c>
      <c r="C115" s="33" t="s">
        <v>585</v>
      </c>
      <c r="D115" s="33"/>
      <c r="E115" s="33" t="s">
        <v>144</v>
      </c>
      <c r="F115" s="32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34">
        <v>1</v>
      </c>
      <c r="AI115" s="34">
        <v>1</v>
      </c>
      <c r="AJ115" s="34">
        <v>1</v>
      </c>
      <c r="AK115" s="34">
        <v>1</v>
      </c>
      <c r="AL115" s="10">
        <f t="shared" si="18"/>
        <v>4</v>
      </c>
      <c r="AM115" s="12">
        <v>33000</v>
      </c>
      <c r="AN115" s="12">
        <f t="shared" si="19"/>
        <v>132000</v>
      </c>
    </row>
    <row r="116" spans="1:41" ht="12.75" customHeight="1">
      <c r="A116" s="40"/>
      <c r="B116" s="40"/>
      <c r="C116" s="41"/>
      <c r="D116" s="41"/>
      <c r="E116" s="41"/>
      <c r="F116" s="40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42"/>
      <c r="AM116" s="43"/>
      <c r="AN116" s="43"/>
    </row>
    <row r="117" spans="1:41">
      <c r="A117" s="3"/>
      <c r="G117" s="16">
        <f t="shared" ref="G117:AL117" si="20">SUM(G10:G116)</f>
        <v>19</v>
      </c>
      <c r="H117" s="16">
        <f t="shared" si="20"/>
        <v>20</v>
      </c>
      <c r="I117" s="16">
        <f t="shared" si="20"/>
        <v>18</v>
      </c>
      <c r="J117" s="16">
        <f t="shared" si="20"/>
        <v>18</v>
      </c>
      <c r="K117" s="16">
        <f t="shared" si="20"/>
        <v>18</v>
      </c>
      <c r="L117" s="16">
        <f t="shared" si="20"/>
        <v>18</v>
      </c>
      <c r="M117" s="16">
        <f t="shared" si="20"/>
        <v>19</v>
      </c>
      <c r="N117" s="16">
        <f t="shared" si="20"/>
        <v>19</v>
      </c>
      <c r="O117" s="16">
        <f t="shared" si="20"/>
        <v>20</v>
      </c>
      <c r="P117" s="16">
        <f t="shared" si="20"/>
        <v>18</v>
      </c>
      <c r="Q117" s="16">
        <f t="shared" si="20"/>
        <v>17</v>
      </c>
      <c r="R117" s="16">
        <f t="shared" si="20"/>
        <v>17</v>
      </c>
      <c r="S117" s="16">
        <f t="shared" si="20"/>
        <v>17</v>
      </c>
      <c r="T117" s="16">
        <f t="shared" si="20"/>
        <v>18</v>
      </c>
      <c r="U117" s="16">
        <f t="shared" si="20"/>
        <v>18</v>
      </c>
      <c r="V117" s="16">
        <f t="shared" si="20"/>
        <v>21</v>
      </c>
      <c r="W117" s="16">
        <f t="shared" si="20"/>
        <v>21</v>
      </c>
      <c r="X117" s="16">
        <f t="shared" si="20"/>
        <v>21</v>
      </c>
      <c r="Y117" s="16">
        <f t="shared" si="20"/>
        <v>21</v>
      </c>
      <c r="Z117" s="16">
        <f t="shared" si="20"/>
        <v>21</v>
      </c>
      <c r="AA117" s="16">
        <f t="shared" si="20"/>
        <v>21</v>
      </c>
      <c r="AB117" s="16">
        <f t="shared" si="20"/>
        <v>21</v>
      </c>
      <c r="AC117" s="16">
        <f t="shared" si="20"/>
        <v>20</v>
      </c>
      <c r="AD117" s="16">
        <f t="shared" si="20"/>
        <v>20</v>
      </c>
      <c r="AE117" s="16">
        <f t="shared" si="20"/>
        <v>20</v>
      </c>
      <c r="AF117" s="16">
        <f t="shared" si="20"/>
        <v>20</v>
      </c>
      <c r="AG117" s="16">
        <f t="shared" si="20"/>
        <v>20</v>
      </c>
      <c r="AH117" s="16">
        <f t="shared" si="20"/>
        <v>22</v>
      </c>
      <c r="AI117" s="16">
        <f t="shared" si="20"/>
        <v>22</v>
      </c>
      <c r="AJ117" s="16">
        <f t="shared" si="20"/>
        <v>23</v>
      </c>
      <c r="AK117" s="16">
        <f t="shared" si="20"/>
        <v>23</v>
      </c>
      <c r="AL117" s="16">
        <f t="shared" si="20"/>
        <v>611</v>
      </c>
      <c r="AO117" s="3" t="s">
        <v>29</v>
      </c>
    </row>
    <row r="118" spans="1:41">
      <c r="A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41">
      <c r="A119" s="3"/>
    </row>
    <row r="120" spans="1:41">
      <c r="A120" s="3"/>
      <c r="B120" s="85" t="s">
        <v>1231</v>
      </c>
      <c r="C120" s="85"/>
      <c r="D120" s="85"/>
      <c r="E120" s="85"/>
      <c r="F120" s="85"/>
      <c r="G120" s="67">
        <f>G117</f>
        <v>19</v>
      </c>
      <c r="H120" s="67">
        <f t="shared" ref="H120:AK120" si="21">H117</f>
        <v>20</v>
      </c>
      <c r="I120" s="67">
        <f t="shared" si="21"/>
        <v>18</v>
      </c>
      <c r="J120" s="67">
        <f t="shared" si="21"/>
        <v>18</v>
      </c>
      <c r="K120" s="67">
        <f t="shared" si="21"/>
        <v>18</v>
      </c>
      <c r="L120" s="67">
        <f t="shared" si="21"/>
        <v>18</v>
      </c>
      <c r="M120" s="67">
        <f t="shared" si="21"/>
        <v>19</v>
      </c>
      <c r="N120" s="67">
        <f t="shared" si="21"/>
        <v>19</v>
      </c>
      <c r="O120" s="67">
        <f t="shared" si="21"/>
        <v>20</v>
      </c>
      <c r="P120" s="67">
        <f t="shared" si="21"/>
        <v>18</v>
      </c>
      <c r="Q120" s="67">
        <f t="shared" si="21"/>
        <v>17</v>
      </c>
      <c r="R120" s="67">
        <f t="shared" si="21"/>
        <v>17</v>
      </c>
      <c r="S120" s="67">
        <f t="shared" si="21"/>
        <v>17</v>
      </c>
      <c r="T120" s="67">
        <f t="shared" si="21"/>
        <v>18</v>
      </c>
      <c r="U120" s="67">
        <f t="shared" si="21"/>
        <v>18</v>
      </c>
      <c r="V120" s="67">
        <f t="shared" si="21"/>
        <v>21</v>
      </c>
      <c r="W120" s="67">
        <f t="shared" si="21"/>
        <v>21</v>
      </c>
      <c r="X120" s="67">
        <f t="shared" si="21"/>
        <v>21</v>
      </c>
      <c r="Y120" s="67">
        <f t="shared" si="21"/>
        <v>21</v>
      </c>
      <c r="Z120" s="67">
        <f t="shared" si="21"/>
        <v>21</v>
      </c>
      <c r="AA120" s="67">
        <f t="shared" si="21"/>
        <v>21</v>
      </c>
      <c r="AB120" s="67">
        <f t="shared" si="21"/>
        <v>21</v>
      </c>
      <c r="AC120" s="67">
        <f t="shared" si="21"/>
        <v>20</v>
      </c>
      <c r="AD120" s="67">
        <f t="shared" si="21"/>
        <v>20</v>
      </c>
      <c r="AE120" s="67">
        <f t="shared" si="21"/>
        <v>20</v>
      </c>
      <c r="AF120" s="67">
        <f t="shared" si="21"/>
        <v>20</v>
      </c>
      <c r="AG120" s="67">
        <f t="shared" si="21"/>
        <v>20</v>
      </c>
      <c r="AH120" s="67">
        <f t="shared" si="21"/>
        <v>22</v>
      </c>
      <c r="AI120" s="67">
        <f t="shared" si="21"/>
        <v>22</v>
      </c>
      <c r="AJ120" s="67">
        <f t="shared" si="21"/>
        <v>23</v>
      </c>
      <c r="AK120" s="67">
        <f t="shared" si="21"/>
        <v>23</v>
      </c>
      <c r="AL120" s="67">
        <f>SUM(G120:AK120)</f>
        <v>611</v>
      </c>
      <c r="AM120" s="61"/>
      <c r="AN120" s="62"/>
    </row>
    <row r="121" spans="1:41">
      <c r="A121" s="3"/>
      <c r="B121" s="85" t="s">
        <v>1232</v>
      </c>
      <c r="C121" s="85"/>
      <c r="D121" s="85"/>
      <c r="E121" s="85"/>
      <c r="F121" s="85"/>
      <c r="G121" s="67">
        <v>20</v>
      </c>
      <c r="H121" s="67">
        <v>20</v>
      </c>
      <c r="I121" s="67">
        <v>20</v>
      </c>
      <c r="J121" s="67">
        <v>20</v>
      </c>
      <c r="K121" s="67">
        <v>20</v>
      </c>
      <c r="L121" s="67">
        <v>20</v>
      </c>
      <c r="M121" s="67">
        <v>20</v>
      </c>
      <c r="N121" s="67">
        <v>20</v>
      </c>
      <c r="O121" s="67">
        <v>20</v>
      </c>
      <c r="P121" s="67">
        <v>20</v>
      </c>
      <c r="Q121" s="67">
        <v>20</v>
      </c>
      <c r="R121" s="67">
        <v>20</v>
      </c>
      <c r="S121" s="67">
        <v>20</v>
      </c>
      <c r="T121" s="67">
        <v>20</v>
      </c>
      <c r="U121" s="67">
        <v>20</v>
      </c>
      <c r="V121" s="67">
        <v>21</v>
      </c>
      <c r="W121" s="67">
        <v>21</v>
      </c>
      <c r="X121" s="67">
        <v>21</v>
      </c>
      <c r="Y121" s="67">
        <v>21</v>
      </c>
      <c r="Z121" s="67">
        <v>21</v>
      </c>
      <c r="AA121" s="67">
        <v>21</v>
      </c>
      <c r="AB121" s="67">
        <v>21</v>
      </c>
      <c r="AC121" s="67">
        <v>21</v>
      </c>
      <c r="AD121" s="67">
        <v>21</v>
      </c>
      <c r="AE121" s="67">
        <v>21</v>
      </c>
      <c r="AF121" s="67">
        <v>21</v>
      </c>
      <c r="AG121" s="67">
        <v>21</v>
      </c>
      <c r="AH121" s="67">
        <v>23</v>
      </c>
      <c r="AI121" s="67">
        <v>23</v>
      </c>
      <c r="AJ121" s="67">
        <v>23</v>
      </c>
      <c r="AK121" s="67">
        <v>23</v>
      </c>
      <c r="AL121" s="61"/>
      <c r="AM121" s="61"/>
      <c r="AN121" s="68">
        <f>SUM(AN10:AN120)</f>
        <v>20649000</v>
      </c>
    </row>
    <row r="122" spans="1:41">
      <c r="A122" s="3"/>
      <c r="B122" s="85" t="s">
        <v>1233</v>
      </c>
      <c r="C122" s="85"/>
      <c r="D122" s="85"/>
      <c r="E122" s="85"/>
      <c r="F122" s="85"/>
      <c r="G122" s="67">
        <f>G121-G120</f>
        <v>1</v>
      </c>
      <c r="H122" s="67">
        <f t="shared" ref="H122:AK122" si="22">H121-H120</f>
        <v>0</v>
      </c>
      <c r="I122" s="67">
        <f t="shared" si="22"/>
        <v>2</v>
      </c>
      <c r="J122" s="67">
        <f t="shared" si="22"/>
        <v>2</v>
      </c>
      <c r="K122" s="67">
        <f t="shared" si="22"/>
        <v>2</v>
      </c>
      <c r="L122" s="67">
        <f t="shared" si="22"/>
        <v>2</v>
      </c>
      <c r="M122" s="67">
        <f t="shared" si="22"/>
        <v>1</v>
      </c>
      <c r="N122" s="67">
        <f t="shared" si="22"/>
        <v>1</v>
      </c>
      <c r="O122" s="67">
        <f t="shared" si="22"/>
        <v>0</v>
      </c>
      <c r="P122" s="67">
        <f t="shared" si="22"/>
        <v>2</v>
      </c>
      <c r="Q122" s="67">
        <f t="shared" si="22"/>
        <v>3</v>
      </c>
      <c r="R122" s="67">
        <f t="shared" si="22"/>
        <v>3</v>
      </c>
      <c r="S122" s="67">
        <f t="shared" si="22"/>
        <v>3</v>
      </c>
      <c r="T122" s="67">
        <f t="shared" si="22"/>
        <v>2</v>
      </c>
      <c r="U122" s="67">
        <f t="shared" si="22"/>
        <v>2</v>
      </c>
      <c r="V122" s="67">
        <f t="shared" si="22"/>
        <v>0</v>
      </c>
      <c r="W122" s="67">
        <f t="shared" si="22"/>
        <v>0</v>
      </c>
      <c r="X122" s="67">
        <f t="shared" si="22"/>
        <v>0</v>
      </c>
      <c r="Y122" s="67">
        <f t="shared" si="22"/>
        <v>0</v>
      </c>
      <c r="Z122" s="67">
        <f t="shared" si="22"/>
        <v>0</v>
      </c>
      <c r="AA122" s="67">
        <f t="shared" si="22"/>
        <v>0</v>
      </c>
      <c r="AB122" s="67">
        <f t="shared" si="22"/>
        <v>0</v>
      </c>
      <c r="AC122" s="67">
        <f t="shared" si="22"/>
        <v>1</v>
      </c>
      <c r="AD122" s="67">
        <f t="shared" si="22"/>
        <v>1</v>
      </c>
      <c r="AE122" s="67">
        <f t="shared" si="22"/>
        <v>1</v>
      </c>
      <c r="AF122" s="67">
        <f t="shared" si="22"/>
        <v>1</v>
      </c>
      <c r="AG122" s="67">
        <f t="shared" si="22"/>
        <v>1</v>
      </c>
      <c r="AH122" s="67">
        <f t="shared" si="22"/>
        <v>1</v>
      </c>
      <c r="AI122" s="67">
        <f t="shared" si="22"/>
        <v>1</v>
      </c>
      <c r="AJ122" s="67">
        <f t="shared" si="22"/>
        <v>0</v>
      </c>
      <c r="AK122" s="67">
        <f t="shared" si="22"/>
        <v>0</v>
      </c>
      <c r="AL122" s="67">
        <f t="shared" ref="AL122" si="23">SUM(G122:AK122)</f>
        <v>33</v>
      </c>
      <c r="AM122" s="69">
        <v>20500</v>
      </c>
      <c r="AN122" s="68">
        <f>AM122*AL122</f>
        <v>676500</v>
      </c>
    </row>
    <row r="123" spans="1:41">
      <c r="A123" s="3"/>
      <c r="AL123" s="67">
        <f>SUM(AL120,AL122)</f>
        <v>644</v>
      </c>
      <c r="AM123" s="64" t="s">
        <v>1234</v>
      </c>
      <c r="AN123" s="68">
        <f>SUM(AN121:AN122)</f>
        <v>21325500</v>
      </c>
    </row>
    <row r="124" spans="1:41">
      <c r="A124" s="3"/>
      <c r="AM124" s="61"/>
      <c r="AN124" s="62"/>
    </row>
    <row r="125" spans="1:41" ht="13.5" thickBot="1">
      <c r="A125" s="3"/>
      <c r="AM125" s="61"/>
      <c r="AN125" s="62"/>
    </row>
    <row r="126" spans="1:41" ht="17.25" customHeight="1" thickBot="1">
      <c r="A126" s="81" t="s">
        <v>574</v>
      </c>
      <c r="B126" s="81"/>
      <c r="C126" s="81"/>
      <c r="D126" s="81"/>
      <c r="E126" s="81"/>
      <c r="F126" s="81"/>
      <c r="G126" s="91">
        <v>45839</v>
      </c>
      <c r="H126" s="91">
        <v>45840</v>
      </c>
      <c r="I126" s="91">
        <v>45841</v>
      </c>
      <c r="J126" s="91">
        <v>45842</v>
      </c>
      <c r="K126" s="91">
        <v>45843</v>
      </c>
      <c r="L126" s="91">
        <v>45844</v>
      </c>
      <c r="M126" s="91">
        <v>45845</v>
      </c>
      <c r="N126" s="91">
        <v>45846</v>
      </c>
      <c r="O126" s="91">
        <v>45847</v>
      </c>
      <c r="P126" s="91">
        <v>45848</v>
      </c>
      <c r="Q126" s="91">
        <v>45849</v>
      </c>
      <c r="R126" s="91">
        <v>45850</v>
      </c>
      <c r="S126" s="91">
        <v>45851</v>
      </c>
      <c r="T126" s="91">
        <v>45852</v>
      </c>
      <c r="U126" s="91">
        <v>45853</v>
      </c>
      <c r="V126" s="91">
        <v>45854</v>
      </c>
      <c r="W126" s="91">
        <v>45855</v>
      </c>
      <c r="X126" s="91">
        <v>45856</v>
      </c>
      <c r="Y126" s="91">
        <v>45857</v>
      </c>
      <c r="Z126" s="91">
        <v>45858</v>
      </c>
      <c r="AA126" s="91">
        <v>45859</v>
      </c>
      <c r="AB126" s="91">
        <v>45860</v>
      </c>
      <c r="AC126" s="91">
        <v>45861</v>
      </c>
      <c r="AD126" s="91">
        <v>45862</v>
      </c>
      <c r="AE126" s="91">
        <v>45863</v>
      </c>
      <c r="AF126" s="91">
        <v>45864</v>
      </c>
      <c r="AG126" s="91">
        <v>45865</v>
      </c>
      <c r="AH126" s="91">
        <v>45866</v>
      </c>
      <c r="AI126" s="91">
        <v>45867</v>
      </c>
      <c r="AJ126" s="91">
        <v>45868</v>
      </c>
      <c r="AK126" s="91">
        <v>45869</v>
      </c>
      <c r="AL126" s="87" t="s">
        <v>575</v>
      </c>
      <c r="AM126" s="87"/>
      <c r="AN126" s="87"/>
    </row>
    <row r="127" spans="1:41" ht="12.75" customHeight="1" thickBot="1">
      <c r="A127" s="81"/>
      <c r="B127" s="81"/>
      <c r="C127" s="81"/>
      <c r="D127" s="81"/>
      <c r="E127" s="81"/>
      <c r="F127" s="8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87"/>
      <c r="AM127" s="87"/>
      <c r="AN127" s="87"/>
    </row>
    <row r="128" spans="1:41" ht="11.25" hidden="1" customHeight="1" thickBot="1">
      <c r="A128" s="81"/>
      <c r="B128" s="81"/>
      <c r="C128" s="81"/>
      <c r="D128" s="81"/>
      <c r="E128" s="81"/>
      <c r="F128" s="8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87"/>
      <c r="AM128" s="87"/>
      <c r="AN128" s="87"/>
    </row>
    <row r="129" spans="1:43" ht="17.25" customHeight="1">
      <c r="A129" s="80" t="s">
        <v>31</v>
      </c>
      <c r="B129" s="80"/>
      <c r="C129" s="80"/>
      <c r="D129" s="80"/>
      <c r="E129" s="80"/>
      <c r="F129" s="80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21" t="s">
        <v>5</v>
      </c>
      <c r="AM129" s="21" t="s">
        <v>6</v>
      </c>
      <c r="AN129" s="22" t="s">
        <v>7</v>
      </c>
    </row>
    <row r="130" spans="1:43" ht="17.25" customHeight="1">
      <c r="A130" s="23">
        <v>1</v>
      </c>
      <c r="B130" s="78" t="s">
        <v>32</v>
      </c>
      <c r="C130" s="78"/>
      <c r="D130" s="78"/>
      <c r="E130" s="78"/>
      <c r="F130" s="78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4">
        <v>1</v>
      </c>
      <c r="AC130" s="49"/>
      <c r="AD130" s="49"/>
      <c r="AE130" s="49"/>
      <c r="AF130" s="49"/>
      <c r="AG130" s="49"/>
      <c r="AH130" s="49"/>
      <c r="AI130" s="49"/>
      <c r="AJ130" s="49"/>
      <c r="AK130" s="49"/>
      <c r="AL130" s="24">
        <f>SUM(G130:AK130)</f>
        <v>1</v>
      </c>
      <c r="AM130" s="15">
        <v>8500</v>
      </c>
      <c r="AN130" s="15">
        <f>AM130*AL130</f>
        <v>8500</v>
      </c>
    </row>
    <row r="132" spans="1:43" ht="11.25" customHeight="1">
      <c r="AL132" s="25"/>
      <c r="AM132" s="26" t="s">
        <v>33</v>
      </c>
      <c r="AN132" s="27">
        <f>AN123</f>
        <v>21325500</v>
      </c>
      <c r="AO132" s="25"/>
    </row>
    <row r="133" spans="1:43" ht="11.25" customHeight="1">
      <c r="AL133" s="25"/>
      <c r="AM133" s="26" t="s">
        <v>32</v>
      </c>
      <c r="AN133" s="27">
        <f>AN130</f>
        <v>8500</v>
      </c>
      <c r="AO133" s="25"/>
    </row>
    <row r="134" spans="1:43" ht="14.25" customHeight="1">
      <c r="AL134" s="25"/>
      <c r="AM134" s="28"/>
      <c r="AN134" s="28"/>
      <c r="AO134" s="25"/>
    </row>
    <row r="135" spans="1:43" ht="14.25" customHeight="1">
      <c r="AL135" s="25"/>
      <c r="AM135" s="29" t="s">
        <v>34</v>
      </c>
      <c r="AN135" s="30">
        <f>SUM(AN132:AN133)</f>
        <v>21334000</v>
      </c>
      <c r="AO135" s="25"/>
    </row>
    <row r="136" spans="1:43" ht="14.25" customHeight="1">
      <c r="AL136" s="25"/>
      <c r="AM136" s="29" t="s">
        <v>35</v>
      </c>
      <c r="AN136" s="30">
        <f>AN135*0.19</f>
        <v>4053460</v>
      </c>
      <c r="AO136" s="25"/>
      <c r="AP136" s="86"/>
      <c r="AQ136" s="86"/>
    </row>
    <row r="137" spans="1:43" ht="14.25" customHeight="1">
      <c r="AL137" s="25"/>
      <c r="AM137" s="29" t="s">
        <v>30</v>
      </c>
      <c r="AN137" s="30">
        <f>+AN135+AN136</f>
        <v>25387460</v>
      </c>
      <c r="AO137" s="25"/>
      <c r="AP137" s="2"/>
      <c r="AQ137" s="2"/>
    </row>
    <row r="138" spans="1:43" ht="14.25" customHeight="1">
      <c r="AL138" s="25"/>
      <c r="AM138" s="25"/>
      <c r="AN138" s="25"/>
      <c r="AO138" s="25"/>
      <c r="AP138" s="2"/>
      <c r="AQ138" s="2"/>
    </row>
    <row r="139" spans="1:43" ht="14.25" customHeight="1">
      <c r="AL139" s="25"/>
      <c r="AM139" s="25"/>
      <c r="AN139" s="25"/>
      <c r="AO139" s="25"/>
      <c r="AP139" s="2"/>
      <c r="AQ139" s="2"/>
    </row>
    <row r="140" spans="1:43" ht="14.25" customHeight="1">
      <c r="AL140" s="28"/>
      <c r="AO140" s="28"/>
      <c r="AP140" s="2"/>
      <c r="AQ140" s="2"/>
    </row>
    <row r="141" spans="1:43" ht="14.25" customHeight="1">
      <c r="AL141" s="25"/>
      <c r="AO141" s="25"/>
      <c r="AP141" s="31"/>
      <c r="AQ141" s="31"/>
    </row>
    <row r="142" spans="1:43" ht="14.25" customHeight="1">
      <c r="AL142" s="25"/>
      <c r="AO142" s="25"/>
      <c r="AP142" s="31"/>
      <c r="AQ142" s="31"/>
    </row>
    <row r="143" spans="1:43" ht="14.25" customHeight="1">
      <c r="AL143" s="25"/>
      <c r="AO143" s="25"/>
    </row>
    <row r="144" spans="1:43" ht="20.25">
      <c r="AL144" s="25"/>
      <c r="AO144" s="25"/>
    </row>
    <row r="145" spans="3:41" ht="20.25">
      <c r="AL145" s="25"/>
      <c r="AO145" s="25"/>
    </row>
    <row r="147" spans="3:41">
      <c r="C147" s="77"/>
      <c r="D147" s="77"/>
    </row>
  </sheetData>
  <autoFilter ref="AL9:AN9" xr:uid="{00000000-0001-0000-0000-000000000000}"/>
  <mergeCells count="76">
    <mergeCell ref="B120:F120"/>
    <mergeCell ref="B121:F121"/>
    <mergeCell ref="B122:F122"/>
    <mergeCell ref="AC126:AC129"/>
    <mergeCell ref="AD126:AD129"/>
    <mergeCell ref="O126:O129"/>
    <mergeCell ref="P126:P129"/>
    <mergeCell ref="Q126:Q129"/>
    <mergeCell ref="R126:R129"/>
    <mergeCell ref="S126:S129"/>
    <mergeCell ref="T126:T129"/>
    <mergeCell ref="U126:U129"/>
    <mergeCell ref="V126:V129"/>
    <mergeCell ref="W126:W129"/>
    <mergeCell ref="X126:X129"/>
    <mergeCell ref="Y126:Y129"/>
    <mergeCell ref="Z126:Z129"/>
    <mergeCell ref="AH6:AH9"/>
    <mergeCell ref="AI6:AI9"/>
    <mergeCell ref="AK6:AK9"/>
    <mergeCell ref="AE126:AE129"/>
    <mergeCell ref="AF126:AF129"/>
    <mergeCell ref="AG126:AG129"/>
    <mergeCell ref="AH126:AH129"/>
    <mergeCell ref="AI126:AI129"/>
    <mergeCell ref="AK126:AK129"/>
    <mergeCell ref="AJ6:AJ9"/>
    <mergeCell ref="AJ126:AJ129"/>
    <mergeCell ref="AB6:AB9"/>
    <mergeCell ref="AC6:AC9"/>
    <mergeCell ref="AD6:AD9"/>
    <mergeCell ref="AE6:AE9"/>
    <mergeCell ref="AG6:AG9"/>
    <mergeCell ref="AA6:AA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P136:AQ136"/>
    <mergeCell ref="C147:D147"/>
    <mergeCell ref="AL126:AN128"/>
    <mergeCell ref="A129:F129"/>
    <mergeCell ref="B130:F130"/>
    <mergeCell ref="A126:F128"/>
    <mergeCell ref="G126:G129"/>
    <mergeCell ref="H126:H129"/>
    <mergeCell ref="I126:I129"/>
    <mergeCell ref="J126:J129"/>
    <mergeCell ref="K126:K129"/>
    <mergeCell ref="L126:L129"/>
    <mergeCell ref="M126:M129"/>
    <mergeCell ref="N126:N129"/>
    <mergeCell ref="AA126:AA129"/>
    <mergeCell ref="AB126:AB129"/>
    <mergeCell ref="A1:F5"/>
    <mergeCell ref="G1:AN3"/>
    <mergeCell ref="G4:AN5"/>
    <mergeCell ref="A6:F8"/>
    <mergeCell ref="G6:G9"/>
    <mergeCell ref="AL6:AN8"/>
    <mergeCell ref="AF6:AF9"/>
    <mergeCell ref="H6:H9"/>
    <mergeCell ref="I6:I9"/>
    <mergeCell ref="O6:O9"/>
    <mergeCell ref="P6:P9"/>
    <mergeCell ref="J6:J9"/>
    <mergeCell ref="K6:K9"/>
    <mergeCell ref="L6:L9"/>
    <mergeCell ref="M6:M9"/>
    <mergeCell ref="N6:N9"/>
  </mergeCells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5B74-58C8-4895-86BA-62A2538177FB}">
  <dimension ref="A1:AP55"/>
  <sheetViews>
    <sheetView zoomScale="118" zoomScaleNormal="118" workbookViewId="0">
      <pane xSplit="6" ySplit="9" topLeftCell="G25" activePane="bottomRight" state="frozen"/>
      <selection pane="topRight" activeCell="I1" sqref="I1"/>
      <selection pane="bottomLeft" activeCell="A46" sqref="A46"/>
      <selection pane="bottomRight" activeCell="C18" sqref="C18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36" width="3.7109375" style="3" customWidth="1"/>
    <col min="37" max="37" width="5.5703125" style="3" customWidth="1"/>
    <col min="38" max="38" width="18.28515625" style="3" customWidth="1"/>
    <col min="39" max="39" width="15.5703125" style="3" customWidth="1"/>
    <col min="40" max="40" width="12.42578125" style="3" customWidth="1"/>
    <col min="41" max="43" width="3" style="3" customWidth="1"/>
    <col min="44" max="16384" width="11.42578125" style="3"/>
  </cols>
  <sheetData>
    <row r="1" spans="1:39" ht="12.75" customHeight="1" thickBot="1">
      <c r="A1" s="88"/>
      <c r="B1" s="88"/>
      <c r="C1" s="88"/>
      <c r="D1" s="88"/>
      <c r="E1" s="88"/>
      <c r="F1" s="88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</row>
    <row r="2" spans="1:39" ht="12.75" customHeight="1" thickBot="1">
      <c r="A2" s="88"/>
      <c r="B2" s="88"/>
      <c r="C2" s="88"/>
      <c r="D2" s="88"/>
      <c r="E2" s="88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</row>
    <row r="3" spans="1:39" ht="20.25" customHeight="1" thickBot="1">
      <c r="A3" s="88"/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</row>
    <row r="4" spans="1:39" ht="12.75" customHeight="1" thickBot="1">
      <c r="A4" s="88"/>
      <c r="B4" s="88"/>
      <c r="C4" s="88"/>
      <c r="D4" s="88"/>
      <c r="E4" s="88"/>
      <c r="F4" s="88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</row>
    <row r="5" spans="1:39" ht="7.5" customHeight="1" thickBot="1">
      <c r="A5" s="88"/>
      <c r="B5" s="88"/>
      <c r="C5" s="88"/>
      <c r="D5" s="88"/>
      <c r="E5" s="88"/>
      <c r="F5" s="88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</row>
    <row r="6" spans="1:39" ht="12.75" customHeight="1" thickBot="1">
      <c r="A6" s="81" t="s">
        <v>574</v>
      </c>
      <c r="B6" s="81"/>
      <c r="C6" s="81"/>
      <c r="D6" s="81"/>
      <c r="E6" s="81"/>
      <c r="F6" s="81"/>
      <c r="G6" s="91">
        <v>45839</v>
      </c>
      <c r="H6" s="91">
        <v>45840</v>
      </c>
      <c r="I6" s="91">
        <v>45841</v>
      </c>
      <c r="J6" s="91">
        <v>45842</v>
      </c>
      <c r="K6" s="91">
        <v>45843</v>
      </c>
      <c r="L6" s="91">
        <v>45844</v>
      </c>
      <c r="M6" s="91">
        <v>45845</v>
      </c>
      <c r="N6" s="91">
        <v>45846</v>
      </c>
      <c r="O6" s="91">
        <v>45847</v>
      </c>
      <c r="P6" s="91">
        <v>45848</v>
      </c>
      <c r="Q6" s="91">
        <v>45849</v>
      </c>
      <c r="R6" s="91">
        <v>45850</v>
      </c>
      <c r="S6" s="91">
        <v>45851</v>
      </c>
      <c r="T6" s="91">
        <v>45852</v>
      </c>
      <c r="U6" s="91">
        <v>45853</v>
      </c>
      <c r="V6" s="91">
        <v>45854</v>
      </c>
      <c r="W6" s="91">
        <v>45855</v>
      </c>
      <c r="X6" s="91">
        <v>45856</v>
      </c>
      <c r="Y6" s="91">
        <v>45857</v>
      </c>
      <c r="Z6" s="91">
        <v>45858</v>
      </c>
      <c r="AA6" s="91">
        <v>45859</v>
      </c>
      <c r="AB6" s="91">
        <v>45860</v>
      </c>
      <c r="AC6" s="91">
        <v>45861</v>
      </c>
      <c r="AD6" s="91">
        <v>45862</v>
      </c>
      <c r="AE6" s="91">
        <v>45863</v>
      </c>
      <c r="AF6" s="91">
        <v>45864</v>
      </c>
      <c r="AG6" s="91">
        <v>45865</v>
      </c>
      <c r="AH6" s="91">
        <v>45866</v>
      </c>
      <c r="AI6" s="91">
        <v>45867</v>
      </c>
      <c r="AJ6" s="91">
        <v>45868</v>
      </c>
      <c r="AK6" s="87" t="s">
        <v>575</v>
      </c>
      <c r="AL6" s="87"/>
      <c r="AM6" s="87"/>
    </row>
    <row r="7" spans="1:39" ht="15" customHeight="1" thickBot="1">
      <c r="A7" s="81"/>
      <c r="B7" s="81"/>
      <c r="C7" s="81"/>
      <c r="D7" s="81"/>
      <c r="E7" s="81"/>
      <c r="F7" s="8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87"/>
      <c r="AL7" s="87"/>
      <c r="AM7" s="87"/>
    </row>
    <row r="8" spans="1:39" ht="15.75" customHeight="1" thickBot="1">
      <c r="A8" s="81"/>
      <c r="B8" s="81"/>
      <c r="C8" s="81"/>
      <c r="D8" s="81"/>
      <c r="E8" s="81"/>
      <c r="F8" s="8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87"/>
      <c r="AL8" s="87"/>
      <c r="AM8" s="87"/>
    </row>
    <row r="9" spans="1:39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7" t="s">
        <v>5</v>
      </c>
      <c r="AL9" s="8" t="s">
        <v>6</v>
      </c>
      <c r="AM9" s="9" t="s">
        <v>7</v>
      </c>
    </row>
    <row r="10" spans="1:39">
      <c r="A10" s="58" t="s">
        <v>1177</v>
      </c>
      <c r="B10" s="32">
        <v>202</v>
      </c>
      <c r="C10" s="33" t="s">
        <v>1223</v>
      </c>
      <c r="D10" s="33" t="s">
        <v>224</v>
      </c>
      <c r="E10" s="33" t="s">
        <v>194</v>
      </c>
      <c r="F10" s="32" t="s">
        <v>1224</v>
      </c>
      <c r="G10" s="46"/>
      <c r="H10" s="34">
        <v>1</v>
      </c>
      <c r="I10" s="34">
        <v>1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2">
        <f t="shared" ref="AK10:AK31" si="0">SUM(G10:AJ10)</f>
        <v>2</v>
      </c>
      <c r="AL10" s="11">
        <v>32000</v>
      </c>
      <c r="AM10" s="11">
        <f t="shared" ref="AM10:AM31" si="1">AL10*AK10</f>
        <v>64000</v>
      </c>
    </row>
    <row r="11" spans="1:39">
      <c r="A11" s="58" t="s">
        <v>1177</v>
      </c>
      <c r="B11" s="32">
        <v>202</v>
      </c>
      <c r="C11" s="33" t="s">
        <v>98</v>
      </c>
      <c r="D11" s="33" t="s">
        <v>1227</v>
      </c>
      <c r="E11" s="33" t="s">
        <v>99</v>
      </c>
      <c r="F11" s="32" t="s">
        <v>1099</v>
      </c>
      <c r="G11" s="46"/>
      <c r="H11" s="34">
        <v>1</v>
      </c>
      <c r="I11" s="34">
        <v>1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10">
        <f t="shared" si="0"/>
        <v>2</v>
      </c>
      <c r="AL11" s="11">
        <v>32000</v>
      </c>
      <c r="AM11" s="12">
        <f t="shared" si="1"/>
        <v>64000</v>
      </c>
    </row>
    <row r="12" spans="1:39">
      <c r="A12" s="58" t="s">
        <v>1177</v>
      </c>
      <c r="B12" s="32">
        <v>202</v>
      </c>
      <c r="C12" s="33" t="s">
        <v>864</v>
      </c>
      <c r="D12" s="33" t="s">
        <v>1228</v>
      </c>
      <c r="E12" s="33" t="s">
        <v>96</v>
      </c>
      <c r="F12" s="32">
        <v>444849967</v>
      </c>
      <c r="G12" s="46"/>
      <c r="H12" s="34">
        <v>1</v>
      </c>
      <c r="I12" s="34">
        <v>1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10">
        <f t="shared" si="0"/>
        <v>2</v>
      </c>
      <c r="AL12" s="11">
        <v>32000</v>
      </c>
      <c r="AM12" s="12">
        <f t="shared" si="1"/>
        <v>64000</v>
      </c>
    </row>
    <row r="13" spans="1:39">
      <c r="A13" s="58" t="s">
        <v>1177</v>
      </c>
      <c r="B13" s="32">
        <v>203</v>
      </c>
      <c r="C13" s="33" t="s">
        <v>1180</v>
      </c>
      <c r="D13" s="33" t="s">
        <v>1181</v>
      </c>
      <c r="E13" s="33" t="s">
        <v>24</v>
      </c>
      <c r="F13" s="32" t="s">
        <v>1182</v>
      </c>
      <c r="G13" s="46"/>
      <c r="H13" s="34">
        <v>1</v>
      </c>
      <c r="I13" s="34">
        <v>1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10">
        <f t="shared" si="0"/>
        <v>2</v>
      </c>
      <c r="AL13" s="11">
        <v>32000</v>
      </c>
      <c r="AM13" s="12">
        <f t="shared" si="1"/>
        <v>64000</v>
      </c>
    </row>
    <row r="14" spans="1:39">
      <c r="A14" s="58" t="s">
        <v>1177</v>
      </c>
      <c r="B14" s="32">
        <v>203</v>
      </c>
      <c r="C14" s="33" t="s">
        <v>167</v>
      </c>
      <c r="D14" s="33" t="s">
        <v>1214</v>
      </c>
      <c r="E14" s="33" t="s">
        <v>1215</v>
      </c>
      <c r="F14" s="32" t="s">
        <v>1216</v>
      </c>
      <c r="G14" s="46"/>
      <c r="H14" s="34">
        <v>1</v>
      </c>
      <c r="I14" s="34">
        <v>1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10">
        <f t="shared" si="0"/>
        <v>2</v>
      </c>
      <c r="AL14" s="11">
        <v>32000</v>
      </c>
      <c r="AM14" s="12">
        <f t="shared" si="1"/>
        <v>64000</v>
      </c>
    </row>
    <row r="15" spans="1:39">
      <c r="A15" s="58" t="s">
        <v>1177</v>
      </c>
      <c r="B15" s="32">
        <v>203</v>
      </c>
      <c r="C15" s="33" t="s">
        <v>1221</v>
      </c>
      <c r="D15" s="33" t="s">
        <v>94</v>
      </c>
      <c r="E15" s="33" t="s">
        <v>11</v>
      </c>
      <c r="F15" s="32" t="s">
        <v>1222</v>
      </c>
      <c r="G15" s="46"/>
      <c r="H15" s="34">
        <v>1</v>
      </c>
      <c r="I15" s="34">
        <v>1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10">
        <f t="shared" si="0"/>
        <v>2</v>
      </c>
      <c r="AL15" s="11">
        <v>32000</v>
      </c>
      <c r="AM15" s="12">
        <f t="shared" si="1"/>
        <v>64000</v>
      </c>
    </row>
    <row r="16" spans="1:39">
      <c r="A16" s="58" t="s">
        <v>1177</v>
      </c>
      <c r="B16" s="32">
        <v>204</v>
      </c>
      <c r="C16" s="33" t="s">
        <v>1199</v>
      </c>
      <c r="D16" s="33" t="s">
        <v>181</v>
      </c>
      <c r="E16" s="33" t="s">
        <v>1200</v>
      </c>
      <c r="F16" s="32" t="s">
        <v>1201</v>
      </c>
      <c r="G16" s="46"/>
      <c r="H16" s="34">
        <v>1</v>
      </c>
      <c r="I16" s="34">
        <v>1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10">
        <f t="shared" si="0"/>
        <v>2</v>
      </c>
      <c r="AL16" s="11">
        <v>32000</v>
      </c>
      <c r="AM16" s="12">
        <f t="shared" si="1"/>
        <v>64000</v>
      </c>
    </row>
    <row r="17" spans="1:39">
      <c r="A17" s="58" t="s">
        <v>1177</v>
      </c>
      <c r="B17" s="32">
        <v>204</v>
      </c>
      <c r="C17" s="33" t="s">
        <v>1208</v>
      </c>
      <c r="D17" s="33" t="s">
        <v>297</v>
      </c>
      <c r="E17" s="33" t="s">
        <v>1209</v>
      </c>
      <c r="F17" s="32" t="s">
        <v>1210</v>
      </c>
      <c r="G17" s="46"/>
      <c r="H17" s="34">
        <v>1</v>
      </c>
      <c r="I17" s="34">
        <v>1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10">
        <f t="shared" si="0"/>
        <v>2</v>
      </c>
      <c r="AL17" s="11">
        <v>32000</v>
      </c>
      <c r="AM17" s="12">
        <f t="shared" si="1"/>
        <v>64000</v>
      </c>
    </row>
    <row r="18" spans="1:39">
      <c r="A18" s="58" t="s">
        <v>1177</v>
      </c>
      <c r="B18" s="32">
        <v>301</v>
      </c>
      <c r="C18" s="33" t="s">
        <v>1193</v>
      </c>
      <c r="D18" s="33" t="s">
        <v>1150</v>
      </c>
      <c r="E18" s="33" t="s">
        <v>24</v>
      </c>
      <c r="F18" s="32" t="s">
        <v>1194</v>
      </c>
      <c r="G18" s="46"/>
      <c r="H18" s="34">
        <v>1</v>
      </c>
      <c r="I18" s="34">
        <v>1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10">
        <f t="shared" si="0"/>
        <v>2</v>
      </c>
      <c r="AL18" s="11">
        <v>32000</v>
      </c>
      <c r="AM18" s="12">
        <f t="shared" si="1"/>
        <v>64000</v>
      </c>
    </row>
    <row r="19" spans="1:39">
      <c r="A19" s="58" t="s">
        <v>1177</v>
      </c>
      <c r="B19" s="32">
        <v>303</v>
      </c>
      <c r="C19" s="33" t="s">
        <v>1185</v>
      </c>
      <c r="D19" s="33" t="s">
        <v>1186</v>
      </c>
      <c r="E19" s="33" t="s">
        <v>1187</v>
      </c>
      <c r="F19" s="32" t="s">
        <v>1188</v>
      </c>
      <c r="G19" s="46"/>
      <c r="H19" s="34">
        <v>1</v>
      </c>
      <c r="I19" s="34">
        <v>1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10">
        <f t="shared" si="0"/>
        <v>2</v>
      </c>
      <c r="AL19" s="11">
        <v>32000</v>
      </c>
      <c r="AM19" s="12">
        <f t="shared" si="1"/>
        <v>64000</v>
      </c>
    </row>
    <row r="20" spans="1:39">
      <c r="A20" s="58" t="s">
        <v>1177</v>
      </c>
      <c r="B20" s="32">
        <v>303</v>
      </c>
      <c r="C20" s="33" t="s">
        <v>1197</v>
      </c>
      <c r="D20" s="33" t="s">
        <v>94</v>
      </c>
      <c r="E20" s="33" t="s">
        <v>153</v>
      </c>
      <c r="F20" s="32" t="s">
        <v>1198</v>
      </c>
      <c r="G20" s="46"/>
      <c r="H20" s="34">
        <v>1</v>
      </c>
      <c r="I20" s="34">
        <v>1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10">
        <f t="shared" si="0"/>
        <v>2</v>
      </c>
      <c r="AL20" s="11">
        <v>32000</v>
      </c>
      <c r="AM20" s="12">
        <f t="shared" si="1"/>
        <v>64000</v>
      </c>
    </row>
    <row r="21" spans="1:39">
      <c r="A21" s="58" t="s">
        <v>1177</v>
      </c>
      <c r="B21" s="32">
        <v>305</v>
      </c>
      <c r="C21" s="33" t="s">
        <v>297</v>
      </c>
      <c r="D21" s="33" t="s">
        <v>1189</v>
      </c>
      <c r="E21" s="33" t="s">
        <v>1190</v>
      </c>
      <c r="F21" s="32" t="s">
        <v>1191</v>
      </c>
      <c r="G21" s="46"/>
      <c r="H21" s="34">
        <v>1</v>
      </c>
      <c r="I21" s="34">
        <v>1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10">
        <f t="shared" si="0"/>
        <v>2</v>
      </c>
      <c r="AL21" s="11">
        <v>32000</v>
      </c>
      <c r="AM21" s="12">
        <f t="shared" si="1"/>
        <v>64000</v>
      </c>
    </row>
    <row r="22" spans="1:39">
      <c r="A22" s="58" t="s">
        <v>1177</v>
      </c>
      <c r="B22" s="32">
        <v>305</v>
      </c>
      <c r="C22" s="33" t="s">
        <v>1225</v>
      </c>
      <c r="D22" s="33" t="s">
        <v>94</v>
      </c>
      <c r="E22" s="33" t="s">
        <v>230</v>
      </c>
      <c r="F22" s="32" t="s">
        <v>1226</v>
      </c>
      <c r="G22" s="46"/>
      <c r="H22" s="34">
        <v>1</v>
      </c>
      <c r="I22" s="34">
        <v>1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10">
        <f t="shared" si="0"/>
        <v>2</v>
      </c>
      <c r="AL22" s="11">
        <v>32000</v>
      </c>
      <c r="AM22" s="12">
        <f t="shared" si="1"/>
        <v>64000</v>
      </c>
    </row>
    <row r="23" spans="1:39">
      <c r="A23" s="58" t="s">
        <v>1177</v>
      </c>
      <c r="B23" s="32">
        <v>306</v>
      </c>
      <c r="C23" s="33" t="s">
        <v>1217</v>
      </c>
      <c r="D23" s="33" t="s">
        <v>258</v>
      </c>
      <c r="E23" s="33" t="s">
        <v>135</v>
      </c>
      <c r="F23" s="32" t="s">
        <v>1218</v>
      </c>
      <c r="G23" s="46"/>
      <c r="H23" s="34">
        <v>1</v>
      </c>
      <c r="I23" s="34">
        <v>1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10">
        <f t="shared" si="0"/>
        <v>2</v>
      </c>
      <c r="AL23" s="11">
        <v>32000</v>
      </c>
      <c r="AM23" s="12">
        <f t="shared" si="1"/>
        <v>64000</v>
      </c>
    </row>
    <row r="24" spans="1:39">
      <c r="A24" s="58" t="s">
        <v>1177</v>
      </c>
      <c r="B24" s="32">
        <v>306</v>
      </c>
      <c r="C24" s="33" t="s">
        <v>159</v>
      </c>
      <c r="D24" s="33" t="s">
        <v>26</v>
      </c>
      <c r="E24" s="33" t="s">
        <v>1219</v>
      </c>
      <c r="F24" s="32" t="s">
        <v>1220</v>
      </c>
      <c r="G24" s="46"/>
      <c r="H24" s="34">
        <v>1</v>
      </c>
      <c r="I24" s="34">
        <v>1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10">
        <f t="shared" si="0"/>
        <v>2</v>
      </c>
      <c r="AL24" s="11">
        <v>32000</v>
      </c>
      <c r="AM24" s="12">
        <f t="shared" si="1"/>
        <v>64000</v>
      </c>
    </row>
    <row r="25" spans="1:39">
      <c r="A25" s="58" t="s">
        <v>1177</v>
      </c>
      <c r="B25" s="32">
        <v>401</v>
      </c>
      <c r="C25" s="33" t="s">
        <v>27</v>
      </c>
      <c r="D25" s="33" t="s">
        <v>1202</v>
      </c>
      <c r="E25" s="33" t="s">
        <v>1127</v>
      </c>
      <c r="F25" s="32" t="s">
        <v>1203</v>
      </c>
      <c r="G25" s="46"/>
      <c r="H25" s="34">
        <v>1</v>
      </c>
      <c r="I25" s="34">
        <v>1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10">
        <f t="shared" si="0"/>
        <v>2</v>
      </c>
      <c r="AL25" s="11">
        <v>32000</v>
      </c>
      <c r="AM25" s="12">
        <f t="shared" si="1"/>
        <v>64000</v>
      </c>
    </row>
    <row r="26" spans="1:39">
      <c r="A26" s="58" t="s">
        <v>1177</v>
      </c>
      <c r="B26" s="32">
        <v>402</v>
      </c>
      <c r="C26" s="33" t="s">
        <v>67</v>
      </c>
      <c r="D26" s="33" t="s">
        <v>94</v>
      </c>
      <c r="E26" s="33" t="s">
        <v>1183</v>
      </c>
      <c r="F26" s="32" t="s">
        <v>1184</v>
      </c>
      <c r="G26" s="46"/>
      <c r="H26" s="34">
        <v>1</v>
      </c>
      <c r="I26" s="34">
        <v>1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10">
        <f t="shared" si="0"/>
        <v>2</v>
      </c>
      <c r="AL26" s="11">
        <v>32000</v>
      </c>
      <c r="AM26" s="12">
        <f t="shared" si="1"/>
        <v>64000</v>
      </c>
    </row>
    <row r="27" spans="1:39">
      <c r="A27" s="58" t="s">
        <v>1177</v>
      </c>
      <c r="B27" s="32">
        <v>402</v>
      </c>
      <c r="C27" s="33" t="s">
        <v>1211</v>
      </c>
      <c r="D27" s="33" t="s">
        <v>1212</v>
      </c>
      <c r="E27" s="33" t="s">
        <v>547</v>
      </c>
      <c r="F27" s="32" t="s">
        <v>1213</v>
      </c>
      <c r="G27" s="46"/>
      <c r="H27" s="34">
        <v>1</v>
      </c>
      <c r="I27" s="34">
        <v>1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10">
        <f t="shared" si="0"/>
        <v>2</v>
      </c>
      <c r="AL27" s="11">
        <v>32000</v>
      </c>
      <c r="AM27" s="12">
        <f t="shared" si="1"/>
        <v>64000</v>
      </c>
    </row>
    <row r="28" spans="1:39">
      <c r="A28" s="58" t="s">
        <v>1177</v>
      </c>
      <c r="B28" s="32">
        <v>403</v>
      </c>
      <c r="C28" s="33" t="s">
        <v>1178</v>
      </c>
      <c r="D28" s="33" t="s">
        <v>129</v>
      </c>
      <c r="E28" s="33" t="s">
        <v>21</v>
      </c>
      <c r="F28" s="32" t="s">
        <v>1179</v>
      </c>
      <c r="G28" s="46"/>
      <c r="H28" s="34">
        <v>1</v>
      </c>
      <c r="I28" s="34">
        <v>1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10">
        <f t="shared" si="0"/>
        <v>2</v>
      </c>
      <c r="AL28" s="11">
        <v>32000</v>
      </c>
      <c r="AM28" s="12">
        <f t="shared" si="1"/>
        <v>64000</v>
      </c>
    </row>
    <row r="29" spans="1:39">
      <c r="A29" s="58" t="s">
        <v>1177</v>
      </c>
      <c r="B29" s="32">
        <v>403</v>
      </c>
      <c r="C29" s="33" t="s">
        <v>1204</v>
      </c>
      <c r="D29" s="33" t="s">
        <v>1205</v>
      </c>
      <c r="E29" s="33" t="s">
        <v>1206</v>
      </c>
      <c r="F29" s="32" t="s">
        <v>1207</v>
      </c>
      <c r="G29" s="46"/>
      <c r="H29" s="34">
        <v>1</v>
      </c>
      <c r="I29" s="34">
        <v>1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10">
        <f t="shared" si="0"/>
        <v>2</v>
      </c>
      <c r="AL29" s="11">
        <v>32000</v>
      </c>
      <c r="AM29" s="12">
        <f t="shared" si="1"/>
        <v>64000</v>
      </c>
    </row>
    <row r="30" spans="1:39">
      <c r="A30" s="58" t="s">
        <v>1177</v>
      </c>
      <c r="B30" s="32">
        <v>405</v>
      </c>
      <c r="C30" s="33" t="s">
        <v>19</v>
      </c>
      <c r="D30" s="33" t="s">
        <v>882</v>
      </c>
      <c r="E30" s="33" t="s">
        <v>20</v>
      </c>
      <c r="F30" s="32" t="s">
        <v>1192</v>
      </c>
      <c r="G30" s="46"/>
      <c r="H30" s="34">
        <v>1</v>
      </c>
      <c r="I30" s="34">
        <v>1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10">
        <f t="shared" si="0"/>
        <v>2</v>
      </c>
      <c r="AL30" s="11">
        <v>32000</v>
      </c>
      <c r="AM30" s="12">
        <f t="shared" si="1"/>
        <v>64000</v>
      </c>
    </row>
    <row r="31" spans="1:39">
      <c r="A31" s="58" t="s">
        <v>1177</v>
      </c>
      <c r="B31" s="32">
        <v>501</v>
      </c>
      <c r="C31" s="33" t="s">
        <v>1195</v>
      </c>
      <c r="D31" s="33" t="s">
        <v>753</v>
      </c>
      <c r="E31" s="33" t="s">
        <v>11</v>
      </c>
      <c r="F31" s="32" t="s">
        <v>1196</v>
      </c>
      <c r="G31" s="46"/>
      <c r="H31" s="34">
        <v>1</v>
      </c>
      <c r="I31" s="34">
        <v>1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10">
        <f t="shared" si="0"/>
        <v>2</v>
      </c>
      <c r="AL31" s="11">
        <v>32000</v>
      </c>
      <c r="AM31" s="12">
        <f t="shared" si="1"/>
        <v>64000</v>
      </c>
    </row>
    <row r="32" spans="1:39" ht="12.75" customHeight="1">
      <c r="A32" s="40"/>
      <c r="B32" s="40"/>
      <c r="C32" s="41"/>
      <c r="D32" s="41"/>
      <c r="E32" s="41"/>
      <c r="F32" s="40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42"/>
      <c r="AL32" s="43"/>
      <c r="AM32" s="43"/>
    </row>
    <row r="33" spans="1:42">
      <c r="A33" s="3"/>
      <c r="G33" s="16">
        <f t="shared" ref="G33:AK33" si="2">SUM(G10:G32)</f>
        <v>0</v>
      </c>
      <c r="H33" s="16">
        <f t="shared" si="2"/>
        <v>22</v>
      </c>
      <c r="I33" s="16">
        <f t="shared" si="2"/>
        <v>22</v>
      </c>
      <c r="J33" s="16">
        <f t="shared" si="2"/>
        <v>0</v>
      </c>
      <c r="K33" s="16">
        <f t="shared" si="2"/>
        <v>0</v>
      </c>
      <c r="L33" s="16">
        <f t="shared" si="2"/>
        <v>0</v>
      </c>
      <c r="M33" s="16">
        <f t="shared" si="2"/>
        <v>0</v>
      </c>
      <c r="N33" s="16">
        <f t="shared" si="2"/>
        <v>0</v>
      </c>
      <c r="O33" s="16">
        <f t="shared" si="2"/>
        <v>0</v>
      </c>
      <c r="P33" s="16">
        <f t="shared" si="2"/>
        <v>0</v>
      </c>
      <c r="Q33" s="16">
        <f t="shared" si="2"/>
        <v>0</v>
      </c>
      <c r="R33" s="16">
        <f t="shared" si="2"/>
        <v>0</v>
      </c>
      <c r="S33" s="16">
        <f t="shared" si="2"/>
        <v>0</v>
      </c>
      <c r="T33" s="16">
        <f t="shared" si="2"/>
        <v>0</v>
      </c>
      <c r="U33" s="16">
        <f t="shared" si="2"/>
        <v>0</v>
      </c>
      <c r="V33" s="16">
        <f t="shared" si="2"/>
        <v>0</v>
      </c>
      <c r="W33" s="16">
        <f t="shared" si="2"/>
        <v>0</v>
      </c>
      <c r="X33" s="16">
        <f t="shared" si="2"/>
        <v>0</v>
      </c>
      <c r="Y33" s="16">
        <f t="shared" si="2"/>
        <v>0</v>
      </c>
      <c r="Z33" s="16">
        <f t="shared" si="2"/>
        <v>0</v>
      </c>
      <c r="AA33" s="16">
        <f t="shared" si="2"/>
        <v>0</v>
      </c>
      <c r="AB33" s="16">
        <f t="shared" si="2"/>
        <v>0</v>
      </c>
      <c r="AC33" s="16">
        <f t="shared" si="2"/>
        <v>0</v>
      </c>
      <c r="AD33" s="16">
        <f t="shared" si="2"/>
        <v>0</v>
      </c>
      <c r="AE33" s="16">
        <f t="shared" si="2"/>
        <v>0</v>
      </c>
      <c r="AF33" s="16">
        <f t="shared" si="2"/>
        <v>0</v>
      </c>
      <c r="AG33" s="16">
        <f t="shared" si="2"/>
        <v>0</v>
      </c>
      <c r="AH33" s="16">
        <f t="shared" si="2"/>
        <v>0</v>
      </c>
      <c r="AI33" s="16">
        <f t="shared" si="2"/>
        <v>0</v>
      </c>
      <c r="AJ33" s="16">
        <f t="shared" si="2"/>
        <v>0</v>
      </c>
      <c r="AK33" s="16">
        <f t="shared" si="2"/>
        <v>44</v>
      </c>
      <c r="AN33" s="3" t="s">
        <v>29</v>
      </c>
    </row>
    <row r="34" spans="1:42">
      <c r="A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42">
      <c r="A35" s="3"/>
      <c r="AL35" s="17" t="s">
        <v>30</v>
      </c>
      <c r="AM35" s="18">
        <f>SUM(AM10:AM34)</f>
        <v>1408000</v>
      </c>
    </row>
    <row r="36" spans="1:42" ht="17.25" customHeight="1" thickBot="1">
      <c r="A36" s="19"/>
      <c r="B36" s="20"/>
      <c r="C36" s="19"/>
      <c r="D36" s="19"/>
      <c r="E36" s="19"/>
    </row>
    <row r="37" spans="1:42" ht="17.25" customHeight="1" thickBot="1">
      <c r="A37" s="81" t="s">
        <v>574</v>
      </c>
      <c r="B37" s="81"/>
      <c r="C37" s="81"/>
      <c r="D37" s="81"/>
      <c r="E37" s="81"/>
      <c r="F37" s="81"/>
      <c r="G37" s="91">
        <v>45839</v>
      </c>
      <c r="H37" s="91">
        <v>45840</v>
      </c>
      <c r="I37" s="91">
        <v>45841</v>
      </c>
      <c r="J37" s="91">
        <v>45842</v>
      </c>
      <c r="K37" s="91">
        <v>45843</v>
      </c>
      <c r="L37" s="91">
        <v>45844</v>
      </c>
      <c r="M37" s="91">
        <v>45845</v>
      </c>
      <c r="N37" s="91">
        <v>45846</v>
      </c>
      <c r="O37" s="91">
        <v>45847</v>
      </c>
      <c r="P37" s="91">
        <v>45848</v>
      </c>
      <c r="Q37" s="91">
        <v>45849</v>
      </c>
      <c r="R37" s="91">
        <v>45850</v>
      </c>
      <c r="S37" s="91">
        <v>45851</v>
      </c>
      <c r="T37" s="91">
        <v>45852</v>
      </c>
      <c r="U37" s="91">
        <v>45853</v>
      </c>
      <c r="V37" s="91">
        <v>45854</v>
      </c>
      <c r="W37" s="91">
        <v>45855</v>
      </c>
      <c r="X37" s="91">
        <v>45856</v>
      </c>
      <c r="Y37" s="91">
        <v>45857</v>
      </c>
      <c r="Z37" s="91">
        <v>45858</v>
      </c>
      <c r="AA37" s="91">
        <v>45859</v>
      </c>
      <c r="AB37" s="91">
        <v>45860</v>
      </c>
      <c r="AC37" s="91">
        <v>45861</v>
      </c>
      <c r="AD37" s="91">
        <v>45862</v>
      </c>
      <c r="AE37" s="91">
        <v>45863</v>
      </c>
      <c r="AF37" s="91">
        <v>45864</v>
      </c>
      <c r="AG37" s="91">
        <v>45865</v>
      </c>
      <c r="AH37" s="91">
        <v>45866</v>
      </c>
      <c r="AI37" s="91">
        <v>45867</v>
      </c>
      <c r="AJ37" s="91">
        <v>45868</v>
      </c>
      <c r="AK37" s="87" t="s">
        <v>575</v>
      </c>
      <c r="AL37" s="87"/>
      <c r="AM37" s="87"/>
    </row>
    <row r="38" spans="1:42" ht="12.75" customHeight="1" thickBot="1">
      <c r="A38" s="81"/>
      <c r="B38" s="81"/>
      <c r="C38" s="81"/>
      <c r="D38" s="81"/>
      <c r="E38" s="81"/>
      <c r="F38" s="8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87"/>
      <c r="AL38" s="87"/>
      <c r="AM38" s="87"/>
    </row>
    <row r="39" spans="1:42" ht="11.25" hidden="1" customHeight="1" thickBot="1">
      <c r="A39" s="81"/>
      <c r="B39" s="81"/>
      <c r="C39" s="81"/>
      <c r="D39" s="81"/>
      <c r="E39" s="81"/>
      <c r="F39" s="8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87"/>
      <c r="AL39" s="87"/>
      <c r="AM39" s="87"/>
    </row>
    <row r="40" spans="1:42" ht="17.25" customHeight="1">
      <c r="A40" s="80" t="s">
        <v>31</v>
      </c>
      <c r="B40" s="80"/>
      <c r="C40" s="80"/>
      <c r="D40" s="80"/>
      <c r="E40" s="80"/>
      <c r="F40" s="80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21" t="s">
        <v>5</v>
      </c>
      <c r="AL40" s="21" t="s">
        <v>6</v>
      </c>
      <c r="AM40" s="22" t="s">
        <v>7</v>
      </c>
    </row>
    <row r="41" spans="1:42" ht="17.25" customHeight="1">
      <c r="A41" s="23">
        <v>1</v>
      </c>
      <c r="B41" s="78" t="s">
        <v>32</v>
      </c>
      <c r="C41" s="78"/>
      <c r="D41" s="78"/>
      <c r="E41" s="78"/>
      <c r="F41" s="78"/>
      <c r="G41" s="49"/>
      <c r="H41" s="44">
        <v>13</v>
      </c>
      <c r="I41" s="44">
        <v>16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24">
        <f>SUM(G41:AJ41)</f>
        <v>29</v>
      </c>
      <c r="AL41" s="15">
        <v>8500</v>
      </c>
      <c r="AM41" s="15">
        <f>AL41*AK41</f>
        <v>246500</v>
      </c>
    </row>
    <row r="43" spans="1:42" ht="11.25" customHeight="1">
      <c r="AK43" s="25"/>
      <c r="AL43" s="26" t="s">
        <v>33</v>
      </c>
      <c r="AM43" s="27">
        <f>AM35</f>
        <v>1408000</v>
      </c>
      <c r="AN43" s="25"/>
    </row>
    <row r="44" spans="1:42" ht="11.25" customHeight="1">
      <c r="AK44" s="25"/>
      <c r="AL44" s="26" t="s">
        <v>32</v>
      </c>
      <c r="AM44" s="27">
        <f>AM41</f>
        <v>246500</v>
      </c>
      <c r="AN44" s="25"/>
    </row>
    <row r="45" spans="1:42" ht="14.25" customHeight="1">
      <c r="AK45" s="25"/>
      <c r="AL45" s="28"/>
      <c r="AM45" s="28"/>
      <c r="AN45" s="25"/>
    </row>
    <row r="46" spans="1:42" ht="14.25" customHeight="1">
      <c r="AK46" s="25"/>
      <c r="AL46" s="25"/>
      <c r="AM46" s="25"/>
      <c r="AN46" s="25"/>
      <c r="AO46" s="2"/>
      <c r="AP46" s="2"/>
    </row>
    <row r="47" spans="1:42" ht="14.25" customHeight="1">
      <c r="AK47" s="25"/>
      <c r="AL47" s="25"/>
      <c r="AM47" s="25"/>
      <c r="AN47" s="25"/>
      <c r="AO47" s="2"/>
      <c r="AP47" s="2"/>
    </row>
    <row r="48" spans="1:42" ht="14.25" customHeight="1">
      <c r="AK48" s="28"/>
      <c r="AN48" s="28"/>
      <c r="AO48" s="2"/>
      <c r="AP48" s="2"/>
    </row>
    <row r="49" spans="3:42" ht="14.25" customHeight="1">
      <c r="AK49" s="25"/>
      <c r="AN49" s="25"/>
      <c r="AO49" s="31"/>
      <c r="AP49" s="31"/>
    </row>
    <row r="50" spans="3:42" ht="14.25" customHeight="1">
      <c r="AK50" s="25"/>
      <c r="AN50" s="25"/>
      <c r="AO50" s="31"/>
      <c r="AP50" s="31"/>
    </row>
    <row r="51" spans="3:42" ht="14.25" customHeight="1">
      <c r="AK51" s="25"/>
      <c r="AN51" s="25"/>
    </row>
    <row r="52" spans="3:42" ht="20.25">
      <c r="AK52" s="25"/>
      <c r="AN52" s="25"/>
    </row>
    <row r="53" spans="3:42" ht="20.25">
      <c r="AK53" s="25"/>
      <c r="AN53" s="25"/>
    </row>
    <row r="55" spans="3:42">
      <c r="C55" s="77"/>
      <c r="D55" s="77"/>
    </row>
  </sheetData>
  <autoFilter ref="AK9:AM9" xr:uid="{00000000-0001-0000-0000-000000000000}"/>
  <sortState xmlns:xlrd2="http://schemas.microsoft.com/office/spreadsheetml/2017/richdata2" ref="A10:AM31">
    <sortCondition ref="B10:B31"/>
  </sortState>
  <mergeCells count="70">
    <mergeCell ref="B41:F41"/>
    <mergeCell ref="C55:D55"/>
    <mergeCell ref="AG37:AG40"/>
    <mergeCell ref="AH37:AH40"/>
    <mergeCell ref="AI37:AI40"/>
    <mergeCell ref="P37:P40"/>
    <mergeCell ref="Q37:Q40"/>
    <mergeCell ref="R37:R40"/>
    <mergeCell ref="S37:S40"/>
    <mergeCell ref="T37:T40"/>
    <mergeCell ref="AJ37:AJ40"/>
    <mergeCell ref="AK37:AM39"/>
    <mergeCell ref="A40:F40"/>
    <mergeCell ref="AA37:AA40"/>
    <mergeCell ref="AB37:AB40"/>
    <mergeCell ref="AC37:AC40"/>
    <mergeCell ref="AD37:AD40"/>
    <mergeCell ref="AE37:AE40"/>
    <mergeCell ref="AF37:AF40"/>
    <mergeCell ref="U37:U40"/>
    <mergeCell ref="V37:V40"/>
    <mergeCell ref="W37:W40"/>
    <mergeCell ref="X37:X40"/>
    <mergeCell ref="Y37:Y40"/>
    <mergeCell ref="Z37:Z40"/>
    <mergeCell ref="O37:O40"/>
    <mergeCell ref="AK6:AM8"/>
    <mergeCell ref="A37:F39"/>
    <mergeCell ref="G37:G40"/>
    <mergeCell ref="H37:H40"/>
    <mergeCell ref="I37:I40"/>
    <mergeCell ref="J37:J40"/>
    <mergeCell ref="K37:K40"/>
    <mergeCell ref="L37:L40"/>
    <mergeCell ref="M37:M40"/>
    <mergeCell ref="N37:N40"/>
    <mergeCell ref="AE6:AE9"/>
    <mergeCell ref="AF6:AF9"/>
    <mergeCell ref="AG6:AG9"/>
    <mergeCell ref="AH6:AH9"/>
    <mergeCell ref="AI6:AI9"/>
    <mergeCell ref="AJ6:AJ9"/>
    <mergeCell ref="AD6:AD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R6:R9"/>
    <mergeCell ref="A1:F5"/>
    <mergeCell ref="G1:AM3"/>
    <mergeCell ref="G4:AM5"/>
    <mergeCell ref="A6:F8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</mergeCells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F14B-DF4F-4BD5-B251-F8E12D5AA4F3}">
  <dimension ref="A1:N83"/>
  <sheetViews>
    <sheetView zoomScale="118" zoomScaleNormal="118" workbookViewId="0">
      <pane xSplit="6" ySplit="9" topLeftCell="G49" activePane="bottomRight" state="frozen"/>
      <selection pane="topRight" activeCell="I1" sqref="I1"/>
      <selection pane="bottomLeft" activeCell="A46" sqref="A46"/>
      <selection pane="bottomRight" activeCell="F9" sqref="F1:F1048576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8" width="3.7109375" style="3" customWidth="1"/>
    <col min="9" max="9" width="5.5703125" style="3" customWidth="1"/>
    <col min="10" max="10" width="18.28515625" style="3" customWidth="1"/>
    <col min="11" max="11" width="15.5703125" style="3" customWidth="1"/>
    <col min="12" max="12" width="12.42578125" style="3" customWidth="1"/>
    <col min="13" max="15" width="3" style="3" customWidth="1"/>
    <col min="16" max="16384" width="11.42578125" style="3"/>
  </cols>
  <sheetData>
    <row r="1" spans="1:11" ht="12.75" customHeight="1" thickBot="1">
      <c r="A1" s="88"/>
      <c r="B1" s="88"/>
      <c r="C1" s="88"/>
      <c r="D1" s="88"/>
      <c r="E1" s="88"/>
      <c r="F1" s="88"/>
      <c r="G1" s="89"/>
      <c r="H1" s="89"/>
      <c r="I1" s="89"/>
      <c r="J1" s="89"/>
      <c r="K1" s="89"/>
    </row>
    <row r="2" spans="1:11" ht="12.75" customHeight="1" thickBot="1">
      <c r="A2" s="88"/>
      <c r="B2" s="88"/>
      <c r="C2" s="88"/>
      <c r="D2" s="88"/>
      <c r="E2" s="88"/>
      <c r="F2" s="88"/>
      <c r="G2" s="89"/>
      <c r="H2" s="89"/>
      <c r="I2" s="89"/>
      <c r="J2" s="89"/>
      <c r="K2" s="89"/>
    </row>
    <row r="3" spans="1:11" ht="20.25" customHeight="1" thickBot="1">
      <c r="A3" s="88"/>
      <c r="B3" s="88"/>
      <c r="C3" s="88"/>
      <c r="D3" s="88"/>
      <c r="E3" s="88"/>
      <c r="F3" s="88"/>
      <c r="G3" s="89"/>
      <c r="H3" s="89"/>
      <c r="I3" s="89"/>
      <c r="J3" s="89"/>
      <c r="K3" s="89"/>
    </row>
    <row r="4" spans="1:11" ht="12.75" customHeight="1" thickBot="1">
      <c r="A4" s="88"/>
      <c r="B4" s="88"/>
      <c r="C4" s="88"/>
      <c r="D4" s="88"/>
      <c r="E4" s="88"/>
      <c r="F4" s="88"/>
      <c r="G4" s="90"/>
      <c r="H4" s="90"/>
      <c r="I4" s="90"/>
      <c r="J4" s="90"/>
      <c r="K4" s="90"/>
    </row>
    <row r="5" spans="1:11" ht="7.5" customHeight="1" thickBot="1">
      <c r="A5" s="88"/>
      <c r="B5" s="88"/>
      <c r="C5" s="88"/>
      <c r="D5" s="88"/>
      <c r="E5" s="88"/>
      <c r="F5" s="88"/>
      <c r="G5" s="90"/>
      <c r="H5" s="90"/>
      <c r="I5" s="90"/>
      <c r="J5" s="90"/>
      <c r="K5" s="90"/>
    </row>
    <row r="6" spans="1:11" ht="12.75" customHeight="1" thickBot="1">
      <c r="A6" s="81" t="s">
        <v>574</v>
      </c>
      <c r="B6" s="81"/>
      <c r="C6" s="81"/>
      <c r="D6" s="81"/>
      <c r="E6" s="81"/>
      <c r="F6" s="81"/>
      <c r="G6" s="91">
        <v>45868</v>
      </c>
      <c r="H6" s="91">
        <v>45869</v>
      </c>
      <c r="I6" s="87" t="s">
        <v>575</v>
      </c>
      <c r="J6" s="87"/>
      <c r="K6" s="87"/>
    </row>
    <row r="7" spans="1:11" ht="15" customHeight="1" thickBot="1">
      <c r="A7" s="81"/>
      <c r="B7" s="81"/>
      <c r="C7" s="81"/>
      <c r="D7" s="81"/>
      <c r="E7" s="81"/>
      <c r="F7" s="81"/>
      <c r="G7" s="91"/>
      <c r="H7" s="91"/>
      <c r="I7" s="87"/>
      <c r="J7" s="87"/>
      <c r="K7" s="87"/>
    </row>
    <row r="8" spans="1:11" ht="15.75" customHeight="1" thickBot="1">
      <c r="A8" s="81"/>
      <c r="B8" s="81"/>
      <c r="C8" s="81"/>
      <c r="D8" s="81"/>
      <c r="E8" s="81"/>
      <c r="F8" s="81"/>
      <c r="G8" s="91"/>
      <c r="H8" s="91"/>
      <c r="I8" s="87"/>
      <c r="J8" s="87"/>
      <c r="K8" s="87"/>
    </row>
    <row r="9" spans="1:11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91"/>
      <c r="H9" s="91"/>
      <c r="I9" s="7" t="s">
        <v>5</v>
      </c>
      <c r="J9" s="8" t="s">
        <v>6</v>
      </c>
      <c r="K9" s="9" t="s">
        <v>7</v>
      </c>
    </row>
    <row r="10" spans="1:11">
      <c r="A10" s="45" t="s">
        <v>1438</v>
      </c>
      <c r="B10" s="33">
        <v>103</v>
      </c>
      <c r="C10" s="33" t="s">
        <v>1439</v>
      </c>
      <c r="D10" s="33" t="s">
        <v>63</v>
      </c>
      <c r="E10" s="33" t="s">
        <v>25</v>
      </c>
      <c r="F10" s="32" t="s">
        <v>1440</v>
      </c>
      <c r="G10" s="34">
        <v>1</v>
      </c>
      <c r="H10" s="34">
        <v>1</v>
      </c>
      <c r="I10" s="42">
        <f>SUM(G10:H10)</f>
        <v>2</v>
      </c>
      <c r="J10" s="11">
        <v>32000</v>
      </c>
      <c r="K10" s="11">
        <f t="shared" ref="K10:K56" si="0">J10*I10</f>
        <v>64000</v>
      </c>
    </row>
    <row r="11" spans="1:11">
      <c r="A11" s="45" t="s">
        <v>1438</v>
      </c>
      <c r="B11" s="33">
        <v>103</v>
      </c>
      <c r="C11" s="33" t="s">
        <v>98</v>
      </c>
      <c r="D11" s="33" t="s">
        <v>1441</v>
      </c>
      <c r="E11" s="33" t="s">
        <v>970</v>
      </c>
      <c r="F11" s="32" t="s">
        <v>1442</v>
      </c>
      <c r="G11" s="34">
        <v>1</v>
      </c>
      <c r="H11" s="34">
        <v>1</v>
      </c>
      <c r="I11" s="10">
        <f>SUM(G11:H11)</f>
        <v>2</v>
      </c>
      <c r="J11" s="11">
        <v>32000</v>
      </c>
      <c r="K11" s="12">
        <f t="shared" si="0"/>
        <v>64000</v>
      </c>
    </row>
    <row r="12" spans="1:11">
      <c r="A12" s="45" t="s">
        <v>1438</v>
      </c>
      <c r="B12" s="33">
        <v>201</v>
      </c>
      <c r="C12" s="33" t="s">
        <v>667</v>
      </c>
      <c r="D12" s="33" t="s">
        <v>668</v>
      </c>
      <c r="E12" s="33" t="s">
        <v>669</v>
      </c>
      <c r="F12" s="32" t="s">
        <v>670</v>
      </c>
      <c r="G12" s="34">
        <v>1</v>
      </c>
      <c r="H12" s="34">
        <v>1</v>
      </c>
      <c r="I12" s="10">
        <f>SUM(G12:H12)</f>
        <v>2</v>
      </c>
      <c r="J12" s="11">
        <v>32000</v>
      </c>
      <c r="K12" s="12">
        <f t="shared" si="0"/>
        <v>64000</v>
      </c>
    </row>
    <row r="13" spans="1:11">
      <c r="A13" s="45" t="s">
        <v>1438</v>
      </c>
      <c r="B13" s="33">
        <v>201</v>
      </c>
      <c r="C13" s="33" t="s">
        <v>805</v>
      </c>
      <c r="D13" s="33" t="s">
        <v>183</v>
      </c>
      <c r="E13" s="33" t="s">
        <v>184</v>
      </c>
      <c r="F13" s="32" t="s">
        <v>806</v>
      </c>
      <c r="G13" s="34">
        <v>1</v>
      </c>
      <c r="H13" s="34">
        <v>1</v>
      </c>
      <c r="I13" s="10">
        <f t="shared" ref="I13:I50" si="1">SUM(G13:H13)</f>
        <v>2</v>
      </c>
      <c r="J13" s="11">
        <v>32000</v>
      </c>
      <c r="K13" s="12">
        <f t="shared" ref="K13:K50" si="2">J13*I13</f>
        <v>64000</v>
      </c>
    </row>
    <row r="14" spans="1:11">
      <c r="A14" s="45" t="s">
        <v>1438</v>
      </c>
      <c r="B14" s="33">
        <v>202</v>
      </c>
      <c r="C14" s="33" t="s">
        <v>1053</v>
      </c>
      <c r="D14" s="33" t="s">
        <v>1053</v>
      </c>
      <c r="E14" s="33" t="s">
        <v>1054</v>
      </c>
      <c r="F14" s="32" t="s">
        <v>1055</v>
      </c>
      <c r="G14" s="34">
        <v>1</v>
      </c>
      <c r="H14" s="34">
        <v>1</v>
      </c>
      <c r="I14" s="10">
        <f t="shared" si="1"/>
        <v>2</v>
      </c>
      <c r="J14" s="11">
        <v>32000</v>
      </c>
      <c r="K14" s="12">
        <f t="shared" si="2"/>
        <v>64000</v>
      </c>
    </row>
    <row r="15" spans="1:11">
      <c r="A15" s="45" t="s">
        <v>1438</v>
      </c>
      <c r="B15" s="33">
        <v>202</v>
      </c>
      <c r="C15" s="33" t="s">
        <v>1056</v>
      </c>
      <c r="D15" s="33"/>
      <c r="E15" s="33" t="s">
        <v>1057</v>
      </c>
      <c r="F15" s="32" t="s">
        <v>1058</v>
      </c>
      <c r="G15" s="34">
        <v>1</v>
      </c>
      <c r="H15" s="34">
        <v>1</v>
      </c>
      <c r="I15" s="10">
        <f t="shared" si="1"/>
        <v>2</v>
      </c>
      <c r="J15" s="11">
        <v>32000</v>
      </c>
      <c r="K15" s="12">
        <f t="shared" si="2"/>
        <v>64000</v>
      </c>
    </row>
    <row r="16" spans="1:11">
      <c r="A16" s="45" t="s">
        <v>1438</v>
      </c>
      <c r="B16" s="33">
        <v>203</v>
      </c>
      <c r="C16" s="33" t="s">
        <v>1008</v>
      </c>
      <c r="D16" s="33" t="s">
        <v>170</v>
      </c>
      <c r="E16" s="33" t="s">
        <v>43</v>
      </c>
      <c r="F16" s="32" t="s">
        <v>1014</v>
      </c>
      <c r="G16" s="34">
        <v>1</v>
      </c>
      <c r="H16" s="34">
        <v>1</v>
      </c>
      <c r="I16" s="10">
        <f t="shared" si="1"/>
        <v>2</v>
      </c>
      <c r="J16" s="11">
        <v>32000</v>
      </c>
      <c r="K16" s="12">
        <f t="shared" si="2"/>
        <v>64000</v>
      </c>
    </row>
    <row r="17" spans="1:11">
      <c r="A17" s="45" t="s">
        <v>1438</v>
      </c>
      <c r="B17" s="33">
        <v>203</v>
      </c>
      <c r="C17" s="33" t="s">
        <v>233</v>
      </c>
      <c r="D17" s="33" t="s">
        <v>428</v>
      </c>
      <c r="E17" s="33" t="s">
        <v>153</v>
      </c>
      <c r="F17" s="32" t="s">
        <v>1046</v>
      </c>
      <c r="G17" s="34">
        <v>1</v>
      </c>
      <c r="H17" s="34">
        <v>1</v>
      </c>
      <c r="I17" s="10">
        <f t="shared" si="1"/>
        <v>2</v>
      </c>
      <c r="J17" s="11">
        <v>32000</v>
      </c>
      <c r="K17" s="12">
        <f t="shared" si="2"/>
        <v>64000</v>
      </c>
    </row>
    <row r="18" spans="1:11">
      <c r="A18" s="45" t="s">
        <v>1438</v>
      </c>
      <c r="B18" s="33">
        <v>204</v>
      </c>
      <c r="C18" s="33" t="s">
        <v>19</v>
      </c>
      <c r="D18" s="33" t="s">
        <v>1082</v>
      </c>
      <c r="E18" s="33" t="s">
        <v>1083</v>
      </c>
      <c r="F18" s="32" t="s">
        <v>1084</v>
      </c>
      <c r="G18" s="34">
        <v>1</v>
      </c>
      <c r="H18" s="34">
        <v>1</v>
      </c>
      <c r="I18" s="10">
        <f t="shared" si="1"/>
        <v>2</v>
      </c>
      <c r="J18" s="11">
        <v>32000</v>
      </c>
      <c r="K18" s="12">
        <f t="shared" si="2"/>
        <v>64000</v>
      </c>
    </row>
    <row r="19" spans="1:11">
      <c r="A19" s="45" t="s">
        <v>1438</v>
      </c>
      <c r="B19" s="33">
        <v>205</v>
      </c>
      <c r="C19" s="33" t="s">
        <v>1008</v>
      </c>
      <c r="D19" s="33" t="s">
        <v>170</v>
      </c>
      <c r="E19" s="33" t="s">
        <v>1009</v>
      </c>
      <c r="F19" s="32" t="s">
        <v>1010</v>
      </c>
      <c r="G19" s="34">
        <v>1</v>
      </c>
      <c r="H19" s="34">
        <v>1</v>
      </c>
      <c r="I19" s="10">
        <f t="shared" si="1"/>
        <v>2</v>
      </c>
      <c r="J19" s="11">
        <v>32000</v>
      </c>
      <c r="K19" s="12">
        <f t="shared" si="2"/>
        <v>64000</v>
      </c>
    </row>
    <row r="20" spans="1:11">
      <c r="A20" s="45" t="s">
        <v>1438</v>
      </c>
      <c r="B20" s="33">
        <v>205</v>
      </c>
      <c r="C20" s="33" t="s">
        <v>490</v>
      </c>
      <c r="D20" s="33" t="s">
        <v>1011</v>
      </c>
      <c r="E20" s="33" t="s">
        <v>137</v>
      </c>
      <c r="F20" s="32" t="s">
        <v>1012</v>
      </c>
      <c r="G20" s="34">
        <v>1</v>
      </c>
      <c r="H20" s="34">
        <v>1</v>
      </c>
      <c r="I20" s="10">
        <f t="shared" si="1"/>
        <v>2</v>
      </c>
      <c r="J20" s="11">
        <v>32000</v>
      </c>
      <c r="K20" s="12">
        <f t="shared" si="2"/>
        <v>64000</v>
      </c>
    </row>
    <row r="21" spans="1:11">
      <c r="A21" s="45" t="s">
        <v>1438</v>
      </c>
      <c r="B21" s="33">
        <v>206</v>
      </c>
      <c r="C21" s="33" t="s">
        <v>26</v>
      </c>
      <c r="D21" s="33" t="s">
        <v>649</v>
      </c>
      <c r="E21" s="33" t="s">
        <v>1443</v>
      </c>
      <c r="F21" s="32" t="s">
        <v>1444</v>
      </c>
      <c r="G21" s="34">
        <v>1</v>
      </c>
      <c r="H21" s="34">
        <v>1</v>
      </c>
      <c r="I21" s="10">
        <f t="shared" si="1"/>
        <v>2</v>
      </c>
      <c r="J21" s="11">
        <v>32000</v>
      </c>
      <c r="K21" s="12">
        <f t="shared" si="2"/>
        <v>64000</v>
      </c>
    </row>
    <row r="22" spans="1:11">
      <c r="A22" s="45" t="s">
        <v>1438</v>
      </c>
      <c r="B22" s="33">
        <v>206</v>
      </c>
      <c r="C22" s="33" t="s">
        <v>1445</v>
      </c>
      <c r="D22" s="33" t="s">
        <v>1446</v>
      </c>
      <c r="E22" s="33" t="s">
        <v>24</v>
      </c>
      <c r="F22" s="32" t="s">
        <v>1447</v>
      </c>
      <c r="G22" s="34">
        <v>1</v>
      </c>
      <c r="H22" s="34">
        <v>1</v>
      </c>
      <c r="I22" s="10">
        <f t="shared" si="1"/>
        <v>2</v>
      </c>
      <c r="J22" s="11">
        <v>32000</v>
      </c>
      <c r="K22" s="12">
        <f t="shared" si="2"/>
        <v>64000</v>
      </c>
    </row>
    <row r="23" spans="1:11">
      <c r="A23" s="45" t="s">
        <v>1438</v>
      </c>
      <c r="B23" s="33">
        <v>301</v>
      </c>
      <c r="C23" s="33" t="s">
        <v>68</v>
      </c>
      <c r="D23" s="33" t="s">
        <v>105</v>
      </c>
      <c r="E23" s="33" t="s">
        <v>106</v>
      </c>
      <c r="F23" s="32" t="s">
        <v>1448</v>
      </c>
      <c r="G23" s="34">
        <v>1</v>
      </c>
      <c r="H23" s="34">
        <v>1</v>
      </c>
      <c r="I23" s="10">
        <f t="shared" si="1"/>
        <v>2</v>
      </c>
      <c r="J23" s="11">
        <v>32000</v>
      </c>
      <c r="K23" s="12">
        <f t="shared" si="2"/>
        <v>64000</v>
      </c>
    </row>
    <row r="24" spans="1:11">
      <c r="A24" s="45" t="s">
        <v>1438</v>
      </c>
      <c r="B24" s="33">
        <v>301</v>
      </c>
      <c r="C24" s="33" t="s">
        <v>462</v>
      </c>
      <c r="D24" s="33" t="s">
        <v>103</v>
      </c>
      <c r="E24" s="33" t="s">
        <v>104</v>
      </c>
      <c r="F24" s="32" t="s">
        <v>1075</v>
      </c>
      <c r="G24" s="34">
        <v>1</v>
      </c>
      <c r="H24" s="34">
        <v>1</v>
      </c>
      <c r="I24" s="10">
        <f t="shared" si="1"/>
        <v>2</v>
      </c>
      <c r="J24" s="11">
        <v>32000</v>
      </c>
      <c r="K24" s="12">
        <f t="shared" si="2"/>
        <v>64000</v>
      </c>
    </row>
    <row r="25" spans="1:11">
      <c r="A25" s="45" t="s">
        <v>1438</v>
      </c>
      <c r="B25" s="33">
        <v>302</v>
      </c>
      <c r="C25" s="33" t="s">
        <v>1017</v>
      </c>
      <c r="D25" s="33" t="s">
        <v>473</v>
      </c>
      <c r="E25" s="33" t="s">
        <v>1129</v>
      </c>
      <c r="F25" s="32" t="s">
        <v>1019</v>
      </c>
      <c r="G25" s="34">
        <v>1</v>
      </c>
      <c r="H25" s="34">
        <v>1</v>
      </c>
      <c r="I25" s="10">
        <f t="shared" si="1"/>
        <v>2</v>
      </c>
      <c r="J25" s="11">
        <v>32000</v>
      </c>
      <c r="K25" s="12">
        <f t="shared" si="2"/>
        <v>64000</v>
      </c>
    </row>
    <row r="26" spans="1:11">
      <c r="A26" s="45" t="s">
        <v>1438</v>
      </c>
      <c r="B26" s="33">
        <v>302</v>
      </c>
      <c r="C26" s="33" t="s">
        <v>1020</v>
      </c>
      <c r="D26" s="33" t="s">
        <v>1021</v>
      </c>
      <c r="E26" s="33" t="s">
        <v>11</v>
      </c>
      <c r="F26" s="32" t="s">
        <v>1022</v>
      </c>
      <c r="G26" s="34">
        <v>1</v>
      </c>
      <c r="H26" s="34">
        <v>1</v>
      </c>
      <c r="I26" s="10">
        <f t="shared" si="1"/>
        <v>2</v>
      </c>
      <c r="J26" s="11">
        <v>32000</v>
      </c>
      <c r="K26" s="12">
        <f t="shared" si="2"/>
        <v>64000</v>
      </c>
    </row>
    <row r="27" spans="1:11">
      <c r="A27" s="45" t="s">
        <v>1438</v>
      </c>
      <c r="B27" s="33">
        <v>303</v>
      </c>
      <c r="C27" s="33" t="s">
        <v>131</v>
      </c>
      <c r="D27" s="33" t="s">
        <v>132</v>
      </c>
      <c r="E27" s="33" t="s">
        <v>133</v>
      </c>
      <c r="F27" s="32" t="s">
        <v>1096</v>
      </c>
      <c r="G27" s="34">
        <v>1</v>
      </c>
      <c r="H27" s="34">
        <v>1</v>
      </c>
      <c r="I27" s="10">
        <f t="shared" si="1"/>
        <v>2</v>
      </c>
      <c r="J27" s="11">
        <v>32000</v>
      </c>
      <c r="K27" s="12">
        <f t="shared" si="2"/>
        <v>64000</v>
      </c>
    </row>
    <row r="28" spans="1:11">
      <c r="A28" s="45" t="s">
        <v>1438</v>
      </c>
      <c r="B28" s="33">
        <v>303</v>
      </c>
      <c r="C28" s="33" t="s">
        <v>702</v>
      </c>
      <c r="D28" s="33" t="s">
        <v>624</v>
      </c>
      <c r="E28" s="33" t="s">
        <v>1328</v>
      </c>
      <c r="F28" s="32" t="s">
        <v>1334</v>
      </c>
      <c r="G28" s="34">
        <v>1</v>
      </c>
      <c r="H28" s="34">
        <v>1</v>
      </c>
      <c r="I28" s="10">
        <f t="shared" si="1"/>
        <v>2</v>
      </c>
      <c r="J28" s="11">
        <v>32000</v>
      </c>
      <c r="K28" s="12">
        <f t="shared" si="2"/>
        <v>64000</v>
      </c>
    </row>
    <row r="29" spans="1:11">
      <c r="A29" s="45" t="s">
        <v>1438</v>
      </c>
      <c r="B29" s="33">
        <v>304</v>
      </c>
      <c r="C29" s="33" t="s">
        <v>119</v>
      </c>
      <c r="D29" s="33" t="s">
        <v>120</v>
      </c>
      <c r="E29" s="33" t="s">
        <v>121</v>
      </c>
      <c r="F29" s="32" t="s">
        <v>1041</v>
      </c>
      <c r="G29" s="34">
        <v>1</v>
      </c>
      <c r="H29" s="34">
        <v>1</v>
      </c>
      <c r="I29" s="10">
        <f t="shared" si="1"/>
        <v>2</v>
      </c>
      <c r="J29" s="11">
        <v>32000</v>
      </c>
      <c r="K29" s="12">
        <f t="shared" si="2"/>
        <v>64000</v>
      </c>
    </row>
    <row r="30" spans="1:11">
      <c r="A30" s="45" t="s">
        <v>1438</v>
      </c>
      <c r="B30" s="33">
        <v>304</v>
      </c>
      <c r="C30" s="33" t="s">
        <v>122</v>
      </c>
      <c r="D30" s="33" t="s">
        <v>123</v>
      </c>
      <c r="E30" s="33" t="s">
        <v>124</v>
      </c>
      <c r="F30" s="32" t="s">
        <v>1042</v>
      </c>
      <c r="G30" s="34">
        <v>1</v>
      </c>
      <c r="H30" s="34">
        <v>1</v>
      </c>
      <c r="I30" s="10">
        <f t="shared" si="1"/>
        <v>2</v>
      </c>
      <c r="J30" s="11">
        <v>32000</v>
      </c>
      <c r="K30" s="12">
        <f t="shared" si="2"/>
        <v>64000</v>
      </c>
    </row>
    <row r="31" spans="1:11">
      <c r="A31" s="45" t="s">
        <v>1438</v>
      </c>
      <c r="B31" s="33">
        <v>305</v>
      </c>
      <c r="C31" s="33" t="s">
        <v>94</v>
      </c>
      <c r="D31" s="33" t="s">
        <v>650</v>
      </c>
      <c r="E31" s="33" t="s">
        <v>143</v>
      </c>
      <c r="F31" s="32" t="s">
        <v>1033</v>
      </c>
      <c r="G31" s="34">
        <v>1</v>
      </c>
      <c r="H31" s="34">
        <v>1</v>
      </c>
      <c r="I31" s="10">
        <f t="shared" si="1"/>
        <v>2</v>
      </c>
      <c r="J31" s="11">
        <v>32000</v>
      </c>
      <c r="K31" s="12">
        <f t="shared" si="2"/>
        <v>64000</v>
      </c>
    </row>
    <row r="32" spans="1:11">
      <c r="A32" s="45" t="s">
        <v>1438</v>
      </c>
      <c r="B32" s="33">
        <v>305</v>
      </c>
      <c r="C32" s="33" t="s">
        <v>949</v>
      </c>
      <c r="D32" s="33" t="s">
        <v>142</v>
      </c>
      <c r="E32" s="33" t="s">
        <v>144</v>
      </c>
      <c r="F32" s="32" t="s">
        <v>1034</v>
      </c>
      <c r="G32" s="34">
        <v>1</v>
      </c>
      <c r="H32" s="34">
        <v>1</v>
      </c>
      <c r="I32" s="10">
        <f t="shared" si="1"/>
        <v>2</v>
      </c>
      <c r="J32" s="11">
        <v>32000</v>
      </c>
      <c r="K32" s="12">
        <f t="shared" si="2"/>
        <v>64000</v>
      </c>
    </row>
    <row r="33" spans="1:11">
      <c r="A33" s="45" t="s">
        <v>1438</v>
      </c>
      <c r="B33" s="33">
        <v>306</v>
      </c>
      <c r="C33" s="33" t="s">
        <v>97</v>
      </c>
      <c r="D33" s="33" t="s">
        <v>125</v>
      </c>
      <c r="E33" s="33" t="s">
        <v>96</v>
      </c>
      <c r="F33" s="32" t="s">
        <v>1094</v>
      </c>
      <c r="G33" s="34">
        <v>1</v>
      </c>
      <c r="H33" s="34">
        <v>1</v>
      </c>
      <c r="I33" s="10">
        <f t="shared" si="1"/>
        <v>2</v>
      </c>
      <c r="J33" s="11">
        <v>32000</v>
      </c>
      <c r="K33" s="12">
        <f t="shared" si="2"/>
        <v>64000</v>
      </c>
    </row>
    <row r="34" spans="1:11">
      <c r="A34" s="45" t="s">
        <v>1438</v>
      </c>
      <c r="B34" s="33">
        <v>306</v>
      </c>
      <c r="C34" s="33" t="s">
        <v>116</v>
      </c>
      <c r="D34" s="33" t="s">
        <v>38</v>
      </c>
      <c r="E34" s="33" t="s">
        <v>117</v>
      </c>
      <c r="F34" s="32" t="s">
        <v>1095</v>
      </c>
      <c r="G34" s="34">
        <v>1</v>
      </c>
      <c r="H34" s="34">
        <v>1</v>
      </c>
      <c r="I34" s="10">
        <f t="shared" si="1"/>
        <v>2</v>
      </c>
      <c r="J34" s="11">
        <v>32000</v>
      </c>
      <c r="K34" s="12">
        <f t="shared" si="2"/>
        <v>64000</v>
      </c>
    </row>
    <row r="35" spans="1:11">
      <c r="A35" s="45" t="s">
        <v>1438</v>
      </c>
      <c r="B35" s="33">
        <v>401</v>
      </c>
      <c r="C35" s="33" t="s">
        <v>460</v>
      </c>
      <c r="D35" s="33" t="s">
        <v>114</v>
      </c>
      <c r="E35" s="33" t="s">
        <v>115</v>
      </c>
      <c r="F35" s="32" t="s">
        <v>1085</v>
      </c>
      <c r="G35" s="34">
        <v>1</v>
      </c>
      <c r="H35" s="34">
        <v>1</v>
      </c>
      <c r="I35" s="10">
        <f t="shared" si="1"/>
        <v>2</v>
      </c>
      <c r="J35" s="11">
        <v>32000</v>
      </c>
      <c r="K35" s="12">
        <f t="shared" si="2"/>
        <v>64000</v>
      </c>
    </row>
    <row r="36" spans="1:11">
      <c r="A36" s="45" t="s">
        <v>1438</v>
      </c>
      <c r="B36" s="33">
        <v>401</v>
      </c>
      <c r="C36" s="33" t="s">
        <v>98</v>
      </c>
      <c r="D36" s="33" t="s">
        <v>1227</v>
      </c>
      <c r="E36" s="33" t="s">
        <v>99</v>
      </c>
      <c r="F36" s="32">
        <v>444849118</v>
      </c>
      <c r="G36" s="34">
        <v>1</v>
      </c>
      <c r="H36" s="34">
        <v>1</v>
      </c>
      <c r="I36" s="10">
        <f t="shared" si="1"/>
        <v>2</v>
      </c>
      <c r="J36" s="11">
        <v>32000</v>
      </c>
      <c r="K36" s="12">
        <f t="shared" si="2"/>
        <v>64000</v>
      </c>
    </row>
    <row r="37" spans="1:11">
      <c r="A37" s="45" t="s">
        <v>1438</v>
      </c>
      <c r="B37" s="33">
        <v>402</v>
      </c>
      <c r="C37" s="33" t="s">
        <v>454</v>
      </c>
      <c r="D37" s="33" t="s">
        <v>118</v>
      </c>
      <c r="E37" s="33" t="s">
        <v>11</v>
      </c>
      <c r="F37" s="32" t="s">
        <v>1090</v>
      </c>
      <c r="G37" s="34">
        <v>1</v>
      </c>
      <c r="H37" s="34">
        <v>1</v>
      </c>
      <c r="I37" s="10">
        <f t="shared" si="1"/>
        <v>2</v>
      </c>
      <c r="J37" s="11">
        <v>32000</v>
      </c>
      <c r="K37" s="12">
        <f t="shared" si="2"/>
        <v>64000</v>
      </c>
    </row>
    <row r="38" spans="1:11">
      <c r="A38" s="45" t="s">
        <v>1438</v>
      </c>
      <c r="B38" s="33">
        <v>402</v>
      </c>
      <c r="C38" s="33" t="s">
        <v>109</v>
      </c>
      <c r="D38" s="33" t="s">
        <v>110</v>
      </c>
      <c r="E38" s="33" t="s">
        <v>15</v>
      </c>
      <c r="F38" s="32" t="s">
        <v>1093</v>
      </c>
      <c r="G38" s="34">
        <v>1</v>
      </c>
      <c r="H38" s="34">
        <v>1</v>
      </c>
      <c r="I38" s="10">
        <f t="shared" si="1"/>
        <v>2</v>
      </c>
      <c r="J38" s="11">
        <v>32000</v>
      </c>
      <c r="K38" s="12">
        <f t="shared" si="2"/>
        <v>64000</v>
      </c>
    </row>
    <row r="39" spans="1:11">
      <c r="A39" s="45" t="s">
        <v>1438</v>
      </c>
      <c r="B39" s="33">
        <v>403</v>
      </c>
      <c r="C39" s="33" t="s">
        <v>13</v>
      </c>
      <c r="D39" s="33" t="s">
        <v>119</v>
      </c>
      <c r="E39" s="33" t="s">
        <v>133</v>
      </c>
      <c r="F39" s="32" t="s">
        <v>1035</v>
      </c>
      <c r="G39" s="34">
        <v>1</v>
      </c>
      <c r="H39" s="34">
        <v>1</v>
      </c>
      <c r="I39" s="10">
        <f t="shared" si="1"/>
        <v>2</v>
      </c>
      <c r="J39" s="11">
        <v>32000</v>
      </c>
      <c r="K39" s="12">
        <f t="shared" si="2"/>
        <v>64000</v>
      </c>
    </row>
    <row r="40" spans="1:11">
      <c r="A40" s="45" t="s">
        <v>1438</v>
      </c>
      <c r="B40" s="33">
        <v>403</v>
      </c>
      <c r="C40" s="33" t="s">
        <v>1449</v>
      </c>
      <c r="D40" s="33" t="s">
        <v>1001</v>
      </c>
      <c r="E40" s="33" t="s">
        <v>168</v>
      </c>
      <c r="F40" s="32" t="s">
        <v>1450</v>
      </c>
      <c r="G40" s="34">
        <v>1</v>
      </c>
      <c r="H40" s="34">
        <v>1</v>
      </c>
      <c r="I40" s="10">
        <f t="shared" si="1"/>
        <v>2</v>
      </c>
      <c r="J40" s="11">
        <v>32000</v>
      </c>
      <c r="K40" s="12">
        <f t="shared" si="2"/>
        <v>64000</v>
      </c>
    </row>
    <row r="41" spans="1:11">
      <c r="A41" s="45" t="s">
        <v>1438</v>
      </c>
      <c r="B41" s="33">
        <v>404</v>
      </c>
      <c r="C41" s="33" t="s">
        <v>126</v>
      </c>
      <c r="D41" s="33" t="s">
        <v>127</v>
      </c>
      <c r="E41" s="33" t="s">
        <v>463</v>
      </c>
      <c r="F41" s="32" t="s">
        <v>1097</v>
      </c>
      <c r="G41" s="34">
        <v>1</v>
      </c>
      <c r="H41" s="34">
        <v>1</v>
      </c>
      <c r="I41" s="10">
        <f t="shared" si="1"/>
        <v>2</v>
      </c>
      <c r="J41" s="11">
        <v>32000</v>
      </c>
      <c r="K41" s="12">
        <f t="shared" si="2"/>
        <v>64000</v>
      </c>
    </row>
    <row r="42" spans="1:11">
      <c r="A42" s="45" t="s">
        <v>1438</v>
      </c>
      <c r="B42" s="33">
        <v>404</v>
      </c>
      <c r="C42" s="33" t="s">
        <v>1451</v>
      </c>
      <c r="D42" s="33" t="s">
        <v>1452</v>
      </c>
      <c r="E42" s="33" t="s">
        <v>96</v>
      </c>
      <c r="F42" s="32">
        <v>444849967</v>
      </c>
      <c r="G42" s="34">
        <v>1</v>
      </c>
      <c r="H42" s="34">
        <v>1</v>
      </c>
      <c r="I42" s="10">
        <f t="shared" si="1"/>
        <v>2</v>
      </c>
      <c r="J42" s="11">
        <v>32000</v>
      </c>
      <c r="K42" s="12">
        <f t="shared" si="2"/>
        <v>64000</v>
      </c>
    </row>
    <row r="43" spans="1:11">
      <c r="A43" s="45" t="s">
        <v>1438</v>
      </c>
      <c r="B43" s="33">
        <v>405</v>
      </c>
      <c r="C43" s="33" t="s">
        <v>1063</v>
      </c>
      <c r="D43" s="33" t="s">
        <v>465</v>
      </c>
      <c r="E43" s="33" t="s">
        <v>20</v>
      </c>
      <c r="F43" s="32" t="s">
        <v>1064</v>
      </c>
      <c r="G43" s="34">
        <v>1</v>
      </c>
      <c r="H43" s="34">
        <v>1</v>
      </c>
      <c r="I43" s="10">
        <f t="shared" si="1"/>
        <v>2</v>
      </c>
      <c r="J43" s="11">
        <v>32000</v>
      </c>
      <c r="K43" s="12">
        <f t="shared" si="2"/>
        <v>64000</v>
      </c>
    </row>
    <row r="44" spans="1:11">
      <c r="A44" s="45" t="s">
        <v>1438</v>
      </c>
      <c r="B44" s="33">
        <v>405</v>
      </c>
      <c r="C44" s="33" t="s">
        <v>159</v>
      </c>
      <c r="D44" s="33" t="s">
        <v>1044</v>
      </c>
      <c r="E44" s="33" t="s">
        <v>713</v>
      </c>
      <c r="F44" s="32" t="s">
        <v>1045</v>
      </c>
      <c r="G44" s="34">
        <v>1</v>
      </c>
      <c r="H44" s="34">
        <v>1</v>
      </c>
      <c r="I44" s="10">
        <f t="shared" si="1"/>
        <v>2</v>
      </c>
      <c r="J44" s="11">
        <v>32000</v>
      </c>
      <c r="K44" s="12">
        <f t="shared" si="2"/>
        <v>64000</v>
      </c>
    </row>
    <row r="45" spans="1:11">
      <c r="A45" s="45" t="s">
        <v>1438</v>
      </c>
      <c r="B45" s="33">
        <v>406</v>
      </c>
      <c r="C45" s="33" t="s">
        <v>736</v>
      </c>
      <c r="D45" s="33" t="s">
        <v>634</v>
      </c>
      <c r="E45" s="33" t="s">
        <v>207</v>
      </c>
      <c r="F45" s="32" t="s">
        <v>1024</v>
      </c>
      <c r="G45" s="34">
        <v>1</v>
      </c>
      <c r="H45" s="34">
        <v>1</v>
      </c>
      <c r="I45" s="10">
        <f t="shared" si="1"/>
        <v>2</v>
      </c>
      <c r="J45" s="11">
        <v>32000</v>
      </c>
      <c r="K45" s="12">
        <f t="shared" si="2"/>
        <v>64000</v>
      </c>
    </row>
    <row r="46" spans="1:11">
      <c r="A46" s="45" t="s">
        <v>1438</v>
      </c>
      <c r="B46" s="33">
        <v>406</v>
      </c>
      <c r="C46" s="33" t="s">
        <v>1076</v>
      </c>
      <c r="D46" s="33" t="s">
        <v>1077</v>
      </c>
      <c r="E46" s="33" t="s">
        <v>1078</v>
      </c>
      <c r="F46" s="32" t="s">
        <v>1079</v>
      </c>
      <c r="G46" s="34">
        <v>1</v>
      </c>
      <c r="H46" s="34">
        <v>1</v>
      </c>
      <c r="I46" s="10">
        <f t="shared" si="1"/>
        <v>2</v>
      </c>
      <c r="J46" s="11">
        <v>32000</v>
      </c>
      <c r="K46" s="12">
        <f t="shared" si="2"/>
        <v>64000</v>
      </c>
    </row>
    <row r="47" spans="1:11">
      <c r="A47" s="45" t="s">
        <v>1438</v>
      </c>
      <c r="B47" s="33">
        <v>501</v>
      </c>
      <c r="C47" s="33" t="s">
        <v>134</v>
      </c>
      <c r="D47" s="33" t="s">
        <v>1072</v>
      </c>
      <c r="E47" s="33" t="s">
        <v>135</v>
      </c>
      <c r="F47" s="32" t="s">
        <v>1073</v>
      </c>
      <c r="G47" s="34">
        <v>1</v>
      </c>
      <c r="H47" s="34">
        <v>1</v>
      </c>
      <c r="I47" s="10">
        <f t="shared" si="1"/>
        <v>2</v>
      </c>
      <c r="J47" s="11">
        <v>32000</v>
      </c>
      <c r="K47" s="12">
        <f t="shared" si="2"/>
        <v>64000</v>
      </c>
    </row>
    <row r="48" spans="1:11">
      <c r="A48" s="45" t="s">
        <v>1438</v>
      </c>
      <c r="B48" s="33">
        <v>501</v>
      </c>
      <c r="C48" s="33" t="s">
        <v>179</v>
      </c>
      <c r="D48" s="33" t="s">
        <v>47</v>
      </c>
      <c r="E48" s="33" t="s">
        <v>70</v>
      </c>
      <c r="F48" s="32" t="s">
        <v>1074</v>
      </c>
      <c r="G48" s="34">
        <v>1</v>
      </c>
      <c r="H48" s="34">
        <v>1</v>
      </c>
      <c r="I48" s="10">
        <f t="shared" si="1"/>
        <v>2</v>
      </c>
      <c r="J48" s="11">
        <v>32000</v>
      </c>
      <c r="K48" s="12">
        <f t="shared" si="2"/>
        <v>64000</v>
      </c>
    </row>
    <row r="49" spans="1:12">
      <c r="A49" s="45" t="s">
        <v>1438</v>
      </c>
      <c r="B49" s="33">
        <v>502</v>
      </c>
      <c r="C49" s="33" t="s">
        <v>161</v>
      </c>
      <c r="D49" s="33" t="s">
        <v>959</v>
      </c>
      <c r="E49" s="33" t="s">
        <v>808</v>
      </c>
      <c r="F49" s="32" t="s">
        <v>1069</v>
      </c>
      <c r="G49" s="34">
        <v>1</v>
      </c>
      <c r="H49" s="34">
        <v>1</v>
      </c>
      <c r="I49" s="10">
        <f t="shared" si="1"/>
        <v>2</v>
      </c>
      <c r="J49" s="11">
        <v>32000</v>
      </c>
      <c r="K49" s="12">
        <f t="shared" si="2"/>
        <v>64000</v>
      </c>
    </row>
    <row r="50" spans="1:12">
      <c r="A50" s="45" t="s">
        <v>1438</v>
      </c>
      <c r="B50" s="33">
        <v>502</v>
      </c>
      <c r="C50" s="33" t="s">
        <v>312</v>
      </c>
      <c r="D50" s="33" t="s">
        <v>222</v>
      </c>
      <c r="E50" s="33" t="s">
        <v>1453</v>
      </c>
      <c r="F50" s="32" t="s">
        <v>1016</v>
      </c>
      <c r="G50" s="34">
        <v>1</v>
      </c>
      <c r="H50" s="34">
        <v>1</v>
      </c>
      <c r="I50" s="10">
        <f t="shared" si="1"/>
        <v>2</v>
      </c>
      <c r="J50" s="11">
        <v>32000</v>
      </c>
      <c r="K50" s="12">
        <f t="shared" si="2"/>
        <v>64000</v>
      </c>
    </row>
    <row r="51" spans="1:12">
      <c r="A51" s="45" t="s">
        <v>1438</v>
      </c>
      <c r="B51" s="33">
        <v>503</v>
      </c>
      <c r="C51" s="33" t="s">
        <v>1352</v>
      </c>
      <c r="D51" s="33"/>
      <c r="E51" s="33" t="s">
        <v>104</v>
      </c>
      <c r="F51" s="32" t="s">
        <v>1353</v>
      </c>
      <c r="G51" s="34">
        <v>1</v>
      </c>
      <c r="H51" s="34">
        <v>1</v>
      </c>
      <c r="I51" s="10">
        <f t="shared" ref="I51:I56" si="3">SUM(G51:H51)</f>
        <v>2</v>
      </c>
      <c r="J51" s="11">
        <v>32000</v>
      </c>
      <c r="K51" s="12">
        <f t="shared" si="0"/>
        <v>64000</v>
      </c>
    </row>
    <row r="52" spans="1:12">
      <c r="A52" s="45" t="s">
        <v>1438</v>
      </c>
      <c r="B52" s="33">
        <v>504</v>
      </c>
      <c r="C52" s="33" t="s">
        <v>100</v>
      </c>
      <c r="D52" s="33" t="s">
        <v>129</v>
      </c>
      <c r="E52" s="33" t="s">
        <v>101</v>
      </c>
      <c r="F52" s="32" t="s">
        <v>1088</v>
      </c>
      <c r="G52" s="34">
        <v>1</v>
      </c>
      <c r="H52" s="34">
        <v>1</v>
      </c>
      <c r="I52" s="10">
        <f t="shared" si="3"/>
        <v>2</v>
      </c>
      <c r="J52" s="11">
        <v>32000</v>
      </c>
      <c r="K52" s="12">
        <f t="shared" si="0"/>
        <v>64000</v>
      </c>
    </row>
    <row r="53" spans="1:12">
      <c r="A53" s="45" t="s">
        <v>1438</v>
      </c>
      <c r="B53" s="33">
        <v>504</v>
      </c>
      <c r="C53" s="33" t="s">
        <v>128</v>
      </c>
      <c r="D53" s="33" t="s">
        <v>129</v>
      </c>
      <c r="E53" s="33" t="s">
        <v>130</v>
      </c>
      <c r="F53" s="32" t="s">
        <v>1092</v>
      </c>
      <c r="G53" s="34">
        <v>1</v>
      </c>
      <c r="H53" s="34">
        <v>1</v>
      </c>
      <c r="I53" s="10">
        <f t="shared" si="3"/>
        <v>2</v>
      </c>
      <c r="J53" s="11">
        <v>32000</v>
      </c>
      <c r="K53" s="12">
        <f t="shared" si="0"/>
        <v>64000</v>
      </c>
    </row>
    <row r="54" spans="1:12">
      <c r="A54" s="45" t="s">
        <v>1438</v>
      </c>
      <c r="B54" s="33">
        <v>505</v>
      </c>
      <c r="C54" s="33" t="s">
        <v>1065</v>
      </c>
      <c r="D54" s="33" t="s">
        <v>47</v>
      </c>
      <c r="E54" s="33" t="s">
        <v>9</v>
      </c>
      <c r="F54" s="32" t="s">
        <v>1066</v>
      </c>
      <c r="G54" s="34">
        <v>1</v>
      </c>
      <c r="H54" s="34">
        <v>1</v>
      </c>
      <c r="I54" s="10">
        <f t="shared" si="3"/>
        <v>2</v>
      </c>
      <c r="J54" s="11">
        <v>32000</v>
      </c>
      <c r="K54" s="12">
        <f t="shared" si="0"/>
        <v>64000</v>
      </c>
    </row>
    <row r="55" spans="1:12">
      <c r="A55" s="45" t="s">
        <v>1438</v>
      </c>
      <c r="B55" s="33">
        <v>505</v>
      </c>
      <c r="C55" s="33" t="s">
        <v>218</v>
      </c>
      <c r="D55" s="33" t="s">
        <v>219</v>
      </c>
      <c r="E55" s="33" t="s">
        <v>15</v>
      </c>
      <c r="F55" s="32" t="s">
        <v>1067</v>
      </c>
      <c r="G55" s="34">
        <v>1</v>
      </c>
      <c r="H55" s="34">
        <v>1</v>
      </c>
      <c r="I55" s="10">
        <f t="shared" si="3"/>
        <v>2</v>
      </c>
      <c r="J55" s="11">
        <v>32000</v>
      </c>
      <c r="K55" s="12">
        <f t="shared" si="0"/>
        <v>64000</v>
      </c>
    </row>
    <row r="56" spans="1:12">
      <c r="A56" s="45" t="s">
        <v>1438</v>
      </c>
      <c r="B56" s="33">
        <v>506</v>
      </c>
      <c r="C56" s="33" t="s">
        <v>1454</v>
      </c>
      <c r="D56" s="33" t="s">
        <v>162</v>
      </c>
      <c r="E56" s="33" t="s">
        <v>53</v>
      </c>
      <c r="F56" s="32" t="s">
        <v>1455</v>
      </c>
      <c r="G56" s="34">
        <v>1</v>
      </c>
      <c r="H56" s="34">
        <v>1</v>
      </c>
      <c r="I56" s="10">
        <f t="shared" si="3"/>
        <v>2</v>
      </c>
      <c r="J56" s="11">
        <v>32000</v>
      </c>
      <c r="K56" s="12">
        <f t="shared" si="0"/>
        <v>64000</v>
      </c>
    </row>
    <row r="57" spans="1:12">
      <c r="A57" s="45" t="s">
        <v>1438</v>
      </c>
      <c r="B57" s="33">
        <v>103</v>
      </c>
      <c r="C57" s="33" t="s">
        <v>461</v>
      </c>
      <c r="D57" s="33" t="s">
        <v>107</v>
      </c>
      <c r="E57" s="33" t="s">
        <v>108</v>
      </c>
      <c r="F57" s="32">
        <v>10756831</v>
      </c>
      <c r="G57" s="46"/>
      <c r="H57" s="34">
        <v>1</v>
      </c>
      <c r="I57" s="10">
        <f t="shared" ref="I57:I59" si="4">SUM(G57:H57)</f>
        <v>1</v>
      </c>
      <c r="J57" s="11">
        <v>32000</v>
      </c>
      <c r="K57" s="12">
        <f t="shared" ref="K57:K59" si="5">J57*I57</f>
        <v>32000</v>
      </c>
    </row>
    <row r="58" spans="1:12">
      <c r="A58" s="45" t="s">
        <v>1438</v>
      </c>
      <c r="B58" s="33">
        <v>103</v>
      </c>
      <c r="C58" s="33" t="s">
        <v>111</v>
      </c>
      <c r="D58" s="33" t="s">
        <v>112</v>
      </c>
      <c r="E58" s="33" t="s">
        <v>113</v>
      </c>
      <c r="F58" s="32">
        <v>460720660</v>
      </c>
      <c r="G58" s="46"/>
      <c r="H58" s="34">
        <v>1</v>
      </c>
      <c r="I58" s="10">
        <f t="shared" si="4"/>
        <v>1</v>
      </c>
      <c r="J58" s="11">
        <v>32000</v>
      </c>
      <c r="K58" s="12">
        <f t="shared" si="5"/>
        <v>32000</v>
      </c>
    </row>
    <row r="59" spans="1:12">
      <c r="A59" s="45" t="s">
        <v>1438</v>
      </c>
      <c r="B59" s="33">
        <v>204</v>
      </c>
      <c r="C59" s="33" t="s">
        <v>894</v>
      </c>
      <c r="D59" s="33" t="s">
        <v>145</v>
      </c>
      <c r="E59" s="33" t="s">
        <v>1262</v>
      </c>
      <c r="F59" s="32" t="s">
        <v>1464</v>
      </c>
      <c r="G59" s="46"/>
      <c r="H59" s="34">
        <v>1</v>
      </c>
      <c r="I59" s="10">
        <f t="shared" si="4"/>
        <v>1</v>
      </c>
      <c r="J59" s="11">
        <v>32000</v>
      </c>
      <c r="K59" s="12">
        <f t="shared" si="5"/>
        <v>32000</v>
      </c>
    </row>
    <row r="60" spans="1:12" ht="12.75" customHeight="1">
      <c r="A60" s="40"/>
      <c r="B60" s="40"/>
      <c r="C60" s="41"/>
      <c r="D60" s="41"/>
      <c r="E60" s="41"/>
      <c r="F60" s="40"/>
      <c r="G60" s="16"/>
      <c r="H60" s="16"/>
      <c r="I60" s="10"/>
      <c r="J60" s="11"/>
      <c r="K60" s="12"/>
    </row>
    <row r="61" spans="1:12">
      <c r="A61" s="3"/>
      <c r="G61" s="16">
        <f>SUM(G10:G60)</f>
        <v>47</v>
      </c>
      <c r="H61" s="16">
        <f>SUM(H10:H60)</f>
        <v>50</v>
      </c>
      <c r="I61" s="16">
        <f>SUM(I10:I60)</f>
        <v>97</v>
      </c>
      <c r="L61" s="3" t="s">
        <v>29</v>
      </c>
    </row>
    <row r="62" spans="1:12">
      <c r="A62" s="3"/>
      <c r="G62" s="1"/>
      <c r="H62" s="1"/>
      <c r="I62" s="1"/>
    </row>
    <row r="63" spans="1:12">
      <c r="A63" s="3"/>
      <c r="J63" s="17" t="s">
        <v>30</v>
      </c>
      <c r="K63" s="18">
        <f>SUM(K10:K62)</f>
        <v>3104000</v>
      </c>
    </row>
    <row r="64" spans="1:12" ht="17.25" customHeight="1" thickBot="1">
      <c r="A64" s="19"/>
      <c r="B64" s="20"/>
      <c r="C64" s="19"/>
      <c r="D64" s="19"/>
      <c r="E64" s="19"/>
    </row>
    <row r="65" spans="1:14" ht="17.25" customHeight="1" thickBot="1">
      <c r="A65" s="81" t="s">
        <v>574</v>
      </c>
      <c r="B65" s="81"/>
      <c r="C65" s="81"/>
      <c r="D65" s="81"/>
      <c r="E65" s="81"/>
      <c r="F65" s="81"/>
      <c r="G65" s="91">
        <v>45868</v>
      </c>
      <c r="H65" s="91">
        <v>45869</v>
      </c>
      <c r="I65" s="87" t="s">
        <v>575</v>
      </c>
      <c r="J65" s="87"/>
      <c r="K65" s="87"/>
    </row>
    <row r="66" spans="1:14" ht="12.75" customHeight="1" thickBot="1">
      <c r="A66" s="81"/>
      <c r="B66" s="81"/>
      <c r="C66" s="81"/>
      <c r="D66" s="81"/>
      <c r="E66" s="81"/>
      <c r="F66" s="81"/>
      <c r="G66" s="91"/>
      <c r="H66" s="91"/>
      <c r="I66" s="87"/>
      <c r="J66" s="87"/>
      <c r="K66" s="87"/>
    </row>
    <row r="67" spans="1:14" ht="11.25" hidden="1" customHeight="1" thickBot="1">
      <c r="A67" s="81"/>
      <c r="B67" s="81"/>
      <c r="C67" s="81"/>
      <c r="D67" s="81"/>
      <c r="E67" s="81"/>
      <c r="F67" s="81"/>
      <c r="G67" s="91"/>
      <c r="H67" s="91"/>
      <c r="I67" s="87"/>
      <c r="J67" s="87"/>
      <c r="K67" s="87"/>
    </row>
    <row r="68" spans="1:14" ht="17.25" customHeight="1">
      <c r="A68" s="80" t="s">
        <v>31</v>
      </c>
      <c r="B68" s="80"/>
      <c r="C68" s="80"/>
      <c r="D68" s="80"/>
      <c r="E68" s="80"/>
      <c r="F68" s="80"/>
      <c r="G68" s="91"/>
      <c r="H68" s="91"/>
      <c r="I68" s="21" t="s">
        <v>5</v>
      </c>
      <c r="J68" s="21" t="s">
        <v>6</v>
      </c>
      <c r="K68" s="22" t="s">
        <v>7</v>
      </c>
    </row>
    <row r="69" spans="1:14" ht="17.25" customHeight="1">
      <c r="A69" s="23">
        <v>1</v>
      </c>
      <c r="B69" s="78" t="s">
        <v>32</v>
      </c>
      <c r="C69" s="78"/>
      <c r="D69" s="78"/>
      <c r="E69" s="78"/>
      <c r="F69" s="78"/>
      <c r="G69" s="49"/>
      <c r="H69" s="44">
        <v>18</v>
      </c>
      <c r="I69" s="24">
        <f>SUM(G69:H69)</f>
        <v>18</v>
      </c>
      <c r="J69" s="15">
        <v>8500</v>
      </c>
      <c r="K69" s="15">
        <f>J69*I69</f>
        <v>153000</v>
      </c>
    </row>
    <row r="71" spans="1:14" ht="11.25" customHeight="1">
      <c r="I71" s="25"/>
      <c r="J71" s="26" t="s">
        <v>33</v>
      </c>
      <c r="K71" s="27">
        <f>K63</f>
        <v>3104000</v>
      </c>
      <c r="L71" s="25"/>
    </row>
    <row r="72" spans="1:14" ht="11.25" customHeight="1">
      <c r="I72" s="25"/>
      <c r="J72" s="26" t="s">
        <v>32</v>
      </c>
      <c r="K72" s="27">
        <f>K69</f>
        <v>153000</v>
      </c>
      <c r="L72" s="25"/>
    </row>
    <row r="73" spans="1:14" ht="14.25" customHeight="1">
      <c r="I73" s="25"/>
      <c r="J73" s="28"/>
      <c r="K73" s="28"/>
      <c r="L73" s="25"/>
    </row>
    <row r="74" spans="1:14" ht="14.25" customHeight="1">
      <c r="I74" s="25"/>
      <c r="J74" s="25"/>
      <c r="K74" s="25"/>
      <c r="L74" s="25"/>
      <c r="M74" s="2"/>
      <c r="N74" s="2"/>
    </row>
    <row r="75" spans="1:14" ht="14.25" customHeight="1">
      <c r="I75" s="25"/>
      <c r="J75" s="25"/>
      <c r="K75" s="25"/>
      <c r="L75" s="25"/>
      <c r="M75" s="2"/>
      <c r="N75" s="2"/>
    </row>
    <row r="76" spans="1:14" ht="14.25" customHeight="1">
      <c r="I76" s="28"/>
      <c r="L76" s="28"/>
      <c r="M76" s="2"/>
      <c r="N76" s="2"/>
    </row>
    <row r="77" spans="1:14" ht="14.25" customHeight="1">
      <c r="I77" s="25"/>
      <c r="L77" s="25"/>
      <c r="M77" s="31"/>
      <c r="N77" s="31"/>
    </row>
    <row r="78" spans="1:14" ht="14.25" customHeight="1">
      <c r="I78" s="25"/>
      <c r="L78" s="25"/>
      <c r="M78" s="31"/>
      <c r="N78" s="31"/>
    </row>
    <row r="79" spans="1:14" ht="14.25" customHeight="1">
      <c r="I79" s="25"/>
      <c r="L79" s="25"/>
    </row>
    <row r="80" spans="1:14" ht="20.25">
      <c r="I80" s="25"/>
      <c r="L80" s="25"/>
    </row>
    <row r="81" spans="3:12" ht="20.25">
      <c r="I81" s="25"/>
      <c r="L81" s="25"/>
    </row>
    <row r="83" spans="3:12">
      <c r="C83" s="77"/>
      <c r="D83" s="77"/>
    </row>
  </sheetData>
  <autoFilter ref="I9:K9" xr:uid="{00000000-0001-0000-0000-000000000000}"/>
  <mergeCells count="14">
    <mergeCell ref="B69:F69"/>
    <mergeCell ref="C83:D83"/>
    <mergeCell ref="I65:K67"/>
    <mergeCell ref="A68:F68"/>
    <mergeCell ref="I6:K8"/>
    <mergeCell ref="A65:F67"/>
    <mergeCell ref="G65:G68"/>
    <mergeCell ref="H65:H68"/>
    <mergeCell ref="A1:F5"/>
    <mergeCell ref="G1:K3"/>
    <mergeCell ref="G4:K5"/>
    <mergeCell ref="A6:F8"/>
    <mergeCell ref="G6:G9"/>
    <mergeCell ref="H6:H9"/>
  </mergeCells>
  <phoneticPr fontId="23" type="noConversion"/>
  <pageMargins left="0.25" right="0.25" top="0.75" bottom="0.75" header="0.511811023622047" footer="0.511811023622047"/>
  <pageSetup scale="7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H1</vt:lpstr>
      <vt:lpstr>H3</vt:lpstr>
      <vt:lpstr>ACONCAGUA</vt:lpstr>
      <vt:lpstr>LT</vt:lpstr>
      <vt:lpstr>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</dc:creator>
  <dc:description/>
  <cp:lastModifiedBy>CAROLINA W</cp:lastModifiedBy>
  <cp:revision>9</cp:revision>
  <cp:lastPrinted>2023-06-16T15:04:25Z</cp:lastPrinted>
  <dcterms:created xsi:type="dcterms:W3CDTF">2013-10-02T16:06:41Z</dcterms:created>
  <dcterms:modified xsi:type="dcterms:W3CDTF">2025-08-05T13:39:07Z</dcterms:modified>
  <dc:language>es-CL</dc:language>
</cp:coreProperties>
</file>
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ESCRITORIO\FE GRANDE\RESUMEN\MAYO\"/>
    </mc:Choice>
  </mc:AlternateContent>
  <xr:revisionPtr revIDLastSave="0" documentId="13_ncr:1_{96D5912B-BCD8-4BB4-B6C2-1E236C9AAA4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H1" sheetId="2" r:id="rId1"/>
    <sheet name="H3" sheetId="3" r:id="rId2"/>
    <sheet name="ACONCAGUA" sheetId="1" r:id="rId3"/>
  </sheets>
  <definedNames>
    <definedName name="_xlnm._FilterDatabase" localSheetId="2" hidden="1">ACONCAGUA!$AL$9:$AN$100</definedName>
    <definedName name="_xlnm._FilterDatabase" localSheetId="0" hidden="1">'H1'!$B$9:$F$444</definedName>
    <definedName name="_xlnm._FilterDatabase" localSheetId="1" hidden="1">'H3'!$AL$9:$AN$83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02" i="3" l="1"/>
  <c r="AL27" i="3"/>
  <c r="AN27" i="3" s="1"/>
  <c r="AL26" i="3"/>
  <c r="AN26" i="3" s="1"/>
  <c r="AL25" i="3"/>
  <c r="AN25" i="3" s="1"/>
  <c r="AL24" i="3"/>
  <c r="AN24" i="3" s="1"/>
  <c r="AL23" i="3"/>
  <c r="AN23" i="3" s="1"/>
  <c r="AL22" i="3"/>
  <c r="AN22" i="3" s="1"/>
  <c r="AL21" i="3"/>
  <c r="AN21" i="3" s="1"/>
  <c r="AL20" i="3"/>
  <c r="AN20" i="3" s="1"/>
  <c r="AL19" i="3"/>
  <c r="AN19" i="3" s="1"/>
  <c r="AL18" i="3"/>
  <c r="AN18" i="3" s="1"/>
  <c r="AL17" i="3"/>
  <c r="AN17" i="3" s="1"/>
  <c r="AL16" i="3"/>
  <c r="AN16" i="3" s="1"/>
  <c r="AL15" i="3"/>
  <c r="AN15" i="3" s="1"/>
  <c r="AL14" i="3"/>
  <c r="AN14" i="3" s="1"/>
  <c r="AL13" i="3"/>
  <c r="AN13" i="3" s="1"/>
  <c r="AL12" i="3"/>
  <c r="AN12" i="3" s="1"/>
  <c r="AL11" i="3"/>
  <c r="AN11" i="3" s="1"/>
  <c r="AL10" i="3"/>
  <c r="AN10" i="3" s="1"/>
  <c r="AL126" i="2"/>
  <c r="AN126" i="2" s="1"/>
  <c r="AL125" i="2"/>
  <c r="AN125" i="2" s="1"/>
  <c r="AL124" i="2"/>
  <c r="AN124" i="2" s="1"/>
  <c r="AL123" i="2"/>
  <c r="AN123" i="2" s="1"/>
  <c r="AL122" i="2"/>
  <c r="AN122" i="2" s="1"/>
  <c r="AL121" i="2"/>
  <c r="AN121" i="2" s="1"/>
  <c r="AL120" i="2"/>
  <c r="AN120" i="2" s="1"/>
  <c r="AL119" i="2"/>
  <c r="AN119" i="2" s="1"/>
  <c r="AL118" i="2"/>
  <c r="AN118" i="2" s="1"/>
  <c r="AL117" i="2"/>
  <c r="AN117" i="2" s="1"/>
  <c r="AL116" i="2"/>
  <c r="AN116" i="2" s="1"/>
  <c r="AL115" i="2"/>
  <c r="AN115" i="2" s="1"/>
  <c r="AL114" i="2"/>
  <c r="AN114" i="2" s="1"/>
  <c r="AL113" i="2"/>
  <c r="AN113" i="2" s="1"/>
  <c r="AL112" i="2"/>
  <c r="AN112" i="2" s="1"/>
  <c r="AL111" i="2"/>
  <c r="AN111" i="2" s="1"/>
  <c r="AL110" i="2"/>
  <c r="AN110" i="2" s="1"/>
  <c r="AL109" i="2"/>
  <c r="AN109" i="2" s="1"/>
  <c r="AL108" i="2"/>
  <c r="AN108" i="2" s="1"/>
  <c r="H100" i="3" l="1"/>
  <c r="I100" i="3"/>
  <c r="J100" i="3"/>
  <c r="K100" i="3"/>
  <c r="L100" i="3"/>
  <c r="M100" i="3"/>
  <c r="N100" i="3"/>
  <c r="O100" i="3"/>
  <c r="AL98" i="3"/>
  <c r="AN98" i="3" s="1"/>
  <c r="AL85" i="1"/>
  <c r="AN85" i="1" s="1"/>
  <c r="AL86" i="1"/>
  <c r="AN86" i="1" s="1"/>
  <c r="AL87" i="1"/>
  <c r="AN87" i="1" s="1"/>
  <c r="AL88" i="1"/>
  <c r="AN88" i="1" s="1"/>
  <c r="AL89" i="1"/>
  <c r="AN89" i="1" s="1"/>
  <c r="AL90" i="1"/>
  <c r="AN90" i="1" s="1"/>
  <c r="AL91" i="1"/>
  <c r="AN91" i="1" s="1"/>
  <c r="AL92" i="1"/>
  <c r="AN92" i="1" s="1"/>
  <c r="AL93" i="1"/>
  <c r="AN93" i="1" s="1"/>
  <c r="AL94" i="1"/>
  <c r="AN94" i="1" s="1"/>
  <c r="AL95" i="1"/>
  <c r="AN95" i="1" s="1"/>
  <c r="AL96" i="1"/>
  <c r="AN96" i="1" s="1"/>
  <c r="AL97" i="1"/>
  <c r="AN97" i="1" s="1"/>
  <c r="AL98" i="1"/>
  <c r="AN98" i="1" s="1"/>
  <c r="AL99" i="1"/>
  <c r="AN99" i="1" s="1"/>
  <c r="AL100" i="1"/>
  <c r="AN100" i="1" s="1"/>
  <c r="AL72" i="1"/>
  <c r="AN72" i="1" s="1"/>
  <c r="AL73" i="1"/>
  <c r="AN73" i="1" s="1"/>
  <c r="AL74" i="1"/>
  <c r="AN74" i="1" s="1"/>
  <c r="AL75" i="1"/>
  <c r="AN75" i="1" s="1"/>
  <c r="AL76" i="1"/>
  <c r="AN76" i="1" s="1"/>
  <c r="AL77" i="1"/>
  <c r="AN77" i="1" s="1"/>
  <c r="AL84" i="3"/>
  <c r="AN84" i="3" s="1"/>
  <c r="AL85" i="3"/>
  <c r="AN85" i="3" s="1"/>
  <c r="AL86" i="3"/>
  <c r="AN86" i="3" s="1"/>
  <c r="AL87" i="3"/>
  <c r="AN87" i="3" s="1"/>
  <c r="AL88" i="3"/>
  <c r="AN88" i="3" s="1"/>
  <c r="AL89" i="3"/>
  <c r="AN89" i="3" s="1"/>
  <c r="AL90" i="3"/>
  <c r="AN90" i="3" s="1"/>
  <c r="AL91" i="3"/>
  <c r="AN91" i="3" s="1"/>
  <c r="AL92" i="3"/>
  <c r="AN92" i="3" s="1"/>
  <c r="AL93" i="3"/>
  <c r="AN93" i="3" s="1"/>
  <c r="AL94" i="3"/>
  <c r="AN94" i="3" s="1"/>
  <c r="AL95" i="3"/>
  <c r="AN95" i="3" s="1"/>
  <c r="AL96" i="3"/>
  <c r="AN96" i="3" s="1"/>
  <c r="AL97" i="3"/>
  <c r="AN97" i="3" s="1"/>
  <c r="AL404" i="2"/>
  <c r="AN404" i="2" s="1"/>
  <c r="AL386" i="2"/>
  <c r="AN386" i="2" s="1"/>
  <c r="AL399" i="2"/>
  <c r="AN399" i="2" s="1"/>
  <c r="AL400" i="2"/>
  <c r="AN400" i="2" s="1"/>
  <c r="AL407" i="2"/>
  <c r="AN407" i="2" s="1"/>
  <c r="AL408" i="2"/>
  <c r="AN408" i="2" s="1"/>
  <c r="AL403" i="2"/>
  <c r="AN403" i="2" s="1"/>
  <c r="AL421" i="2"/>
  <c r="AN421" i="2" s="1"/>
  <c r="AL385" i="2"/>
  <c r="AN385" i="2" s="1"/>
  <c r="AL236" i="2"/>
  <c r="AN236" i="2" s="1"/>
  <c r="AL310" i="2"/>
  <c r="AN310" i="2" s="1"/>
  <c r="AL375" i="2"/>
  <c r="AN375" i="2" s="1"/>
  <c r="AL376" i="2"/>
  <c r="AN376" i="2" s="1"/>
  <c r="AL379" i="2"/>
  <c r="AN379" i="2" s="1"/>
  <c r="AL380" i="2"/>
  <c r="AN380" i="2" s="1"/>
  <c r="AL277" i="2"/>
  <c r="AN277" i="2" s="1"/>
  <c r="AL280" i="2"/>
  <c r="AN280" i="2" s="1"/>
  <c r="AL364" i="2"/>
  <c r="AN364" i="2" s="1"/>
  <c r="AL246" i="2"/>
  <c r="AN246" i="2" s="1"/>
  <c r="AL417" i="2"/>
  <c r="AN417" i="2" s="1"/>
  <c r="AL247" i="2"/>
  <c r="AN247" i="2" s="1"/>
  <c r="AL215" i="2"/>
  <c r="AN215" i="2" s="1"/>
  <c r="AL216" i="2"/>
  <c r="AN216" i="2" s="1"/>
  <c r="AL361" i="2"/>
  <c r="AN361" i="2" s="1"/>
  <c r="AL258" i="2"/>
  <c r="AN258" i="2" s="1"/>
  <c r="AL273" i="2"/>
  <c r="AN273" i="2" s="1"/>
  <c r="AL422" i="2"/>
  <c r="AN422" i="2" s="1"/>
  <c r="AL423" i="2"/>
  <c r="AN423" i="2" s="1"/>
  <c r="AL202" i="2"/>
  <c r="AN202" i="2" s="1"/>
  <c r="AL384" i="2"/>
  <c r="AN384" i="2" s="1"/>
  <c r="AL231" i="2"/>
  <c r="AN231" i="2" s="1"/>
  <c r="AL355" i="2"/>
  <c r="AN355" i="2" s="1"/>
  <c r="AL377" i="2"/>
  <c r="AN377" i="2" s="1"/>
  <c r="AL217" i="2"/>
  <c r="AN217" i="2" s="1"/>
  <c r="AL378" i="2"/>
  <c r="AN378" i="2" s="1"/>
  <c r="AL218" i="2"/>
  <c r="AN218" i="2" s="1"/>
  <c r="AL353" i="2"/>
  <c r="AN353" i="2" s="1"/>
  <c r="AL244" i="2"/>
  <c r="AN244" i="2" s="1"/>
  <c r="AL373" i="2"/>
  <c r="AN373" i="2" s="1"/>
  <c r="AL245" i="2"/>
  <c r="AN245" i="2" s="1"/>
  <c r="AL374" i="2"/>
  <c r="AN374" i="2" s="1"/>
  <c r="AL354" i="2"/>
  <c r="AN354" i="2" s="1"/>
  <c r="AL411" i="2"/>
  <c r="AN411" i="2" s="1"/>
  <c r="AL412" i="2"/>
  <c r="AN412" i="2" s="1"/>
  <c r="AL308" i="2"/>
  <c r="AN308" i="2" s="1"/>
  <c r="AL309" i="2"/>
  <c r="AN309" i="2" s="1"/>
  <c r="AL252" i="2"/>
  <c r="AN252" i="2" s="1"/>
  <c r="AL253" i="2"/>
  <c r="AN253" i="2" s="1"/>
  <c r="AL315" i="2"/>
  <c r="AN315" i="2" s="1"/>
  <c r="AL316" i="2"/>
  <c r="AN316" i="2" s="1"/>
  <c r="AL319" i="2"/>
  <c r="AN319" i="2" s="1"/>
  <c r="AL320" i="2"/>
  <c r="AN320" i="2" s="1"/>
  <c r="AL321" i="2"/>
  <c r="AN321" i="2" s="1"/>
  <c r="AL322" i="2"/>
  <c r="AN322" i="2" s="1"/>
  <c r="AG446" i="2" l="1"/>
  <c r="AH446" i="2"/>
  <c r="AI446" i="2"/>
  <c r="AJ446" i="2"/>
  <c r="AK446" i="2"/>
  <c r="AG102" i="1"/>
  <c r="AH102" i="1"/>
  <c r="AI102" i="1"/>
  <c r="AJ102" i="1"/>
  <c r="AK102" i="1"/>
  <c r="AG100" i="3"/>
  <c r="AH100" i="3"/>
  <c r="AI100" i="3"/>
  <c r="AJ100" i="3"/>
  <c r="AK100" i="3"/>
  <c r="AL81" i="3"/>
  <c r="AN81" i="3" s="1"/>
  <c r="AL70" i="3"/>
  <c r="AN70" i="3" s="1"/>
  <c r="AL71" i="3"/>
  <c r="AN71" i="3" s="1"/>
  <c r="AL72" i="3"/>
  <c r="AN72" i="3" s="1"/>
  <c r="AL73" i="3"/>
  <c r="AN73" i="3" s="1"/>
  <c r="AL74" i="3"/>
  <c r="AN74" i="3" s="1"/>
  <c r="AL75" i="3"/>
  <c r="AN75" i="3" s="1"/>
  <c r="AL76" i="3"/>
  <c r="AN76" i="3" s="1"/>
  <c r="AL77" i="3"/>
  <c r="AN77" i="3" s="1"/>
  <c r="AL78" i="3"/>
  <c r="AN78" i="3" s="1"/>
  <c r="AL79" i="3"/>
  <c r="AN79" i="3" s="1"/>
  <c r="AL80" i="3"/>
  <c r="AN80" i="3" s="1"/>
  <c r="AL82" i="3"/>
  <c r="AN82" i="3" s="1"/>
  <c r="AL78" i="1"/>
  <c r="AN78" i="1" s="1"/>
  <c r="AL79" i="1"/>
  <c r="AN79" i="1" s="1"/>
  <c r="AL80" i="1"/>
  <c r="AN80" i="1" s="1"/>
  <c r="AL81" i="1"/>
  <c r="AN81" i="1" s="1"/>
  <c r="AL82" i="1"/>
  <c r="AN82" i="1"/>
  <c r="AL83" i="1"/>
  <c r="AN83" i="1" s="1"/>
  <c r="AL84" i="1"/>
  <c r="AN84" i="1" s="1"/>
  <c r="AL383" i="2"/>
  <c r="AN383" i="2" s="1"/>
  <c r="AL282" i="2"/>
  <c r="AN282" i="2" s="1"/>
  <c r="AL348" i="2"/>
  <c r="AN348" i="2" s="1"/>
  <c r="AL339" i="2"/>
  <c r="AN339" i="2" s="1"/>
  <c r="AL414" i="2"/>
  <c r="AN414" i="2" s="1"/>
  <c r="AL415" i="2"/>
  <c r="AN415" i="2" s="1"/>
  <c r="AL416" i="2"/>
  <c r="AN416" i="2" s="1"/>
  <c r="AL418" i="2"/>
  <c r="AN418" i="2" s="1"/>
  <c r="AL254" i="2"/>
  <c r="AN254" i="2" s="1"/>
  <c r="AL369" i="2"/>
  <c r="AN369" i="2" s="1"/>
  <c r="AL289" i="2"/>
  <c r="AN289" i="2" s="1"/>
  <c r="AL208" i="2"/>
  <c r="AN208" i="2" s="1"/>
  <c r="AL242" i="2"/>
  <c r="AN242" i="2" s="1"/>
  <c r="AL290" i="2"/>
  <c r="AN290" i="2" s="1"/>
  <c r="AL255" i="2"/>
  <c r="AN255" i="2" s="1"/>
  <c r="AL370" i="2"/>
  <c r="AN370" i="2" s="1"/>
  <c r="AL239" i="2"/>
  <c r="AN239" i="2" s="1"/>
  <c r="AL226" i="2"/>
  <c r="AN226" i="2" s="1"/>
  <c r="AL276" i="2"/>
  <c r="AN276" i="2" s="1"/>
  <c r="AL294" i="2"/>
  <c r="AN294" i="2" s="1"/>
  <c r="AL227" i="2"/>
  <c r="AN227" i="2" s="1"/>
  <c r="AL299" i="2"/>
  <c r="AN299" i="2" s="1"/>
  <c r="AL351" i="2"/>
  <c r="AN351" i="2" s="1"/>
  <c r="AL389" i="2"/>
  <c r="AN389" i="2" s="1"/>
  <c r="AL335" i="2"/>
  <c r="AN335" i="2" s="1"/>
  <c r="AL352" i="2"/>
  <c r="AN352" i="2" s="1"/>
  <c r="AL221" i="2"/>
  <c r="AN221" i="2" s="1"/>
  <c r="AL419" i="2"/>
  <c r="AN419" i="2" s="1"/>
  <c r="AL230" i="2"/>
  <c r="AN230" i="2" s="1"/>
  <c r="AL243" i="2"/>
  <c r="AN243" i="2" s="1"/>
  <c r="AL336" i="2"/>
  <c r="AN336" i="2" s="1"/>
  <c r="AL198" i="2"/>
  <c r="AN198" i="2" s="1"/>
  <c r="AL199" i="2"/>
  <c r="AN199" i="2" s="1"/>
  <c r="AL222" i="2"/>
  <c r="AN222" i="2" s="1"/>
  <c r="AL342" i="2"/>
  <c r="AN342" i="2" s="1"/>
  <c r="AL395" i="2"/>
  <c r="AN395" i="2" s="1"/>
  <c r="AL313" i="2"/>
  <c r="AN313" i="2" s="1"/>
  <c r="AL396" i="2"/>
  <c r="AN396" i="2" s="1"/>
  <c r="AL314" i="2"/>
  <c r="AN314" i="2" s="1"/>
  <c r="AL420" i="2"/>
  <c r="AN420" i="2" s="1"/>
  <c r="AL343" i="2"/>
  <c r="AN343" i="2" s="1"/>
  <c r="AL338" i="2"/>
  <c r="AN338" i="2" s="1"/>
  <c r="AL390" i="2"/>
  <c r="AN390" i="2" s="1"/>
  <c r="AL424" i="2"/>
  <c r="AN424" i="2" s="1"/>
  <c r="AL425" i="2"/>
  <c r="AN425" i="2" s="1"/>
  <c r="AL426" i="2"/>
  <c r="AN426" i="2" s="1"/>
  <c r="AL427" i="2"/>
  <c r="AN427" i="2" s="1"/>
  <c r="AJ455" i="2" l="1"/>
  <c r="AI455" i="2"/>
  <c r="AH455" i="2"/>
  <c r="AK455" i="2"/>
  <c r="AG455" i="2"/>
  <c r="AL346" i="2"/>
  <c r="AN346" i="2" s="1"/>
  <c r="AL347" i="2"/>
  <c r="AN347" i="2" s="1"/>
  <c r="AL264" i="2"/>
  <c r="AN264" i="2" s="1"/>
  <c r="AL349" i="2"/>
  <c r="AN349" i="2" s="1"/>
  <c r="AL263" i="2"/>
  <c r="AN263" i="2" s="1"/>
  <c r="AL283" i="2"/>
  <c r="AN283" i="2" s="1"/>
  <c r="AL212" i="2"/>
  <c r="AN212" i="2" s="1"/>
  <c r="AL213" i="2"/>
  <c r="AN213" i="2" s="1"/>
  <c r="AL345" i="2"/>
  <c r="AN345" i="2" s="1"/>
  <c r="AL341" i="2"/>
  <c r="AN341" i="2" s="1"/>
  <c r="AL344" i="2"/>
  <c r="AN344" i="2" s="1"/>
  <c r="AL67" i="1" l="1"/>
  <c r="AN67" i="1" s="1"/>
  <c r="AL68" i="1"/>
  <c r="AN68" i="1" s="1"/>
  <c r="AL69" i="1"/>
  <c r="AN69" i="1" s="1"/>
  <c r="AL70" i="1"/>
  <c r="AN70" i="1" s="1"/>
  <c r="AL71" i="1"/>
  <c r="AN71" i="1" s="1"/>
  <c r="AL57" i="1"/>
  <c r="AN57" i="1" s="1"/>
  <c r="AL58" i="1"/>
  <c r="AN58" i="1" s="1"/>
  <c r="AL53" i="1"/>
  <c r="AN53" i="1" s="1"/>
  <c r="AL54" i="1"/>
  <c r="AN54" i="1" s="1"/>
  <c r="AL55" i="1"/>
  <c r="AN55" i="1" s="1"/>
  <c r="AL56" i="1"/>
  <c r="AN56" i="1" s="1"/>
  <c r="AL59" i="1"/>
  <c r="AN59" i="1" s="1"/>
  <c r="AL60" i="1"/>
  <c r="AN60" i="1" s="1"/>
  <c r="AL61" i="1"/>
  <c r="AN61" i="1" s="1"/>
  <c r="AL62" i="1"/>
  <c r="AN62" i="1" s="1"/>
  <c r="AL63" i="1"/>
  <c r="AN63" i="1" s="1"/>
  <c r="AL64" i="1"/>
  <c r="AN64" i="1" s="1"/>
  <c r="AL65" i="1"/>
  <c r="AN65" i="1" s="1"/>
  <c r="AL66" i="1"/>
  <c r="AN66" i="1" s="1"/>
  <c r="AL12" i="1"/>
  <c r="AN12" i="1" s="1"/>
  <c r="AL13" i="1"/>
  <c r="AN13" i="1" s="1"/>
  <c r="AL14" i="1"/>
  <c r="AN14" i="1" s="1"/>
  <c r="AL15" i="1"/>
  <c r="AN15" i="1" s="1"/>
  <c r="AL16" i="1"/>
  <c r="AN16" i="1" s="1"/>
  <c r="AL17" i="1"/>
  <c r="AN17" i="1" s="1"/>
  <c r="AL18" i="1"/>
  <c r="AN18" i="1" s="1"/>
  <c r="AL19" i="1"/>
  <c r="AN19" i="1" s="1"/>
  <c r="AL20" i="1"/>
  <c r="AN20" i="1" s="1"/>
  <c r="AL21" i="1"/>
  <c r="AN21" i="1" s="1"/>
  <c r="AL22" i="1"/>
  <c r="AN22" i="1" s="1"/>
  <c r="AL23" i="1"/>
  <c r="AN23" i="1" s="1"/>
  <c r="AL24" i="1"/>
  <c r="AN24" i="1" s="1"/>
  <c r="AL25" i="1"/>
  <c r="AN25" i="1" s="1"/>
  <c r="AL26" i="1"/>
  <c r="AN26" i="1" s="1"/>
  <c r="AL27" i="1"/>
  <c r="AN27" i="1" s="1"/>
  <c r="AL28" i="1"/>
  <c r="AN28" i="1" s="1"/>
  <c r="AL29" i="1"/>
  <c r="AN29" i="1" s="1"/>
  <c r="AL30" i="1"/>
  <c r="AN30" i="1" s="1"/>
  <c r="AL31" i="1"/>
  <c r="AN31" i="1" s="1"/>
  <c r="AL32" i="1"/>
  <c r="AN32" i="1" s="1"/>
  <c r="AL33" i="1"/>
  <c r="AN33" i="1" s="1"/>
  <c r="AL34" i="1"/>
  <c r="AN34" i="1" s="1"/>
  <c r="AL35" i="1"/>
  <c r="AN35" i="1" s="1"/>
  <c r="AL36" i="1"/>
  <c r="AN36" i="1" s="1"/>
  <c r="AL37" i="1"/>
  <c r="AN37" i="1" s="1"/>
  <c r="AL38" i="1"/>
  <c r="AN38" i="1" s="1"/>
  <c r="AL39" i="1"/>
  <c r="AN39" i="1" s="1"/>
  <c r="AL40" i="1"/>
  <c r="AN40" i="1" s="1"/>
  <c r="AL41" i="1"/>
  <c r="AN41" i="1" s="1"/>
  <c r="AL42" i="1"/>
  <c r="AN42" i="1" s="1"/>
  <c r="AL43" i="1"/>
  <c r="AN43" i="1" s="1"/>
  <c r="AL44" i="1"/>
  <c r="AN44" i="1" s="1"/>
  <c r="AL45" i="1"/>
  <c r="AN45" i="1" s="1"/>
  <c r="AL46" i="1"/>
  <c r="AN46" i="1" s="1"/>
  <c r="AL47" i="1"/>
  <c r="AN47" i="1" s="1"/>
  <c r="AL48" i="1"/>
  <c r="AN48" i="1" s="1"/>
  <c r="AL49" i="1"/>
  <c r="AN49" i="1" s="1"/>
  <c r="AL50" i="1"/>
  <c r="AN50" i="1" s="1"/>
  <c r="AL51" i="1"/>
  <c r="AN51" i="1" s="1"/>
  <c r="AL52" i="1"/>
  <c r="AN52" i="1" s="1"/>
  <c r="H446" i="2"/>
  <c r="I446" i="2"/>
  <c r="J446" i="2"/>
  <c r="K446" i="2"/>
  <c r="L446" i="2"/>
  <c r="M446" i="2"/>
  <c r="N446" i="2"/>
  <c r="O446" i="2"/>
  <c r="P446" i="2"/>
  <c r="Q446" i="2"/>
  <c r="R446" i="2"/>
  <c r="S446" i="2"/>
  <c r="T446" i="2"/>
  <c r="U446" i="2"/>
  <c r="V446" i="2"/>
  <c r="W446" i="2"/>
  <c r="X446" i="2"/>
  <c r="Y446" i="2"/>
  <c r="Z446" i="2"/>
  <c r="AA446" i="2"/>
  <c r="AB446" i="2"/>
  <c r="AC446" i="2"/>
  <c r="AD446" i="2"/>
  <c r="AE446" i="2"/>
  <c r="AF446" i="2"/>
  <c r="G446" i="2"/>
  <c r="AL438" i="2"/>
  <c r="AN438" i="2" s="1"/>
  <c r="AL439" i="2"/>
  <c r="AN439" i="2" s="1"/>
  <c r="AL440" i="2"/>
  <c r="AN440" i="2" s="1"/>
  <c r="AL441" i="2"/>
  <c r="AN441" i="2" s="1"/>
  <c r="AL442" i="2"/>
  <c r="AN442" i="2" s="1"/>
  <c r="AL443" i="2"/>
  <c r="AN443" i="2" s="1"/>
  <c r="AL444" i="2"/>
  <c r="AN444" i="2" s="1"/>
  <c r="AL201" i="2" l="1"/>
  <c r="AN201" i="2" s="1"/>
  <c r="AL203" i="2"/>
  <c r="AN203" i="2" s="1"/>
  <c r="AL204" i="2"/>
  <c r="AN204" i="2" s="1"/>
  <c r="AL205" i="2"/>
  <c r="AN205" i="2" s="1"/>
  <c r="AL219" i="2"/>
  <c r="AN219" i="2" s="1"/>
  <c r="AL206" i="2"/>
  <c r="AN206" i="2" s="1"/>
  <c r="AL207" i="2"/>
  <c r="AN207" i="2" s="1"/>
  <c r="AL209" i="2"/>
  <c r="AN209" i="2" s="1"/>
  <c r="AL210" i="2"/>
  <c r="AN210" i="2" s="1"/>
  <c r="AL211" i="2"/>
  <c r="AN211" i="2" s="1"/>
  <c r="AL214" i="2"/>
  <c r="AN214" i="2" s="1"/>
  <c r="AL220" i="2"/>
  <c r="AN220" i="2" s="1"/>
  <c r="AL224" i="2"/>
  <c r="AN224" i="2" s="1"/>
  <c r="AL225" i="2"/>
  <c r="AN225" i="2" s="1"/>
  <c r="AL228" i="2"/>
  <c r="AN228" i="2" s="1"/>
  <c r="AL229" i="2"/>
  <c r="AN229" i="2" s="1"/>
  <c r="AL232" i="2"/>
  <c r="AN232" i="2" s="1"/>
  <c r="AL233" i="2"/>
  <c r="AN233" i="2" s="1"/>
  <c r="AL234" i="2"/>
  <c r="AN234" i="2" s="1"/>
  <c r="AL235" i="2"/>
  <c r="AN235" i="2" s="1"/>
  <c r="AL237" i="2"/>
  <c r="AN237" i="2" s="1"/>
  <c r="AL238" i="2"/>
  <c r="AN238" i="2" s="1"/>
  <c r="AL240" i="2"/>
  <c r="AN240" i="2" s="1"/>
  <c r="AL241" i="2"/>
  <c r="AN241" i="2" s="1"/>
  <c r="AL248" i="2"/>
  <c r="AN248" i="2" s="1"/>
  <c r="AL249" i="2"/>
  <c r="AN249" i="2" s="1"/>
  <c r="AL250" i="2"/>
  <c r="AN250" i="2" s="1"/>
  <c r="AL251" i="2"/>
  <c r="AN251" i="2" s="1"/>
  <c r="AL256" i="2"/>
  <c r="AN256" i="2" s="1"/>
  <c r="AL257" i="2"/>
  <c r="AN257" i="2" s="1"/>
  <c r="AL259" i="2"/>
  <c r="AN259" i="2" s="1"/>
  <c r="AL260" i="2"/>
  <c r="AN260" i="2" s="1"/>
  <c r="AL261" i="2"/>
  <c r="AN261" i="2" s="1"/>
  <c r="AL262" i="2"/>
  <c r="AN262" i="2" s="1"/>
  <c r="AL265" i="2"/>
  <c r="AN265" i="2" s="1"/>
  <c r="AL266" i="2"/>
  <c r="AN266" i="2" s="1"/>
  <c r="AL267" i="2"/>
  <c r="AN267" i="2" s="1"/>
  <c r="AL268" i="2"/>
  <c r="AN268" i="2" s="1"/>
  <c r="AL269" i="2"/>
  <c r="AN269" i="2" s="1"/>
  <c r="AL270" i="2"/>
  <c r="AN270" i="2" s="1"/>
  <c r="AL271" i="2"/>
  <c r="AN271" i="2" s="1"/>
  <c r="AL272" i="2"/>
  <c r="AN272" i="2" s="1"/>
  <c r="AL274" i="2"/>
  <c r="AN274" i="2" s="1"/>
  <c r="AL278" i="2"/>
  <c r="AN278" i="2" s="1"/>
  <c r="AL279" i="2"/>
  <c r="AN279" i="2" s="1"/>
  <c r="AL281" i="2"/>
  <c r="AN281" i="2" s="1"/>
  <c r="AL284" i="2"/>
  <c r="AN284" i="2" s="1"/>
  <c r="AL285" i="2"/>
  <c r="AN285" i="2" s="1"/>
  <c r="AL286" i="2"/>
  <c r="AN286" i="2" s="1"/>
  <c r="AL287" i="2"/>
  <c r="AN287" i="2" s="1"/>
  <c r="AL288" i="2"/>
  <c r="AN288" i="2" s="1"/>
  <c r="AL291" i="2"/>
  <c r="AN291" i="2" s="1"/>
  <c r="AL292" i="2"/>
  <c r="AN292" i="2" s="1"/>
  <c r="AL358" i="2"/>
  <c r="AN358" i="2" s="1"/>
  <c r="AL293" i="2"/>
  <c r="AN293" i="2" s="1"/>
  <c r="AL295" i="2"/>
  <c r="AN295" i="2" s="1"/>
  <c r="AL296" i="2"/>
  <c r="AN296" i="2" s="1"/>
  <c r="AL297" i="2"/>
  <c r="AN297" i="2" s="1"/>
  <c r="AL298" i="2"/>
  <c r="AN298" i="2" s="1"/>
  <c r="AL300" i="2"/>
  <c r="AN300" i="2" s="1"/>
  <c r="AL301" i="2"/>
  <c r="AN301" i="2" s="1"/>
  <c r="AL302" i="2"/>
  <c r="AN302" i="2" s="1"/>
  <c r="AL303" i="2"/>
  <c r="AN303" i="2" s="1"/>
  <c r="AL304" i="2"/>
  <c r="AN304" i="2" s="1"/>
  <c r="AL305" i="2"/>
  <c r="AN305" i="2" s="1"/>
  <c r="AL306" i="2"/>
  <c r="AN306" i="2" s="1"/>
  <c r="AL307" i="2"/>
  <c r="AN307" i="2" s="1"/>
  <c r="AL311" i="2"/>
  <c r="AN311" i="2" s="1"/>
  <c r="AL312" i="2"/>
  <c r="AN312" i="2" s="1"/>
  <c r="AL317" i="2"/>
  <c r="AN317" i="2" s="1"/>
  <c r="AL318" i="2"/>
  <c r="AN318" i="2" s="1"/>
  <c r="AL323" i="2"/>
  <c r="AN323" i="2" s="1"/>
  <c r="AL324" i="2"/>
  <c r="AN324" i="2" s="1"/>
  <c r="AL325" i="2"/>
  <c r="AN325" i="2" s="1"/>
  <c r="AL326" i="2"/>
  <c r="AN326" i="2" s="1"/>
  <c r="AL327" i="2"/>
  <c r="AN327" i="2" s="1"/>
  <c r="AL328" i="2"/>
  <c r="AN328" i="2" s="1"/>
  <c r="AL329" i="2"/>
  <c r="AN329" i="2" s="1"/>
  <c r="AL330" i="2"/>
  <c r="AN330" i="2" s="1"/>
  <c r="AL331" i="2"/>
  <c r="AN331" i="2" s="1"/>
  <c r="AL332" i="2"/>
  <c r="AN332" i="2" s="1"/>
  <c r="AL333" i="2"/>
  <c r="AN333" i="2" s="1"/>
  <c r="AL334" i="2"/>
  <c r="AN334" i="2" s="1"/>
  <c r="AL337" i="2"/>
  <c r="AN337" i="2" s="1"/>
  <c r="AL340" i="2"/>
  <c r="AN340" i="2" s="1"/>
  <c r="AL350" i="2"/>
  <c r="AN350" i="2" s="1"/>
  <c r="AL356" i="2"/>
  <c r="AN356" i="2" s="1"/>
  <c r="AL357" i="2"/>
  <c r="AN357" i="2" s="1"/>
  <c r="AL359" i="2"/>
  <c r="AN359" i="2" s="1"/>
  <c r="AL223" i="2"/>
  <c r="AN223" i="2" s="1"/>
  <c r="AL360" i="2"/>
  <c r="AN360" i="2" s="1"/>
  <c r="AL275" i="2"/>
  <c r="AN275" i="2" s="1"/>
  <c r="AL362" i="2"/>
  <c r="AN362" i="2" s="1"/>
  <c r="AL363" i="2"/>
  <c r="AN363" i="2" s="1"/>
  <c r="AL365" i="2"/>
  <c r="AN365" i="2" s="1"/>
  <c r="AL366" i="2"/>
  <c r="AN366" i="2" s="1"/>
  <c r="AL367" i="2"/>
  <c r="AN367" i="2" s="1"/>
  <c r="AL368" i="2"/>
  <c r="AN368" i="2" s="1"/>
  <c r="AL371" i="2"/>
  <c r="AN371" i="2" s="1"/>
  <c r="AL372" i="2"/>
  <c r="AN372" i="2" s="1"/>
  <c r="AL381" i="2"/>
  <c r="AN381" i="2" s="1"/>
  <c r="AL382" i="2"/>
  <c r="AN382" i="2" s="1"/>
  <c r="AL387" i="2"/>
  <c r="AN387" i="2" s="1"/>
  <c r="AL388" i="2"/>
  <c r="AN388" i="2" s="1"/>
  <c r="AL391" i="2"/>
  <c r="AN391" i="2" s="1"/>
  <c r="AL392" i="2"/>
  <c r="AN392" i="2" s="1"/>
  <c r="AL393" i="2"/>
  <c r="AN393" i="2" s="1"/>
  <c r="AL394" i="2"/>
  <c r="AN394" i="2" s="1"/>
  <c r="AL397" i="2"/>
  <c r="AN397" i="2" s="1"/>
  <c r="AL398" i="2"/>
  <c r="AN398" i="2" s="1"/>
  <c r="AL401" i="2"/>
  <c r="AN401" i="2" s="1"/>
  <c r="AL402" i="2"/>
  <c r="AN402" i="2" s="1"/>
  <c r="AL405" i="2"/>
  <c r="AN405" i="2" s="1"/>
  <c r="AL406" i="2"/>
  <c r="AN406" i="2" s="1"/>
  <c r="AL409" i="2"/>
  <c r="AN409" i="2" s="1"/>
  <c r="AL410" i="2"/>
  <c r="AN410" i="2" s="1"/>
  <c r="AL413" i="2"/>
  <c r="AN413" i="2" s="1"/>
  <c r="AL200" i="2"/>
  <c r="AN200" i="2" s="1"/>
  <c r="AL428" i="2"/>
  <c r="AN428" i="2" s="1"/>
  <c r="AL429" i="2"/>
  <c r="AN429" i="2" s="1"/>
  <c r="AL69" i="3"/>
  <c r="AN69" i="3" s="1"/>
  <c r="AL53" i="3"/>
  <c r="AN53" i="3" s="1"/>
  <c r="AL60" i="3"/>
  <c r="AN60" i="3" s="1"/>
  <c r="AL65" i="3"/>
  <c r="AN65" i="3" s="1"/>
  <c r="AL47" i="3"/>
  <c r="AN47" i="3" s="1"/>
  <c r="AL48" i="3"/>
  <c r="AN48" i="3" s="1"/>
  <c r="AL68" i="3"/>
  <c r="AN68" i="3" s="1"/>
  <c r="AL67" i="3"/>
  <c r="AN67" i="3" s="1"/>
  <c r="AL64" i="3"/>
  <c r="AN64" i="3" s="1"/>
  <c r="AL63" i="3"/>
  <c r="AN63" i="3" s="1"/>
  <c r="AL42" i="3"/>
  <c r="AN42" i="3" s="1"/>
  <c r="AL43" i="3"/>
  <c r="AN43" i="3" s="1"/>
  <c r="AL44" i="3"/>
  <c r="AN44" i="3" s="1"/>
  <c r="AL45" i="3"/>
  <c r="AN45" i="3" s="1"/>
  <c r="AL46" i="3"/>
  <c r="AN46" i="3" s="1"/>
  <c r="AL49" i="3"/>
  <c r="AN49" i="3" s="1"/>
  <c r="AL50" i="3"/>
  <c r="AN50" i="3" s="1"/>
  <c r="AL62" i="3" l="1"/>
  <c r="AN62" i="3" s="1"/>
  <c r="AL66" i="3"/>
  <c r="AN66" i="3" s="1"/>
  <c r="AL36" i="3"/>
  <c r="AL39" i="3"/>
  <c r="AN39" i="3" s="1"/>
  <c r="AL40" i="3"/>
  <c r="AN40" i="3" s="1"/>
  <c r="AL51" i="3"/>
  <c r="AN51" i="3" s="1"/>
  <c r="AL52" i="3"/>
  <c r="AN52" i="3" s="1"/>
  <c r="AL54" i="3"/>
  <c r="AN54" i="3" s="1"/>
  <c r="AL55" i="3"/>
  <c r="AN55" i="3" s="1"/>
  <c r="AL56" i="3"/>
  <c r="AN56" i="3" s="1"/>
  <c r="AL57" i="3"/>
  <c r="AN57" i="3" s="1"/>
  <c r="AL58" i="3"/>
  <c r="AN58" i="3" s="1"/>
  <c r="AL59" i="3"/>
  <c r="AN59" i="3" s="1"/>
  <c r="AL61" i="3"/>
  <c r="AN61" i="3" s="1"/>
  <c r="AL194" i="2"/>
  <c r="AN194" i="2" s="1"/>
  <c r="AL190" i="2"/>
  <c r="AN190" i="2" s="1"/>
  <c r="AL195" i="2"/>
  <c r="AN195" i="2" s="1"/>
  <c r="AL192" i="2"/>
  <c r="AN192" i="2" s="1"/>
  <c r="AL191" i="2"/>
  <c r="AN191" i="2" s="1"/>
  <c r="AL196" i="2"/>
  <c r="AN196" i="2" s="1"/>
  <c r="AL193" i="2"/>
  <c r="AN193" i="2" s="1"/>
  <c r="AL197" i="2"/>
  <c r="AN197" i="2" s="1"/>
  <c r="AL155" i="2"/>
  <c r="AN155" i="2" s="1"/>
  <c r="AL156" i="2"/>
  <c r="AN156" i="2" s="1"/>
  <c r="AL157" i="2"/>
  <c r="AN157" i="2" s="1"/>
  <c r="AL158" i="2"/>
  <c r="AN158" i="2" s="1"/>
  <c r="AL159" i="2"/>
  <c r="AN159" i="2" s="1"/>
  <c r="AL160" i="2"/>
  <c r="AN160" i="2" s="1"/>
  <c r="AL161" i="2"/>
  <c r="AN161" i="2" s="1"/>
  <c r="AL162" i="2"/>
  <c r="AN162" i="2" s="1"/>
  <c r="AL163" i="2"/>
  <c r="AN163" i="2" s="1"/>
  <c r="AL164" i="2"/>
  <c r="AN164" i="2" s="1"/>
  <c r="AL165" i="2"/>
  <c r="AN165" i="2" s="1"/>
  <c r="AL166" i="2"/>
  <c r="AN166" i="2" s="1"/>
  <c r="AL167" i="2"/>
  <c r="AN167" i="2" s="1"/>
  <c r="AL168" i="2"/>
  <c r="AN168" i="2" s="1"/>
  <c r="AL169" i="2"/>
  <c r="AN169" i="2" s="1"/>
  <c r="AL170" i="2"/>
  <c r="AN170" i="2" s="1"/>
  <c r="AL171" i="2"/>
  <c r="AN171" i="2" s="1"/>
  <c r="AL172" i="2"/>
  <c r="AN172" i="2" s="1"/>
  <c r="AL173" i="2"/>
  <c r="AN173" i="2" s="1"/>
  <c r="AL174" i="2"/>
  <c r="AN174" i="2" s="1"/>
  <c r="AL175" i="2"/>
  <c r="AN175" i="2" s="1"/>
  <c r="AL176" i="2"/>
  <c r="AN176" i="2" s="1"/>
  <c r="AL177" i="2"/>
  <c r="AN177" i="2" s="1"/>
  <c r="AL178" i="2"/>
  <c r="AN178" i="2" s="1"/>
  <c r="AL179" i="2"/>
  <c r="AN179" i="2" s="1"/>
  <c r="AL180" i="2"/>
  <c r="AN180" i="2" s="1"/>
  <c r="AL181" i="2"/>
  <c r="AN181" i="2" s="1"/>
  <c r="AL182" i="2"/>
  <c r="AN182" i="2" s="1"/>
  <c r="AL183" i="2"/>
  <c r="AN183" i="2" s="1"/>
  <c r="AL184" i="2"/>
  <c r="AN184" i="2" s="1"/>
  <c r="AL185" i="2"/>
  <c r="AN185" i="2" s="1"/>
  <c r="AL186" i="2"/>
  <c r="AN186" i="2" s="1"/>
  <c r="AL187" i="2"/>
  <c r="AN187" i="2" s="1"/>
  <c r="AL188" i="2"/>
  <c r="AN188" i="2" s="1"/>
  <c r="AL189" i="2"/>
  <c r="AN189" i="2" s="1"/>
  <c r="AL430" i="2"/>
  <c r="AN430" i="2" s="1"/>
  <c r="AN36" i="3" l="1"/>
  <c r="AL100" i="3"/>
  <c r="AL150" i="2"/>
  <c r="AN150" i="2" s="1"/>
  <c r="AL151" i="2"/>
  <c r="AN151" i="2" s="1"/>
  <c r="AL152" i="2"/>
  <c r="AN152" i="2" s="1"/>
  <c r="AL153" i="2"/>
  <c r="AN153" i="2" s="1"/>
  <c r="AL154" i="2"/>
  <c r="AN154" i="2" s="1"/>
  <c r="AL139" i="2"/>
  <c r="AN139" i="2" s="1"/>
  <c r="AL140" i="2"/>
  <c r="AN140" i="2" s="1"/>
  <c r="AL141" i="2"/>
  <c r="AN141" i="2" s="1"/>
  <c r="AL142" i="2"/>
  <c r="AN142" i="2" s="1"/>
  <c r="AL143" i="2"/>
  <c r="AN143" i="2" s="1"/>
  <c r="AL144" i="2"/>
  <c r="AN144" i="2" s="1"/>
  <c r="AL145" i="2"/>
  <c r="AN145" i="2" s="1"/>
  <c r="AL146" i="2"/>
  <c r="AN146" i="2" s="1"/>
  <c r="AL147" i="2"/>
  <c r="AN147" i="2" s="1"/>
  <c r="AL148" i="2"/>
  <c r="AN148" i="2" s="1"/>
  <c r="AL149" i="2"/>
  <c r="AN149" i="2" s="1"/>
  <c r="AL431" i="2"/>
  <c r="AN431" i="2" s="1"/>
  <c r="AL432" i="2"/>
  <c r="AN432" i="2" s="1"/>
  <c r="AL433" i="2"/>
  <c r="AN433" i="2" s="1"/>
  <c r="AL434" i="2"/>
  <c r="AN434" i="2" s="1"/>
  <c r="AL435" i="2"/>
  <c r="AN435" i="2" s="1"/>
  <c r="AL74" i="2"/>
  <c r="AN74" i="2" s="1"/>
  <c r="AL75" i="2"/>
  <c r="AN75" i="2" s="1"/>
  <c r="AL76" i="2"/>
  <c r="AN76" i="2" s="1"/>
  <c r="AL77" i="2"/>
  <c r="AN77" i="2" s="1"/>
  <c r="AL78" i="2"/>
  <c r="AN78" i="2" s="1"/>
  <c r="AL97" i="2"/>
  <c r="AN97" i="2" s="1"/>
  <c r="AL86" i="2"/>
  <c r="AN86" i="2" s="1"/>
  <c r="AL87" i="2"/>
  <c r="AN87" i="2" s="1"/>
  <c r="AL88" i="2"/>
  <c r="AN88" i="2" s="1"/>
  <c r="AL89" i="2"/>
  <c r="AN89" i="2" s="1"/>
  <c r="AL84" i="2"/>
  <c r="AN84" i="2" s="1"/>
  <c r="AL85" i="2"/>
  <c r="AN85" i="2" s="1"/>
  <c r="AL90" i="2"/>
  <c r="AN90" i="2" s="1"/>
  <c r="AL91" i="2"/>
  <c r="AN91" i="2" s="1"/>
  <c r="AL96" i="2"/>
  <c r="AN96" i="2" s="1"/>
  <c r="AL137" i="2" l="1"/>
  <c r="AN137" i="2" s="1"/>
  <c r="AL138" i="2"/>
  <c r="AN138" i="2" s="1"/>
  <c r="AL131" i="2"/>
  <c r="AN131" i="2" s="1"/>
  <c r="AL132" i="2"/>
  <c r="AN132" i="2" s="1"/>
  <c r="AL436" i="2"/>
  <c r="AN436" i="2" s="1"/>
  <c r="AL98" i="2"/>
  <c r="AN98" i="2" s="1"/>
  <c r="AL99" i="2"/>
  <c r="AN99" i="2" s="1"/>
  <c r="AL100" i="2"/>
  <c r="AN100" i="2" s="1"/>
  <c r="AL101" i="2"/>
  <c r="AN101" i="2" s="1"/>
  <c r="AL57" i="2"/>
  <c r="AN57" i="2" s="1"/>
  <c r="AL127" i="2"/>
  <c r="AN127" i="2" s="1"/>
  <c r="AL128" i="2"/>
  <c r="AN128" i="2" s="1"/>
  <c r="AL129" i="2"/>
  <c r="AN129" i="2" s="1"/>
  <c r="AL130" i="2"/>
  <c r="AN130" i="2" s="1"/>
  <c r="AL133" i="2"/>
  <c r="AN133" i="2" s="1"/>
  <c r="AL134" i="2"/>
  <c r="AN134" i="2" s="1"/>
  <c r="AL135" i="2"/>
  <c r="AN135" i="2" s="1"/>
  <c r="AL136" i="2"/>
  <c r="AN136" i="2" s="1"/>
  <c r="AL107" i="2"/>
  <c r="AN107" i="2" s="1"/>
  <c r="AL104" i="2"/>
  <c r="AN104" i="2" s="1"/>
  <c r="AL105" i="2"/>
  <c r="AN105" i="2" s="1"/>
  <c r="AL102" i="2"/>
  <c r="AN102" i="2" s="1"/>
  <c r="AL28" i="2"/>
  <c r="AN28" i="2" s="1"/>
  <c r="AL29" i="2"/>
  <c r="AN29" i="2" s="1"/>
  <c r="AL30" i="2"/>
  <c r="AN30" i="2" s="1"/>
  <c r="AL31" i="2"/>
  <c r="AN31" i="2" s="1"/>
  <c r="AL32" i="2"/>
  <c r="AN32" i="2" s="1"/>
  <c r="AL33" i="2"/>
  <c r="AN33" i="2" s="1"/>
  <c r="AL34" i="2"/>
  <c r="AN34" i="2" s="1"/>
  <c r="AL35" i="2"/>
  <c r="AN35" i="2" s="1"/>
  <c r="AL36" i="2"/>
  <c r="AN36" i="2" s="1"/>
  <c r="AL37" i="2"/>
  <c r="AN37" i="2" s="1"/>
  <c r="AL38" i="2"/>
  <c r="AN38" i="2" s="1"/>
  <c r="AL39" i="2"/>
  <c r="AN39" i="2" s="1"/>
  <c r="AL40" i="2"/>
  <c r="AN40" i="2" s="1"/>
  <c r="AL41" i="2"/>
  <c r="AN41" i="2" s="1"/>
  <c r="AL46" i="2"/>
  <c r="AN46" i="2" s="1"/>
  <c r="AL47" i="2"/>
  <c r="AN47" i="2" s="1"/>
  <c r="AL50" i="2"/>
  <c r="AN50" i="2" s="1"/>
  <c r="AL51" i="2"/>
  <c r="AN51" i="2" s="1"/>
  <c r="AL52" i="2"/>
  <c r="AN52" i="2" s="1"/>
  <c r="AL53" i="2"/>
  <c r="AN53" i="2" s="1"/>
  <c r="AL54" i="2"/>
  <c r="AN54" i="2" s="1"/>
  <c r="AL55" i="2"/>
  <c r="AN55" i="2" s="1"/>
  <c r="AL56" i="2"/>
  <c r="AN56" i="2" s="1"/>
  <c r="AL58" i="2"/>
  <c r="AN58" i="2" s="1"/>
  <c r="AL59" i="2"/>
  <c r="AN59" i="2" s="1"/>
  <c r="AL60" i="2"/>
  <c r="AN60" i="2" s="1"/>
  <c r="AL61" i="2"/>
  <c r="AN61" i="2" s="1"/>
  <c r="AL64" i="2"/>
  <c r="AN64" i="2" s="1"/>
  <c r="AL65" i="2"/>
  <c r="AN65" i="2" s="1"/>
  <c r="AL66" i="2"/>
  <c r="AN66" i="2" s="1"/>
  <c r="AL67" i="2"/>
  <c r="AN67" i="2" s="1"/>
  <c r="AL68" i="2"/>
  <c r="AN68" i="2" s="1"/>
  <c r="AL69" i="2"/>
  <c r="AN69" i="2" s="1"/>
  <c r="AL70" i="2"/>
  <c r="AN70" i="2" s="1"/>
  <c r="AL71" i="2"/>
  <c r="AN71" i="2" s="1"/>
  <c r="AL72" i="2"/>
  <c r="AN72" i="2" s="1"/>
  <c r="AL73" i="2"/>
  <c r="AN73" i="2" s="1"/>
  <c r="AL80" i="2"/>
  <c r="AN80" i="2" s="1"/>
  <c r="AL81" i="2"/>
  <c r="AN81" i="2" s="1"/>
  <c r="AL103" i="2"/>
  <c r="AN103" i="2" s="1"/>
  <c r="AL437" i="2"/>
  <c r="AN437" i="2" s="1"/>
  <c r="AL27" i="2" l="1"/>
  <c r="AN27" i="2" s="1"/>
  <c r="AL92" i="2"/>
  <c r="AN92" i="2" s="1"/>
  <c r="AL93" i="2"/>
  <c r="AN93" i="2" s="1"/>
  <c r="AL94" i="2"/>
  <c r="AN94" i="2" s="1"/>
  <c r="AL95" i="2"/>
  <c r="AN95" i="2" s="1"/>
  <c r="AL62" i="2"/>
  <c r="AN62" i="2" s="1"/>
  <c r="AL63" i="2"/>
  <c r="AN63" i="2" s="1"/>
  <c r="AL48" i="2"/>
  <c r="AN48" i="2" s="1"/>
  <c r="AL49" i="2"/>
  <c r="AN49" i="2" s="1"/>
  <c r="AL79" i="2"/>
  <c r="AN79" i="2" s="1"/>
  <c r="AL82" i="2"/>
  <c r="AN82" i="2" s="1"/>
  <c r="AL83" i="2"/>
  <c r="AN83" i="2" s="1"/>
  <c r="AL44" i="2"/>
  <c r="AN44" i="2" s="1"/>
  <c r="AL45" i="2"/>
  <c r="AN45" i="2" s="1"/>
  <c r="AL42" i="2"/>
  <c r="AN42" i="2" s="1"/>
  <c r="AL43" i="2"/>
  <c r="AN43" i="2" s="1"/>
  <c r="AL106" i="2"/>
  <c r="AN106" i="2" s="1"/>
  <c r="G100" i="3"/>
  <c r="P100" i="3"/>
  <c r="Q100" i="3"/>
  <c r="R100" i="3"/>
  <c r="S100" i="3"/>
  <c r="T100" i="3"/>
  <c r="U100" i="3"/>
  <c r="V100" i="3"/>
  <c r="W100" i="3"/>
  <c r="X100" i="3"/>
  <c r="Y100" i="3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L108" i="3"/>
  <c r="AN108" i="3" s="1"/>
  <c r="AN111" i="3" s="1"/>
  <c r="AF100" i="3"/>
  <c r="AE100" i="3"/>
  <c r="AD100" i="3"/>
  <c r="AC100" i="3"/>
  <c r="AB100" i="3"/>
  <c r="AA100" i="3"/>
  <c r="Z100" i="3"/>
  <c r="AL83" i="3"/>
  <c r="AN83" i="3" s="1"/>
  <c r="AL41" i="3"/>
  <c r="AN41" i="3" s="1"/>
  <c r="AL38" i="3"/>
  <c r="AN38" i="3" s="1"/>
  <c r="AL37" i="3"/>
  <c r="AN37" i="3" s="1"/>
  <c r="AL35" i="3"/>
  <c r="AN35" i="3" s="1"/>
  <c r="AL34" i="3"/>
  <c r="AN34" i="3" s="1"/>
  <c r="AL33" i="3"/>
  <c r="AN33" i="3" s="1"/>
  <c r="AL32" i="3"/>
  <c r="AN32" i="3" s="1"/>
  <c r="AL31" i="3"/>
  <c r="AN31" i="3" s="1"/>
  <c r="AL30" i="3"/>
  <c r="AN30" i="3" s="1"/>
  <c r="AL29" i="3"/>
  <c r="AN29" i="3" s="1"/>
  <c r="AL28" i="3"/>
  <c r="AN28" i="3" s="1"/>
  <c r="AL454" i="2"/>
  <c r="AN454" i="2" s="1"/>
  <c r="AN460" i="2" s="1"/>
  <c r="AL26" i="2"/>
  <c r="AN26" i="2" s="1"/>
  <c r="AL25" i="2"/>
  <c r="AN25" i="2" s="1"/>
  <c r="AL24" i="2"/>
  <c r="AN24" i="2" s="1"/>
  <c r="AL23" i="2"/>
  <c r="AN23" i="2" s="1"/>
  <c r="AL22" i="2"/>
  <c r="AN22" i="2" s="1"/>
  <c r="AL21" i="2"/>
  <c r="AN21" i="2" s="1"/>
  <c r="AL20" i="2"/>
  <c r="AN20" i="2" s="1"/>
  <c r="AL19" i="2"/>
  <c r="AN19" i="2" s="1"/>
  <c r="AL18" i="2"/>
  <c r="AN18" i="2" s="1"/>
  <c r="AL17" i="2"/>
  <c r="AN17" i="2" s="1"/>
  <c r="AL16" i="2"/>
  <c r="AN16" i="2" s="1"/>
  <c r="AL15" i="2"/>
  <c r="AN15" i="2" s="1"/>
  <c r="AL14" i="2"/>
  <c r="AN14" i="2" s="1"/>
  <c r="AL13" i="2"/>
  <c r="AN13" i="2" s="1"/>
  <c r="AL12" i="2"/>
  <c r="AN12" i="2" s="1"/>
  <c r="AL11" i="2"/>
  <c r="AN11" i="2" s="1"/>
  <c r="AL10" i="2"/>
  <c r="AN10" i="2" s="1"/>
  <c r="H102" i="1"/>
  <c r="I102" i="1"/>
  <c r="J102" i="1"/>
  <c r="K102" i="1"/>
  <c r="L102" i="1"/>
  <c r="M102" i="1"/>
  <c r="N102" i="1"/>
  <c r="AB102" i="1"/>
  <c r="AC102" i="1"/>
  <c r="AD102" i="1"/>
  <c r="AE102" i="1"/>
  <c r="AF102" i="1"/>
  <c r="G102" i="1"/>
  <c r="AL110" i="1"/>
  <c r="AD455" i="2" l="1"/>
  <c r="AE455" i="2"/>
  <c r="AF455" i="2"/>
  <c r="AN448" i="2"/>
  <c r="AN457" i="2" s="1"/>
  <c r="AL446" i="2"/>
  <c r="AL10" i="1"/>
  <c r="AN10" i="1" s="1"/>
  <c r="AL11" i="1"/>
  <c r="AN11" i="1" s="1"/>
  <c r="AN110" i="1"/>
  <c r="AN113" i="1" s="1"/>
  <c r="AN461" i="2" s="1"/>
  <c r="AL455" i="2" l="1"/>
  <c r="AN455" i="2" s="1"/>
  <c r="AN462" i="2" s="1"/>
  <c r="AN110" i="3"/>
  <c r="AN458" i="2"/>
  <c r="AL102" i="1"/>
  <c r="AN104" i="1"/>
  <c r="AN112" i="1" l="1"/>
  <c r="AN115" i="1" s="1"/>
  <c r="AN116" i="1" s="1"/>
  <c r="AN117" i="1" s="1"/>
  <c r="AN459" i="2"/>
  <c r="AN464" i="2" s="1"/>
  <c r="AN465" i="2" s="1"/>
  <c r="AN466" i="2" s="1"/>
</calcChain>
</file>

<file path=xl/sharedStrings.xml><?xml version="1.0" encoding="utf-8"?>
<sst xmlns="http://schemas.openxmlformats.org/spreadsheetml/2006/main" count="3059" uniqueCount="1019">
  <si>
    <t>HAB</t>
  </si>
  <si>
    <t>APELLIDO PATERNO</t>
  </si>
  <si>
    <t>APELLIDO MATERNO</t>
  </si>
  <si>
    <t>NOMBRE</t>
  </si>
  <si>
    <t>RUT</t>
  </si>
  <si>
    <t>D. OCUP</t>
  </si>
  <si>
    <t>V. OCUP</t>
  </si>
  <si>
    <t>T. OCUP.</t>
  </si>
  <si>
    <t>OLIVARES</t>
  </si>
  <si>
    <t>JUAN</t>
  </si>
  <si>
    <t>CASTRO</t>
  </si>
  <si>
    <t>LUIS</t>
  </si>
  <si>
    <t>RIVERA</t>
  </si>
  <si>
    <t>FUENTES</t>
  </si>
  <si>
    <t>PEREZ</t>
  </si>
  <si>
    <t>PATRICIO</t>
  </si>
  <si>
    <t>VILLALOBOS</t>
  </si>
  <si>
    <t>GUTIERREZ</t>
  </si>
  <si>
    <t>RETAMAL</t>
  </si>
  <si>
    <t>SAEZ</t>
  </si>
  <si>
    <t>GALAZ</t>
  </si>
  <si>
    <t>GONZALEZ</t>
  </si>
  <si>
    <t>ALEJANDRO</t>
  </si>
  <si>
    <t>CARLOS</t>
  </si>
  <si>
    <t>MARCO</t>
  </si>
  <si>
    <t>MORALES</t>
  </si>
  <si>
    <t>JOSE</t>
  </si>
  <si>
    <t>PABLO</t>
  </si>
  <si>
    <t>SEPULVEDA</t>
  </si>
  <si>
    <t>MORA</t>
  </si>
  <si>
    <t>FRANCISCO</t>
  </si>
  <si>
    <t xml:space="preserve">   </t>
  </si>
  <si>
    <t>TOTAL</t>
  </si>
  <si>
    <t xml:space="preserve">ALMUERZOS </t>
  </si>
  <si>
    <t>ALMUERZOS</t>
  </si>
  <si>
    <t xml:space="preserve">ALOJAMIENTO </t>
  </si>
  <si>
    <t>TOTAL NETO</t>
  </si>
  <si>
    <t>I.V.A 19%</t>
  </si>
  <si>
    <t>CORRELATIVO N°1</t>
  </si>
  <si>
    <t>AC</t>
  </si>
  <si>
    <t>MARIA</t>
  </si>
  <si>
    <t>18785701-5</t>
  </si>
  <si>
    <t>DUARTE</t>
  </si>
  <si>
    <t>JORGE</t>
  </si>
  <si>
    <t>9635487-8</t>
  </si>
  <si>
    <t>BARRIENTOS</t>
  </si>
  <si>
    <t>ROCIO</t>
  </si>
  <si>
    <t>19907354-0</t>
  </si>
  <si>
    <t>VALENZUELA</t>
  </si>
  <si>
    <t>VICTORIA</t>
  </si>
  <si>
    <t>19120001-2</t>
  </si>
  <si>
    <t>AZOCAR</t>
  </si>
  <si>
    <t>CORNEJO</t>
  </si>
  <si>
    <t>NICOLAS</t>
  </si>
  <si>
    <t>19114498-8</t>
  </si>
  <si>
    <t>RONALD</t>
  </si>
  <si>
    <t>13507456-K</t>
  </si>
  <si>
    <t>ALTAMIRANO</t>
  </si>
  <si>
    <t>11960350-1</t>
  </si>
  <si>
    <t>AGUILERA</t>
  </si>
  <si>
    <t>ZARATE</t>
  </si>
  <si>
    <t>FABIAN</t>
  </si>
  <si>
    <t>18150201-0</t>
  </si>
  <si>
    <t>GONZALO</t>
  </si>
  <si>
    <t>18408247-0</t>
  </si>
  <si>
    <t>FERNANDO</t>
  </si>
  <si>
    <t>17319810-8</t>
  </si>
  <si>
    <t>CARRASCO</t>
  </si>
  <si>
    <t>FELIPE</t>
  </si>
  <si>
    <t>16690731-4</t>
  </si>
  <si>
    <t>RODRIGUEZ</t>
  </si>
  <si>
    <t>CUETO</t>
  </si>
  <si>
    <t>SUSUNA</t>
  </si>
  <si>
    <t>13225829-5</t>
  </si>
  <si>
    <t>CERECEDA</t>
  </si>
  <si>
    <t>SOLANGE</t>
  </si>
  <si>
    <t>17172403-1</t>
  </si>
  <si>
    <t>TOLOZA</t>
  </si>
  <si>
    <t>KATHERINE</t>
  </si>
  <si>
    <t>15188041-K</t>
  </si>
  <si>
    <t>MIGUELES</t>
  </si>
  <si>
    <t>18843149-6</t>
  </si>
  <si>
    <t>MOSCOSO</t>
  </si>
  <si>
    <t>DANIEL</t>
  </si>
  <si>
    <t>17678108-4</t>
  </si>
  <si>
    <t>DANIELA</t>
  </si>
  <si>
    <t>SANDOVAL</t>
  </si>
  <si>
    <t>GISELA</t>
  </si>
  <si>
    <t>19120950-8</t>
  </si>
  <si>
    <t>18024668-1</t>
  </si>
  <si>
    <t>AMESTICA</t>
  </si>
  <si>
    <t>QUEVEDO</t>
  </si>
  <si>
    <t>CRISTOBAL</t>
  </si>
  <si>
    <t>19359014-4</t>
  </si>
  <si>
    <t>19720960-7</t>
  </si>
  <si>
    <t>PINOCHET</t>
  </si>
  <si>
    <t>CONSUELO</t>
  </si>
  <si>
    <t>17904147-2</t>
  </si>
  <si>
    <t>H1</t>
  </si>
  <si>
    <t>HERNANDEZ</t>
  </si>
  <si>
    <t>MATIAS</t>
  </si>
  <si>
    <t>21456295-2</t>
  </si>
  <si>
    <t>ORELLANA</t>
  </si>
  <si>
    <t>CASTILLO</t>
  </si>
  <si>
    <t>MAURICIO</t>
  </si>
  <si>
    <t>16688300-8</t>
  </si>
  <si>
    <t>FERNANDEZ</t>
  </si>
  <si>
    <t>LORCA</t>
  </si>
  <si>
    <t>ROBERTO</t>
  </si>
  <si>
    <t>19573463-1</t>
  </si>
  <si>
    <t>20188147-1</t>
  </si>
  <si>
    <t>ARAVENA</t>
  </si>
  <si>
    <t>LEYTON</t>
  </si>
  <si>
    <t>17932208-0</t>
  </si>
  <si>
    <t>URIBE</t>
  </si>
  <si>
    <t>17209918-1</t>
  </si>
  <si>
    <t>ARANCIBIA</t>
  </si>
  <si>
    <t>OVALLE</t>
  </si>
  <si>
    <t>9347291-8</t>
  </si>
  <si>
    <t>ARTEAGA</t>
  </si>
  <si>
    <t>JURGUEN</t>
  </si>
  <si>
    <t>21462934-8</t>
  </si>
  <si>
    <t>ZUÑIGA</t>
  </si>
  <si>
    <t>12175296-4</t>
  </si>
  <si>
    <t>BENJAMIN</t>
  </si>
  <si>
    <t>19346121-2</t>
  </si>
  <si>
    <t>JORQUERA</t>
  </si>
  <si>
    <t>GENERAL</t>
  </si>
  <si>
    <t>ALFREDO</t>
  </si>
  <si>
    <t>16678159-0</t>
  </si>
  <si>
    <t>SOLIS</t>
  </si>
  <si>
    <t>HIDALGO</t>
  </si>
  <si>
    <t>ALEJANDRA</t>
  </si>
  <si>
    <t>17078357-3</t>
  </si>
  <si>
    <t>ÑANCO</t>
  </si>
  <si>
    <t>MILLALEN</t>
  </si>
  <si>
    <t>15248769-K</t>
  </si>
  <si>
    <t>RIOS</t>
  </si>
  <si>
    <t>BAEZA</t>
  </si>
  <si>
    <t>PICHON</t>
  </si>
  <si>
    <t>12915179-K</t>
  </si>
  <si>
    <t>INOSTROZA</t>
  </si>
  <si>
    <t>RINDOLFO</t>
  </si>
  <si>
    <t>11585182-9</t>
  </si>
  <si>
    <t>CAYUQUEO</t>
  </si>
  <si>
    <t>CAMPOS</t>
  </si>
  <si>
    <t>ERWIN</t>
  </si>
  <si>
    <t>17261752-2</t>
  </si>
  <si>
    <t>FUENTELABA</t>
  </si>
  <si>
    <t>MUÑOZ</t>
  </si>
  <si>
    <t>15508059-0</t>
  </si>
  <si>
    <t>R</t>
  </si>
  <si>
    <t>URBINA</t>
  </si>
  <si>
    <t>MERINO</t>
  </si>
  <si>
    <t>ABURTO</t>
  </si>
  <si>
    <t>FLORES</t>
  </si>
  <si>
    <t>CORRELATIVO N°2</t>
  </si>
  <si>
    <t>01 AL 31 DE MAYO</t>
  </si>
  <si>
    <t>PAYE</t>
  </si>
  <si>
    <t>ELIAS</t>
  </si>
  <si>
    <t>CACCALA</t>
  </si>
  <si>
    <t>YAMPASI</t>
  </si>
  <si>
    <t>JESUS</t>
  </si>
  <si>
    <t>MACHICADO</t>
  </si>
  <si>
    <t>MAMANI</t>
  </si>
  <si>
    <t>YONY</t>
  </si>
  <si>
    <t>SANCHEZ</t>
  </si>
  <si>
    <t>HANCCO</t>
  </si>
  <si>
    <t>WILSON</t>
  </si>
  <si>
    <t>HUAYRA</t>
  </si>
  <si>
    <t>UISPE</t>
  </si>
  <si>
    <t>FIDEL</t>
  </si>
  <si>
    <t>SANTALAYA</t>
  </si>
  <si>
    <t>GENIX</t>
  </si>
  <si>
    <t>TUERTA</t>
  </si>
  <si>
    <t>DANTAS</t>
  </si>
  <si>
    <t>RAUL</t>
  </si>
  <si>
    <t>VELASQUEZ</t>
  </si>
  <si>
    <t>HELBER</t>
  </si>
  <si>
    <t>CRIACO</t>
  </si>
  <si>
    <t>PASCUAL</t>
  </si>
  <si>
    <t>EDSON</t>
  </si>
  <si>
    <t>HUACCHA</t>
  </si>
  <si>
    <t>LLANOS</t>
  </si>
  <si>
    <t>PIO</t>
  </si>
  <si>
    <t>MICHUY</t>
  </si>
  <si>
    <t>LADISLAO</t>
  </si>
  <si>
    <t>HUMACTO</t>
  </si>
  <si>
    <t>VIVANCO</t>
  </si>
  <si>
    <t>ALDO</t>
  </si>
  <si>
    <t>TORRE</t>
  </si>
  <si>
    <t>LIDO</t>
  </si>
  <si>
    <t>PALOMINO</t>
  </si>
  <si>
    <t>CABRERA</t>
  </si>
  <si>
    <t>ALARCON</t>
  </si>
  <si>
    <t>ULICES</t>
  </si>
  <si>
    <t>GARCIA</t>
  </si>
  <si>
    <t>SAAVEDRA</t>
  </si>
  <si>
    <t>AMERICO</t>
  </si>
  <si>
    <t>AREVALO</t>
  </si>
  <si>
    <t>HUAMAN</t>
  </si>
  <si>
    <t>PAUCAR</t>
  </si>
  <si>
    <t>JURELIO</t>
  </si>
  <si>
    <t>ZAMBRANO</t>
  </si>
  <si>
    <t>QUISPE</t>
  </si>
  <si>
    <t>HERMINIO</t>
  </si>
  <si>
    <t>YACTAYO</t>
  </si>
  <si>
    <t>VERGARAY</t>
  </si>
  <si>
    <t>JAIME</t>
  </si>
  <si>
    <t>ARAUJO</t>
  </si>
  <si>
    <t>ACEVEDO</t>
  </si>
  <si>
    <t>LETELIER</t>
  </si>
  <si>
    <t>CRISTIAN</t>
  </si>
  <si>
    <t>16856842-8</t>
  </si>
  <si>
    <t>AYALA</t>
  </si>
  <si>
    <t>MIRANDA</t>
  </si>
  <si>
    <t>HUMBERTO</t>
  </si>
  <si>
    <t>8849655-8</t>
  </si>
  <si>
    <t>BEROIZA</t>
  </si>
  <si>
    <t>RAILAF</t>
  </si>
  <si>
    <t>19463033-6</t>
  </si>
  <si>
    <t>CALPIQUEO</t>
  </si>
  <si>
    <t>PAILLACAN</t>
  </si>
  <si>
    <t>ALIRO</t>
  </si>
  <si>
    <t>15239015-7</t>
  </si>
  <si>
    <t>DONOSO</t>
  </si>
  <si>
    <t>CORTES</t>
  </si>
  <si>
    <t>20681999-5</t>
  </si>
  <si>
    <t>LLANCAPAN</t>
  </si>
  <si>
    <t>MICHEL</t>
  </si>
  <si>
    <t>13199156-8</t>
  </si>
  <si>
    <t>MARAMBIO</t>
  </si>
  <si>
    <t>SALINAS</t>
  </si>
  <si>
    <t>9253816-8</t>
  </si>
  <si>
    <t>MORAGA</t>
  </si>
  <si>
    <t>POBLETE</t>
  </si>
  <si>
    <t>IGNACIO</t>
  </si>
  <si>
    <t>19777682-K</t>
  </si>
  <si>
    <t>LOPEZ</t>
  </si>
  <si>
    <t>IVAN</t>
  </si>
  <si>
    <t>12602975-6</t>
  </si>
  <si>
    <t>QUEZADA</t>
  </si>
  <si>
    <t>MIGUEL</t>
  </si>
  <si>
    <t>15819396-5</t>
  </si>
  <si>
    <t>ORTIZ </t>
  </si>
  <si>
    <t>SANTELICES</t>
  </si>
  <si>
    <t>13856349-9</t>
  </si>
  <si>
    <t>PAINEMIL </t>
  </si>
  <si>
    <t>AVILA</t>
  </si>
  <si>
    <t>20932689-2</t>
  </si>
  <si>
    <t>PIZARRO</t>
  </si>
  <si>
    <t>KLEIN</t>
  </si>
  <si>
    <t>12501155-1</t>
  </si>
  <si>
    <t>POZAS</t>
  </si>
  <si>
    <t>VILLEGAS</t>
  </si>
  <si>
    <t>CESAR</t>
  </si>
  <si>
    <t>12738560-2</t>
  </si>
  <si>
    <t>RECABAL </t>
  </si>
  <si>
    <t>GONZALEZ </t>
  </si>
  <si>
    <t>CLAUDIO</t>
  </si>
  <si>
    <t>13355393-2</t>
  </si>
  <si>
    <t>ROJAS</t>
  </si>
  <si>
    <t>RAMIREZ</t>
  </si>
  <si>
    <t>ALVARO</t>
  </si>
  <si>
    <t>12627042-9</t>
  </si>
  <si>
    <t>VARGAS</t>
  </si>
  <si>
    <t>FERNÁNDEZ</t>
  </si>
  <si>
    <t>8499733-1</t>
  </si>
  <si>
    <t>VENEGAS</t>
  </si>
  <si>
    <t>CARES</t>
  </si>
  <si>
    <t>12512803-3</t>
  </si>
  <si>
    <t>ALEGRIA</t>
  </si>
  <si>
    <t>HUERMAN</t>
  </si>
  <si>
    <t>19835830-4</t>
  </si>
  <si>
    <t>ARROYO</t>
  </si>
  <si>
    <t>ORTIZ</t>
  </si>
  <si>
    <t>DAVID</t>
  </si>
  <si>
    <t>17043891-4</t>
  </si>
  <si>
    <t>ASCENCIO</t>
  </si>
  <si>
    <t>FICA</t>
  </si>
  <si>
    <t> 16613228-2 </t>
  </si>
  <si>
    <t>AVENDAÑO</t>
  </si>
  <si>
    <t>CANDIA</t>
  </si>
  <si>
    <t>20014950-5</t>
  </si>
  <si>
    <t>COMICHEO </t>
  </si>
  <si>
    <t>VIDAL </t>
  </si>
  <si>
    <t>ISAAC</t>
  </si>
  <si>
    <t>20550837-6</t>
  </si>
  <si>
    <t>CUEVAS </t>
  </si>
  <si>
    <t>SERGIO</t>
  </si>
  <si>
    <t>19510126-4</t>
  </si>
  <si>
    <t>DOMINGUEZ</t>
  </si>
  <si>
    <t>SALAZAR</t>
  </si>
  <si>
    <t>12925017-8</t>
  </si>
  <si>
    <t>ECHEVERRIA </t>
  </si>
  <si>
    <t>CERDA</t>
  </si>
  <si>
    <t>15589388-5</t>
  </si>
  <si>
    <t>GONZÁLEZ</t>
  </si>
  <si>
    <t>18339372-3</t>
  </si>
  <si>
    <t>INZUNZA</t>
  </si>
  <si>
    <t>CHANDIA</t>
  </si>
  <si>
    <t>13128159-5</t>
  </si>
  <si>
    <t>LABRIN</t>
  </si>
  <si>
    <t>TORRES</t>
  </si>
  <si>
    <t>RUBEN</t>
  </si>
  <si>
    <t>19421525-8</t>
  </si>
  <si>
    <t>BASCUR</t>
  </si>
  <si>
    <t>ARTURO</t>
  </si>
  <si>
    <t>9715707-3</t>
  </si>
  <si>
    <t>LEVI</t>
  </si>
  <si>
    <t>JAVIER</t>
  </si>
  <si>
    <t>15925880-7</t>
  </si>
  <si>
    <t>MARTÍNEZ</t>
  </si>
  <si>
    <t>LAVIN</t>
  </si>
  <si>
    <t>13134007-9</t>
  </si>
  <si>
    <t>MENA</t>
  </si>
  <si>
    <t>BADILLA</t>
  </si>
  <si>
    <t>16736619-8</t>
  </si>
  <si>
    <t>MEZAS</t>
  </si>
  <si>
    <t>ANTONIO</t>
  </si>
  <si>
    <t>12525619-8</t>
  </si>
  <si>
    <t>ROZAS</t>
  </si>
  <si>
    <t>19250852-5</t>
  </si>
  <si>
    <t>NOVOA</t>
  </si>
  <si>
    <t>18433996-K</t>
  </si>
  <si>
    <t>GERSON</t>
  </si>
  <si>
    <t>17641321-2</t>
  </si>
  <si>
    <t>PLACENCIA</t>
  </si>
  <si>
    <t>ALEXIS</t>
  </si>
  <si>
    <t>17640226-1</t>
  </si>
  <si>
    <t>QUEZADA </t>
  </si>
  <si>
    <t>LUCIANO</t>
  </si>
  <si>
    <t>15210951-2</t>
  </si>
  <si>
    <t>RIQUELME </t>
  </si>
  <si>
    <t>AROLDO</t>
  </si>
  <si>
    <t>13623789-6</t>
  </si>
  <si>
    <t>ROSALES</t>
  </si>
  <si>
    <t>ARAVENA </t>
  </si>
  <si>
    <t>LEANDRO</t>
  </si>
  <si>
    <t>16140720-8</t>
  </si>
  <si>
    <t>SALGADO</t>
  </si>
  <si>
    <t>BREVIS</t>
  </si>
  <si>
    <t>15192946-K</t>
  </si>
  <si>
    <t>MALTRAIN</t>
  </si>
  <si>
    <t>11496095-0</t>
  </si>
  <si>
    <t>SOLAR </t>
  </si>
  <si>
    <t>PARRA</t>
  </si>
  <si>
    <t>MARCELO</t>
  </si>
  <si>
    <t>18318800-3</t>
  </si>
  <si>
    <t>VILLAGRA </t>
  </si>
  <si>
    <t>CIFUENTES </t>
  </si>
  <si>
    <t>11677141-1</t>
  </si>
  <si>
    <t>RESERVADO</t>
  </si>
  <si>
    <t>PUENTES</t>
  </si>
  <si>
    <t>SANHUEZA</t>
  </si>
  <si>
    <t>TAPIA</t>
  </si>
  <si>
    <t>RAMOS</t>
  </si>
  <si>
    <t>DIEGO</t>
  </si>
  <si>
    <t>GALLEGOS</t>
  </si>
  <si>
    <t>RICARDO</t>
  </si>
  <si>
    <t>REYES</t>
  </si>
  <si>
    <t>MICHAEL</t>
  </si>
  <si>
    <t>GUERRA</t>
  </si>
  <si>
    <t>BURGOS</t>
  </si>
  <si>
    <t>CEA</t>
  </si>
  <si>
    <t>EDISON</t>
  </si>
  <si>
    <t>14245426-0</t>
  </si>
  <si>
    <t>18082022-1</t>
  </si>
  <si>
    <t>21959229-9</t>
  </si>
  <si>
    <t>10380778-6</t>
  </si>
  <si>
    <t>12301334-4</t>
  </si>
  <si>
    <t>17934696-6</t>
  </si>
  <si>
    <t>16873475-1</t>
  </si>
  <si>
    <t>CASRO</t>
  </si>
  <si>
    <t>DAGOBERTO</t>
  </si>
  <si>
    <t>CALFUEQUE</t>
  </si>
  <si>
    <t>VERA</t>
  </si>
  <si>
    <t>BELITZ</t>
  </si>
  <si>
    <t>FIERRO</t>
  </si>
  <si>
    <t>VEJAR</t>
  </si>
  <si>
    <t>NEIRA</t>
  </si>
  <si>
    <t>KLAASSEN</t>
  </si>
  <si>
    <t>PARDO</t>
  </si>
  <si>
    <t>GUSTAVO</t>
  </si>
  <si>
    <t>17377603-9</t>
  </si>
  <si>
    <t>15512453-9</t>
  </si>
  <si>
    <t>15183952-5</t>
  </si>
  <si>
    <t>14207222-K</t>
  </si>
  <si>
    <t>16724238-3</t>
  </si>
  <si>
    <t>15554007-9</t>
  </si>
  <si>
    <t>17975319-7</t>
  </si>
  <si>
    <t>SANTANDER</t>
  </si>
  <si>
    <t>HAROLD</t>
  </si>
  <si>
    <t>RENE</t>
  </si>
  <si>
    <t>OLIVA</t>
  </si>
  <si>
    <t>URZUA</t>
  </si>
  <si>
    <t>AHUMADA</t>
  </si>
  <si>
    <t>ESPINOZA</t>
  </si>
  <si>
    <t>19105072-K</t>
  </si>
  <si>
    <t>11372628-0</t>
  </si>
  <si>
    <t>19042549-5</t>
  </si>
  <si>
    <t>13042417-1</t>
  </si>
  <si>
    <t>20070824-5</t>
  </si>
  <si>
    <t>PACHECO</t>
  </si>
  <si>
    <t>SOTO</t>
  </si>
  <si>
    <t>RIVAS</t>
  </si>
  <si>
    <t>JOAQUIN</t>
  </si>
  <si>
    <t>18573870-1</t>
  </si>
  <si>
    <t>13852202-4</t>
  </si>
  <si>
    <t>14332421-4</t>
  </si>
  <si>
    <t>14083002-K</t>
  </si>
  <si>
    <t>NARANJO</t>
  </si>
  <si>
    <t>BARBARA</t>
  </si>
  <si>
    <t>17774459-K</t>
  </si>
  <si>
    <t>GALLARDO</t>
  </si>
  <si>
    <t>JUDITH</t>
  </si>
  <si>
    <t>JIMENEZ</t>
  </si>
  <si>
    <t>ARENAS</t>
  </si>
  <si>
    <t>GABRIEL</t>
  </si>
  <si>
    <t>ANGEL</t>
  </si>
  <si>
    <t>MATUAS</t>
  </si>
  <si>
    <t>ESCOBAR</t>
  </si>
  <si>
    <t>RODOLFO</t>
  </si>
  <si>
    <t>14059897-6</t>
  </si>
  <si>
    <t>22428439-K</t>
  </si>
  <si>
    <t>15596612-2</t>
  </si>
  <si>
    <t>13358916-3</t>
  </si>
  <si>
    <t>11372628-8</t>
  </si>
  <si>
    <t>17478990-8</t>
  </si>
  <si>
    <t>TELLO</t>
  </si>
  <si>
    <t>ABRAHAM</t>
  </si>
  <si>
    <t>18660475-K</t>
  </si>
  <si>
    <t>17137085-K</t>
  </si>
  <si>
    <t>19365127-5</t>
  </si>
  <si>
    <t>17137111-2</t>
  </si>
  <si>
    <t>BERNARD </t>
  </si>
  <si>
    <t>TENORIO</t>
  </si>
  <si>
    <t>FELIX</t>
  </si>
  <si>
    <t>ARCHILES</t>
  </si>
  <si>
    <t>FABIOLA</t>
  </si>
  <si>
    <t>BARRIGON</t>
  </si>
  <si>
    <t>NORAMBUENA</t>
  </si>
  <si>
    <t>BENITEZ</t>
  </si>
  <si>
    <t>AVALOS</t>
  </si>
  <si>
    <t>ROSAS</t>
  </si>
  <si>
    <t>MENDOZA</t>
  </si>
  <si>
    <t>SALVO</t>
  </si>
  <si>
    <t>CUEVAS</t>
  </si>
  <si>
    <t>HENRIQUEZ</t>
  </si>
  <si>
    <t>SEBASTIAN</t>
  </si>
  <si>
    <t>ROLDAN</t>
  </si>
  <si>
    <t>WILLIAMS</t>
  </si>
  <si>
    <t>SANTIAGO</t>
  </si>
  <si>
    <t>ESCUDERO</t>
  </si>
  <si>
    <t>ANTONELLA</t>
  </si>
  <si>
    <t>14000392-1</t>
  </si>
  <si>
    <t>16805937-K</t>
  </si>
  <si>
    <t>16896116-2</t>
  </si>
  <si>
    <t>18283239-1</t>
  </si>
  <si>
    <t>19532257-0</t>
  </si>
  <si>
    <t>17222365-6</t>
  </si>
  <si>
    <t>18068165-5</t>
  </si>
  <si>
    <t>DEL VALLE</t>
  </si>
  <si>
    <t>IVACETA</t>
  </si>
  <si>
    <t>17479133-3</t>
  </si>
  <si>
    <t>HECTOR</t>
  </si>
  <si>
    <t>15974325-K</t>
  </si>
  <si>
    <t>ACUÑA</t>
  </si>
  <si>
    <t>MATELUNA</t>
  </si>
  <si>
    <t>RODRIGO</t>
  </si>
  <si>
    <t>12604611-1</t>
  </si>
  <si>
    <t>RIVERO</t>
  </si>
  <si>
    <t>14000832-K</t>
  </si>
  <si>
    <t>MONTENEGRO</t>
  </si>
  <si>
    <t>17479774-9</t>
  </si>
  <si>
    <t>ÁVILA</t>
  </si>
  <si>
    <t>ESCALANTE</t>
  </si>
  <si>
    <t>ÁLVAREZ</t>
  </si>
  <si>
    <t>16232633-3</t>
  </si>
  <si>
    <t>AGUILAR</t>
  </si>
  <si>
    <t>JOSÉ</t>
  </si>
  <si>
    <t>17192053-1</t>
  </si>
  <si>
    <t>PINCHON</t>
  </si>
  <si>
    <t>14327257-5</t>
  </si>
  <si>
    <t>COMICHEO</t>
  </si>
  <si>
    <t>VIDAL</t>
  </si>
  <si>
    <t>SOLAR</t>
  </si>
  <si>
    <t>RECOBAL</t>
  </si>
  <si>
    <t>VILLAGRA</t>
  </si>
  <si>
    <t>16878159-0</t>
  </si>
  <si>
    <t>FUENTEALBA</t>
  </si>
  <si>
    <t>AEDO</t>
  </si>
  <si>
    <t>19090851-8</t>
  </si>
  <si>
    <t>MOLINA</t>
  </si>
  <si>
    <t>MANUEL</t>
  </si>
  <si>
    <t>15820197-6</t>
  </si>
  <si>
    <t>SHERIDON</t>
  </si>
  <si>
    <t>19287191-3</t>
  </si>
  <si>
    <t>YERSON</t>
  </si>
  <si>
    <t>20384563-4</t>
  </si>
  <si>
    <t>17400535-4</t>
  </si>
  <si>
    <t>PAVEZ</t>
  </si>
  <si>
    <t>RAÚL</t>
  </si>
  <si>
    <t>14032230-K</t>
  </si>
  <si>
    <t>RIFO</t>
  </si>
  <si>
    <t>CÁRCAMO</t>
  </si>
  <si>
    <t>21273867-0</t>
  </si>
  <si>
    <t>CHARÓ</t>
  </si>
  <si>
    <t>SUAZÓ</t>
  </si>
  <si>
    <t>10025922-2</t>
  </si>
  <si>
    <t>ARCE</t>
  </si>
  <si>
    <t>COBARUBIA</t>
  </si>
  <si>
    <t>PAVES</t>
  </si>
  <si>
    <t>JAVIERA</t>
  </si>
  <si>
    <t>PEZOA</t>
  </si>
  <si>
    <t>SUSANA</t>
  </si>
  <si>
    <t>17353868-5</t>
  </si>
  <si>
    <t>ANCANAO</t>
  </si>
  <si>
    <t>15210383-2</t>
  </si>
  <si>
    <t>COFRE</t>
  </si>
  <si>
    <t>TRONCOSO</t>
  </si>
  <si>
    <t>13155394-3</t>
  </si>
  <si>
    <t>CISTERNAS</t>
  </si>
  <si>
    <t>MACAYA</t>
  </si>
  <si>
    <t>MOISES  </t>
  </si>
  <si>
    <t>12980913-2</t>
  </si>
  <si>
    <t>VILLAGRAN</t>
  </si>
  <si>
    <t>10571908-6</t>
  </si>
  <si>
    <t>CARTES</t>
  </si>
  <si>
    <t>ARRIAGADA</t>
  </si>
  <si>
    <t>19767976-K</t>
  </si>
  <si>
    <t>JARA </t>
  </si>
  <si>
    <t>ZAPATA</t>
  </si>
  <si>
    <t>14573834-2</t>
  </si>
  <si>
    <t>MANRIQUEZ</t>
  </si>
  <si>
    <t>11179233-K</t>
  </si>
  <si>
    <t>ERIK</t>
  </si>
  <si>
    <t>17870662-4</t>
  </si>
  <si>
    <t>18405090-0</t>
  </si>
  <si>
    <t>FIGUEROA</t>
  </si>
  <si>
    <t>11215037-4</t>
  </si>
  <si>
    <t>ALFARO</t>
  </si>
  <si>
    <t>BENITO</t>
  </si>
  <si>
    <t>16054392-2</t>
  </si>
  <si>
    <t>TECHELET </t>
  </si>
  <si>
    <t>PIERRE</t>
  </si>
  <si>
    <t>25980292-K</t>
  </si>
  <si>
    <t>MERA</t>
  </si>
  <si>
    <t>VICENCIO</t>
  </si>
  <si>
    <t>22285961-1</t>
  </si>
  <si>
    <t>VILLAR</t>
  </si>
  <si>
    <t>ARANDA</t>
  </si>
  <si>
    <t>17905126-5</t>
  </si>
  <si>
    <t>14363777-8</t>
  </si>
  <si>
    <t>MENDOZA </t>
  </si>
  <si>
    <t>CONTRERAS</t>
  </si>
  <si>
    <t>BASTIAN</t>
  </si>
  <si>
    <t>20712537-7</t>
  </si>
  <si>
    <t>SALAZAR </t>
  </si>
  <si>
    <t>COLLAO</t>
  </si>
  <si>
    <t>11161352-4</t>
  </si>
  <si>
    <t>H3</t>
  </si>
  <si>
    <t>CHURATA</t>
  </si>
  <si>
    <t>CHUQUIRA</t>
  </si>
  <si>
    <t>ELISEO</t>
  </si>
  <si>
    <t>44472068-9</t>
  </si>
  <si>
    <t>MATO</t>
  </si>
  <si>
    <t>44471932-K</t>
  </si>
  <si>
    <t>BALDEON</t>
  </si>
  <si>
    <t>PEÑA</t>
  </si>
  <si>
    <t>CLEMENTE</t>
  </si>
  <si>
    <t>44472381-5</t>
  </si>
  <si>
    <t>CAGLLAGUA</t>
  </si>
  <si>
    <t>ANGELINO</t>
  </si>
  <si>
    <t>HUGO</t>
  </si>
  <si>
    <t>12484785-7</t>
  </si>
  <si>
    <t>PANDURO</t>
  </si>
  <si>
    <t>DÍAZ</t>
  </si>
  <si>
    <t>BILLY</t>
  </si>
  <si>
    <t>44472384-K</t>
  </si>
  <si>
    <t>MONTALUO</t>
  </si>
  <si>
    <t>ERICK</t>
  </si>
  <si>
    <t>33573989-2</t>
  </si>
  <si>
    <t>BEJAR</t>
  </si>
  <si>
    <t>33186797-7</t>
  </si>
  <si>
    <t>OTERO</t>
  </si>
  <si>
    <t>ELLEN</t>
  </si>
  <si>
    <t xml:space="preserve">EVER </t>
  </si>
  <si>
    <t>33659615-7</t>
  </si>
  <si>
    <t>JANAMPA</t>
  </si>
  <si>
    <t>RONY</t>
  </si>
  <si>
    <t>44471941-9</t>
  </si>
  <si>
    <t>RODRÍGUEZ</t>
  </si>
  <si>
    <t>VARAS</t>
  </si>
  <si>
    <t>REYNER</t>
  </si>
  <si>
    <t>33134892-9</t>
  </si>
  <si>
    <t>UQUICHE</t>
  </si>
  <si>
    <t>33133566-5</t>
  </si>
  <si>
    <t>BERMEJO</t>
  </si>
  <si>
    <t>44471956-7</t>
  </si>
  <si>
    <t>DE LA CRUZ</t>
  </si>
  <si>
    <t>PAYTON</t>
  </si>
  <si>
    <t>VICTOR</t>
  </si>
  <si>
    <t>PADILLA</t>
  </si>
  <si>
    <t>44482481-1</t>
  </si>
  <si>
    <t>CALLE</t>
  </si>
  <si>
    <t>ODAR</t>
  </si>
  <si>
    <t>12489712-3</t>
  </si>
  <si>
    <t>EDGAR</t>
  </si>
  <si>
    <t>12484756-5</t>
  </si>
  <si>
    <t>VILLARREAL</t>
  </si>
  <si>
    <t>CERNA</t>
  </si>
  <si>
    <t>EDWARD</t>
  </si>
  <si>
    <t>BRUNA</t>
  </si>
  <si>
    <t>ARAYA</t>
  </si>
  <si>
    <t>EDUARDO</t>
  </si>
  <si>
    <t>16325978-8</t>
  </si>
  <si>
    <t>20101406-9</t>
  </si>
  <si>
    <t>POLANCO</t>
  </si>
  <si>
    <t>ZAVALA</t>
  </si>
  <si>
    <t>CID</t>
  </si>
  <si>
    <t>13957122-3</t>
  </si>
  <si>
    <t>20891578-9</t>
  </si>
  <si>
    <t>17287619-6</t>
  </si>
  <si>
    <t>15198618-8</t>
  </si>
  <si>
    <t>ROMERO </t>
  </si>
  <si>
    <t>11963508-K</t>
  </si>
  <si>
    <t>ZAMORANO</t>
  </si>
  <si>
    <t>VALENTINA</t>
  </si>
  <si>
    <t>17764546-K</t>
  </si>
  <si>
    <t>IBACETA</t>
  </si>
  <si>
    <t>PORMA</t>
  </si>
  <si>
    <t>FRANCHESCA</t>
  </si>
  <si>
    <t>20408882-9</t>
  </si>
  <si>
    <t>LEON</t>
  </si>
  <si>
    <t>19045218-2</t>
  </si>
  <si>
    <t>RIFFO</t>
  </si>
  <si>
    <t>15728475-4</t>
  </si>
  <si>
    <t>FARIÑA </t>
  </si>
  <si>
    <t>BELMAR</t>
  </si>
  <si>
    <t>20514920-1</t>
  </si>
  <si>
    <t>PEZO</t>
  </si>
  <si>
    <t>15568743-6</t>
  </si>
  <si>
    <t>CONSTANZO</t>
  </si>
  <si>
    <t>JELVEZ</t>
  </si>
  <si>
    <t>14028085-2</t>
  </si>
  <si>
    <t>MONJE</t>
  </si>
  <si>
    <t>GARAY</t>
  </si>
  <si>
    <t>15962839-6</t>
  </si>
  <si>
    <t>LEPE</t>
  </si>
  <si>
    <t>HERRERA</t>
  </si>
  <si>
    <t>11582166-0</t>
  </si>
  <si>
    <t>ANTINAO </t>
  </si>
  <si>
    <t>CALFIQUEO </t>
  </si>
  <si>
    <t>17446134-1</t>
  </si>
  <si>
    <t>10822787-7</t>
  </si>
  <si>
    <t>CABEZA</t>
  </si>
  <si>
    <t>10420794-4</t>
  </si>
  <si>
    <t>GARRIDO</t>
  </si>
  <si>
    <t>19371090-5</t>
  </si>
  <si>
    <t>ULLOA</t>
  </si>
  <si>
    <t>NECOLMAN</t>
  </si>
  <si>
    <t>17814175-9</t>
  </si>
  <si>
    <t>JARAMILLO</t>
  </si>
  <si>
    <t>PAINEQUIR</t>
  </si>
  <si>
    <t>MARIO</t>
  </si>
  <si>
    <t>10351151-8</t>
  </si>
  <si>
    <t>17872110-0</t>
  </si>
  <si>
    <t>GUERRERO</t>
  </si>
  <si>
    <t>17204833-1</t>
  </si>
  <si>
    <t>17247071-8</t>
  </si>
  <si>
    <t>20356924-6</t>
  </si>
  <si>
    <t>CACERES</t>
  </si>
  <si>
    <t>13762738-8</t>
  </si>
  <si>
    <t>CASSAB</t>
  </si>
  <si>
    <t>ANDRADE</t>
  </si>
  <si>
    <t>ANDRES</t>
  </si>
  <si>
    <t>13194918-9</t>
  </si>
  <si>
    <t>19120307-0</t>
  </si>
  <si>
    <t>BRAVO</t>
  </si>
  <si>
    <t>18111892-K</t>
  </si>
  <si>
    <t>VALLEJOS </t>
  </si>
  <si>
    <t>DANILO</t>
  </si>
  <si>
    <t>20199559-0</t>
  </si>
  <si>
    <t>SALINAS </t>
  </si>
  <si>
    <t>RIQUELME</t>
  </si>
  <si>
    <t>18181104-8</t>
  </si>
  <si>
    <t>MORIN</t>
  </si>
  <si>
    <t>18809990-4</t>
  </si>
  <si>
    <t>VEGA</t>
  </si>
  <si>
    <t>BERNARDINO</t>
  </si>
  <si>
    <t>18883847-5</t>
  </si>
  <si>
    <t>SALAMANCA</t>
  </si>
  <si>
    <t>ARAUNA</t>
  </si>
  <si>
    <t>18414742-4</t>
  </si>
  <si>
    <t>BATIAS</t>
  </si>
  <si>
    <t>OSCAR</t>
  </si>
  <si>
    <t>15756061-1</t>
  </si>
  <si>
    <t>BARRIGA</t>
  </si>
  <si>
    <t>15193371-8</t>
  </si>
  <si>
    <t>HERNANDEZ </t>
  </si>
  <si>
    <t>ARANGUIZ</t>
  </si>
  <si>
    <t>13316376-k</t>
  </si>
  <si>
    <t>FERNANDOY</t>
  </si>
  <si>
    <t>CHAVEZ</t>
  </si>
  <si>
    <t>13144399-4</t>
  </si>
  <si>
    <t>20411753-5</t>
  </si>
  <si>
    <t>PEREIRA</t>
  </si>
  <si>
    <t>15881750-0</t>
  </si>
  <si>
    <t>VELOSO</t>
  </si>
  <si>
    <t>ENRIQUE</t>
  </si>
  <si>
    <t>10562168-K</t>
  </si>
  <si>
    <t>SEGURA</t>
  </si>
  <si>
    <t>18296380-1</t>
  </si>
  <si>
    <t>18522943-2</t>
  </si>
  <si>
    <t>SEPÚLVEDA</t>
  </si>
  <si>
    <t>1372628-8</t>
  </si>
  <si>
    <t>GARCÍA</t>
  </si>
  <si>
    <t>MONDACA</t>
  </si>
  <si>
    <t>OSORIO</t>
  </si>
  <si>
    <t>14350133-7</t>
  </si>
  <si>
    <t>LOVERA</t>
  </si>
  <si>
    <t>18142777-9</t>
  </si>
  <si>
    <t>DIAZ</t>
  </si>
  <si>
    <t>FREDY</t>
  </si>
  <si>
    <t>14559347-6</t>
  </si>
  <si>
    <t>VALERIA</t>
  </si>
  <si>
    <t>13072247-4</t>
  </si>
  <si>
    <t>MATUS</t>
  </si>
  <si>
    <t>BARRIA</t>
  </si>
  <si>
    <t>OYARZUN</t>
  </si>
  <si>
    <t>10518538-3</t>
  </si>
  <si>
    <t>RAMON</t>
  </si>
  <si>
    <t>15199055-K</t>
  </si>
  <si>
    <t>LUCERO</t>
  </si>
  <si>
    <t>ANDERSON</t>
  </si>
  <si>
    <t>15872186-4</t>
  </si>
  <si>
    <t>18803852-2</t>
  </si>
  <si>
    <t>PINTO</t>
  </si>
  <si>
    <t>19900031-4</t>
  </si>
  <si>
    <t>RUIZ</t>
  </si>
  <si>
    <t>16140832-8</t>
  </si>
  <si>
    <t>CAPRISTAN</t>
  </si>
  <si>
    <t>LARA</t>
  </si>
  <si>
    <t>ORLANDO</t>
  </si>
  <si>
    <t>26113310-5</t>
  </si>
  <si>
    <t>FERRETTI</t>
  </si>
  <si>
    <t>16297904-3</t>
  </si>
  <si>
    <t>12895277-2</t>
  </si>
  <si>
    <t>VERGARA</t>
  </si>
  <si>
    <t>CORTEZ</t>
  </si>
  <si>
    <t>WILSÓN</t>
  </si>
  <si>
    <t>10206828-9</t>
  </si>
  <si>
    <t>DE LA JARA</t>
  </si>
  <si>
    <t>GUILLERMO</t>
  </si>
  <si>
    <t>13306171-1</t>
  </si>
  <si>
    <t>REBOLLEDO</t>
  </si>
  <si>
    <t>19549222-0</t>
  </si>
  <si>
    <t>1953257-0</t>
  </si>
  <si>
    <t>ALBORNOZ</t>
  </si>
  <si>
    <t>11372688-1</t>
  </si>
  <si>
    <t>OCHOA</t>
  </si>
  <si>
    <t>BENAVIDES</t>
  </si>
  <si>
    <t>16141164-7</t>
  </si>
  <si>
    <t>DURAN</t>
  </si>
  <si>
    <t>17187778-4</t>
  </si>
  <si>
    <t>ORTEGA</t>
  </si>
  <si>
    <t>BASAURE</t>
  </si>
  <si>
    <t>ABELARDO</t>
  </si>
  <si>
    <t>16049257-0</t>
  </si>
  <si>
    <t>11295426-0</t>
  </si>
  <si>
    <t>QUIROGA</t>
  </si>
  <si>
    <t>12632102-3</t>
  </si>
  <si>
    <t>SANTANA</t>
  </si>
  <si>
    <t>COLORADO</t>
  </si>
  <si>
    <t>24102912-3</t>
  </si>
  <si>
    <t>LÓPEZ</t>
  </si>
  <si>
    <t>VEJAL</t>
  </si>
  <si>
    <t>FIESSO</t>
  </si>
  <si>
    <t>KLASSEN</t>
  </si>
  <si>
    <t>16090751-7</t>
  </si>
  <si>
    <t>11767013-9</t>
  </si>
  <si>
    <t>PERALES</t>
  </si>
  <si>
    <t>JARPA</t>
  </si>
  <si>
    <t>JEYSON</t>
  </si>
  <si>
    <t>19091784-3</t>
  </si>
  <si>
    <t>CORONEL</t>
  </si>
  <si>
    <t>JARA</t>
  </si>
  <si>
    <t>GOMEZ</t>
  </si>
  <si>
    <t>18498247-0</t>
  </si>
  <si>
    <t>LT</t>
  </si>
  <si>
    <t>14472229-9</t>
  </si>
  <si>
    <t>COVARRUBIA</t>
  </si>
  <si>
    <t>TOLOSA</t>
  </si>
  <si>
    <t>18709818-1</t>
  </si>
  <si>
    <t>17211423-7</t>
  </si>
  <si>
    <t>19797369-2</t>
  </si>
  <si>
    <t xml:space="preserve">ADICIONAL DESAYUNO </t>
  </si>
  <si>
    <t>MARIA F</t>
  </si>
  <si>
    <t xml:space="preserve"> BERNARD </t>
  </si>
  <si>
    <t>15188041-1</t>
  </si>
  <si>
    <t>BUSTOS</t>
  </si>
  <si>
    <t>URQUIZA</t>
  </si>
  <si>
    <t xml:space="preserve">SEPULVEDA </t>
  </si>
  <si>
    <t>19122318-7</t>
  </si>
  <si>
    <t>20037519-K</t>
  </si>
  <si>
    <t>21456295-</t>
  </si>
  <si>
    <t>12463574-8</t>
  </si>
  <si>
    <t>15370757-K</t>
  </si>
  <si>
    <t>16169202-6</t>
  </si>
  <si>
    <t>17188143-9</t>
  </si>
  <si>
    <t>19320445-7</t>
  </si>
  <si>
    <t>24337176-7</t>
  </si>
  <si>
    <t>9092883-K</t>
  </si>
  <si>
    <t>10231531-6</t>
  </si>
  <si>
    <t>15753932-9</t>
  </si>
  <si>
    <t>19454472-3</t>
  </si>
  <si>
    <t>9862021-4</t>
  </si>
  <si>
    <t>11981189-9</t>
  </si>
  <si>
    <t>12692494-1</t>
  </si>
  <si>
    <t>13344434-3</t>
  </si>
  <si>
    <t>17502616-9</t>
  </si>
  <si>
    <t>18374238-8</t>
  </si>
  <si>
    <t>10749588-6</t>
  </si>
  <si>
    <t>12197014-7</t>
  </si>
  <si>
    <t>12682535-8</t>
  </si>
  <si>
    <t>14244425-9</t>
  </si>
  <si>
    <t>14290297-4</t>
  </si>
  <si>
    <t>14389879-2</t>
  </si>
  <si>
    <t>15907871-K</t>
  </si>
  <si>
    <t>19410879-6</t>
  </si>
  <si>
    <t>20413141-4</t>
  </si>
  <si>
    <t>9466945-6</t>
  </si>
  <si>
    <t>18178949-2</t>
  </si>
  <si>
    <t>19780776-8</t>
  </si>
  <si>
    <t>URRIOLA</t>
  </si>
  <si>
    <t>ROGELIO</t>
  </si>
  <si>
    <t>CLAVERIA</t>
  </si>
  <si>
    <t>BASTIAS</t>
  </si>
  <si>
    <t>YOHNY</t>
  </si>
  <si>
    <t>GALDAMEZ</t>
  </si>
  <si>
    <t>CONTRERAS </t>
  </si>
  <si>
    <t>ARNOLD</t>
  </si>
  <si>
    <t>TOLEDO </t>
  </si>
  <si>
    <t>LEONEL</t>
  </si>
  <si>
    <t>ESTEBAN</t>
  </si>
  <si>
    <t>FUENZALIDA </t>
  </si>
  <si>
    <t>DARWING</t>
  </si>
  <si>
    <t>LEIVA</t>
  </si>
  <si>
    <t>HERNAN</t>
  </si>
  <si>
    <t>GALLEGUILLOS</t>
  </si>
  <si>
    <t>MENDEZ </t>
  </si>
  <si>
    <t>BASCUÑAN </t>
  </si>
  <si>
    <t>OSORIO </t>
  </si>
  <si>
    <t>AVILES</t>
  </si>
  <si>
    <t>CESPEDES</t>
  </si>
  <si>
    <t>BURGOS </t>
  </si>
  <si>
    <t>CANDIA </t>
  </si>
  <si>
    <t>VASQUEZ</t>
  </si>
  <si>
    <t>APABLAZA</t>
  </si>
  <si>
    <t>VALDES</t>
  </si>
  <si>
    <t>MENDEZ</t>
  </si>
  <si>
    <t>CIFUENTES</t>
  </si>
  <si>
    <t>ROMERO</t>
  </si>
  <si>
    <t>SEPULVEDA </t>
  </si>
  <si>
    <t>FEDERICO</t>
  </si>
  <si>
    <t>IBARRA</t>
  </si>
  <si>
    <t>CRESPO</t>
  </si>
  <si>
    <t>TOBAR</t>
  </si>
  <si>
    <t>JONATHAN</t>
  </si>
  <si>
    <t>FUENZALIDA</t>
  </si>
  <si>
    <t>SCHIPMANN</t>
  </si>
  <si>
    <t>SILVA</t>
  </si>
  <si>
    <t>16818093-4</t>
  </si>
  <si>
    <t>12973286-5</t>
  </si>
  <si>
    <t>19038296-6</t>
  </si>
  <si>
    <t>PEDRO</t>
  </si>
  <si>
    <t>TERRAZA</t>
  </si>
  <si>
    <t>VERDUGO</t>
  </si>
  <si>
    <t xml:space="preserve">DE LA HOZ </t>
  </si>
  <si>
    <t>ANGELO</t>
  </si>
  <si>
    <t>19592455-4</t>
  </si>
  <si>
    <t>17186705-3</t>
  </si>
  <si>
    <t>17013061-8</t>
  </si>
  <si>
    <t>10798073-3</t>
  </si>
  <si>
    <t>15190004-6</t>
  </si>
  <si>
    <t>BERNAL</t>
  </si>
  <si>
    <t>MATURANA</t>
  </si>
  <si>
    <t>IBAÑEZ</t>
  </si>
  <si>
    <t>VILCHES</t>
  </si>
  <si>
    <t>VALENCIA</t>
  </si>
  <si>
    <t>MALDONADO</t>
  </si>
  <si>
    <t>12818204-7</t>
  </si>
  <si>
    <t>17545154-4</t>
  </si>
  <si>
    <t>13388937-K</t>
  </si>
  <si>
    <t>12602022-8</t>
  </si>
  <si>
    <t>12236689-8</t>
  </si>
  <si>
    <t>19527019-3</t>
  </si>
  <si>
    <t>CHRISTOPHER</t>
  </si>
  <si>
    <t>FRANCO</t>
  </si>
  <si>
    <t>CANALES</t>
  </si>
  <si>
    <t>LAGOS</t>
  </si>
  <si>
    <t>NUÑEZ</t>
  </si>
  <si>
    <t>CANCINO</t>
  </si>
  <si>
    <t>MONTECINOS</t>
  </si>
  <si>
    <t>MANQUEO</t>
  </si>
  <si>
    <t>GUIDO</t>
  </si>
  <si>
    <t>GERARDO</t>
  </si>
  <si>
    <t>LANDERO</t>
  </si>
  <si>
    <t>11241778-8</t>
  </si>
  <si>
    <t>14210107-6</t>
  </si>
  <si>
    <t>19478829-0</t>
  </si>
  <si>
    <t>15222340-4</t>
  </si>
  <si>
    <t>11901984-2</t>
  </si>
  <si>
    <t>15247087-8</t>
  </si>
  <si>
    <t>13151852-8</t>
  </si>
  <si>
    <t>21830481-8</t>
  </si>
  <si>
    <t>19908182-9</t>
  </si>
  <si>
    <t>16504476-2</t>
  </si>
  <si>
    <t>19376474-6</t>
  </si>
  <si>
    <t>10562108-K</t>
  </si>
  <si>
    <t>ALOJAMIENTO  H1</t>
  </si>
  <si>
    <t>ALOJAMIENTO H3</t>
  </si>
  <si>
    <t>ALOJAMIENTO ACON</t>
  </si>
  <si>
    <t>ALMUERZOS AC</t>
  </si>
  <si>
    <t>ALMUERZOS H1</t>
  </si>
  <si>
    <t>ADICIONAL DESAYUNO</t>
  </si>
  <si>
    <t>MARTIN</t>
  </si>
  <si>
    <t>CELEDON</t>
  </si>
  <si>
    <t>OVIEDO</t>
  </si>
  <si>
    <t>FABIO</t>
  </si>
  <si>
    <t>QUIJADA</t>
  </si>
  <si>
    <t>RAMIRO</t>
  </si>
  <si>
    <t>12705484-3</t>
  </si>
  <si>
    <t>16691371-3</t>
  </si>
  <si>
    <t>11901926-5</t>
  </si>
  <si>
    <t>20379072-4</t>
  </si>
  <si>
    <t>18433597-2</t>
  </si>
  <si>
    <t>13626685-3</t>
  </si>
  <si>
    <t>HUENTENAO</t>
  </si>
  <si>
    <t>GARRETON</t>
  </si>
  <si>
    <t>CORONADO</t>
  </si>
  <si>
    <t>QUINTANA</t>
  </si>
  <si>
    <t>ARANEDA</t>
  </si>
  <si>
    <t>11789833-4</t>
  </si>
  <si>
    <t>12187987-5</t>
  </si>
  <si>
    <t>14994698-7</t>
  </si>
  <si>
    <t>19123612-2</t>
  </si>
  <si>
    <t>VILLA</t>
  </si>
  <si>
    <t>AVILEZ</t>
  </si>
  <si>
    <t>VILLANUEVA</t>
  </si>
  <si>
    <t>16037431-4</t>
  </si>
  <si>
    <t>15183270-9</t>
  </si>
  <si>
    <t>MELLADO</t>
  </si>
  <si>
    <t>CORDOVA</t>
  </si>
  <si>
    <t>20513904-4</t>
  </si>
  <si>
    <t>20907528-8</t>
  </si>
  <si>
    <t>GERALD</t>
  </si>
  <si>
    <t>NAVARRETE</t>
  </si>
  <si>
    <t>EDGARD</t>
  </si>
  <si>
    <t>CARMONA</t>
  </si>
  <si>
    <t>DAROCH</t>
  </si>
  <si>
    <t>DENIS</t>
  </si>
  <si>
    <t>GARCES</t>
  </si>
  <si>
    <t>ALMAZABAL</t>
  </si>
  <si>
    <t>OMERANDO</t>
  </si>
  <si>
    <t>12521035-K</t>
  </si>
  <si>
    <t>14444202-4</t>
  </si>
  <si>
    <t>16641048-7</t>
  </si>
  <si>
    <t>13382676-9</t>
  </si>
  <si>
    <t>20152621-3</t>
  </si>
  <si>
    <t>18411429-1</t>
  </si>
  <si>
    <t>20618153-4</t>
  </si>
  <si>
    <t>20322178-2</t>
  </si>
  <si>
    <t>ARELLANO</t>
  </si>
  <si>
    <t>CARO</t>
  </si>
  <si>
    <t>PINO</t>
  </si>
  <si>
    <t>ALONSO</t>
  </si>
  <si>
    <t>MEDINA</t>
  </si>
  <si>
    <t>GOVET</t>
  </si>
  <si>
    <t>GILBERT</t>
  </si>
  <si>
    <t>MARIN</t>
  </si>
  <si>
    <t>12025317-4</t>
  </si>
  <si>
    <t>17196576-4</t>
  </si>
  <si>
    <t>17868178-8</t>
  </si>
  <si>
    <t>16167713-2</t>
  </si>
  <si>
    <t>20489492-2</t>
  </si>
  <si>
    <t>19927836-3</t>
  </si>
  <si>
    <t>12051577-2</t>
  </si>
  <si>
    <t>16827294-4</t>
  </si>
  <si>
    <t>REINALDO</t>
  </si>
  <si>
    <t>NESTOR</t>
  </si>
  <si>
    <t>SANGUINETTI</t>
  </si>
  <si>
    <t>LUNA</t>
  </si>
  <si>
    <t>14027749-5</t>
  </si>
  <si>
    <t>15503449-1</t>
  </si>
  <si>
    <t>15499412-2</t>
  </si>
  <si>
    <t>21269464-9</t>
  </si>
  <si>
    <t>15160416-1</t>
  </si>
  <si>
    <t>18067804-2</t>
  </si>
  <si>
    <t xml:space="preserve">VALENTINA </t>
  </si>
  <si>
    <t>CINTHIA </t>
  </si>
  <si>
    <t xml:space="preserve"> OLIVARES</t>
  </si>
  <si>
    <t xml:space="preserve"> SEPULVEDA</t>
  </si>
  <si>
    <t xml:space="preserve">   EDUARDO </t>
  </si>
  <si>
    <t xml:space="preserve"> QUEVEDO</t>
  </si>
  <si>
    <t>CRISTÓBAL</t>
  </si>
  <si>
    <t>19527019-8</t>
  </si>
  <si>
    <t xml:space="preserve">CLAUDIO </t>
  </si>
  <si>
    <t>13726534-6</t>
  </si>
  <si>
    <t xml:space="preserve">KATHERINE </t>
  </si>
  <si>
    <t>15188041-k</t>
  </si>
  <si>
    <t xml:space="preserve"> AMESTICA</t>
  </si>
  <si>
    <t xml:space="preserve">CONSUELO </t>
  </si>
  <si>
    <t>EDWAR</t>
  </si>
  <si>
    <t>HERMOSILLA </t>
  </si>
  <si>
    <t>HÉCTOR </t>
  </si>
  <si>
    <t>19297281-7</t>
  </si>
  <si>
    <t>19278451-3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</si>
</sst>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340A]\ #,##0"/>
  </numFmts>
  <fonts count="24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28"/>
      <color theme="3"/>
      <name val="comic"/>
      <family val="5"/>
      <charset val="1"/>
    </font>
    <font>
      <b/>
      <sz val="13"/>
      <color rgb="FF000000"/>
      <name val="Calibri"/>
      <family val="2"/>
      <charset val="1"/>
    </font>
    <font>
      <b/>
      <sz val="14"/>
      <name val="Arial"/>
      <family val="2"/>
      <charset val="1"/>
    </font>
    <font>
      <sz val="7"/>
      <color rgb="FF000000"/>
      <name val="Calibri"/>
      <family val="2"/>
      <charset val="1"/>
    </font>
    <font>
      <b/>
      <sz val="12"/>
      <name val="Arial"/>
      <family val="2"/>
      <charset val="1"/>
    </font>
    <font>
      <b/>
      <sz val="8"/>
      <color rgb="FF000000"/>
      <name val="Arial"/>
      <family val="2"/>
      <charset val="1"/>
    </font>
    <font>
      <sz val="10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sz val="8"/>
      <color theme="1"/>
      <name val="Arial"/>
      <family val="2"/>
      <charset val="1"/>
    </font>
    <font>
      <b/>
      <sz val="8"/>
      <color theme="1"/>
      <name val="Arial"/>
      <family val="2"/>
      <charset val="1"/>
    </font>
    <font>
      <sz val="8"/>
      <name val="Arial"/>
      <family val="2"/>
      <charset val="1"/>
    </font>
    <font>
      <b/>
      <sz val="12"/>
      <color rgb="FF000000"/>
      <name val="Calibri"/>
      <family val="2"/>
      <charset val="1"/>
    </font>
    <font>
      <b/>
      <sz val="10"/>
      <name val="Arial"/>
      <family val="2"/>
      <charset val="1"/>
    </font>
    <font>
      <b/>
      <sz val="8"/>
      <name val="Arial"/>
      <family val="2"/>
      <charset val="1"/>
    </font>
    <font>
      <sz val="16"/>
      <name val="Arial"/>
      <family val="2"/>
      <charset val="1"/>
    </font>
    <font>
      <b/>
      <sz val="11"/>
      <color rgb="FF000000"/>
      <name val="Arial"/>
      <family val="2"/>
      <charset val="1"/>
    </font>
    <font>
      <sz val="10"/>
      <color theme="0"/>
      <name val="Arial"/>
      <family val="2"/>
      <charset val="1"/>
    </font>
    <font>
      <sz val="11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sz val="8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A6A6A6"/>
        <bgColor rgb="FF8DB4E3"/>
      </patternFill>
    </fill>
    <fill>
      <patternFill patternType="solid">
        <fgColor rgb="FFFFFFFF"/>
        <bgColor rgb="FFFFFFCC"/>
      </patternFill>
    </fill>
    <fill>
      <patternFill patternType="solid">
        <fgColor theme="3" tint="0.59968871120334488"/>
        <bgColor rgb="FF9999FF"/>
      </patternFill>
    </fill>
    <fill>
      <patternFill patternType="solid">
        <fgColor rgb="FFFF0000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6" tint="0.79998168889431442"/>
        <bgColor rgb="FFFFCC99"/>
      </patternFill>
    </fill>
    <fill>
      <patternFill patternType="solid">
        <fgColor rgb="FFFFFF00"/>
        <bgColor rgb="FFFFFFCC"/>
      </patternFill>
    </fill>
    <fill>
      <patternFill patternType="solid">
        <fgColor theme="8" tint="0.79998168889431442"/>
        <bgColor rgb="FFFFCC99"/>
      </patternFill>
    </fill>
    <fill>
      <patternFill patternType="solid">
        <fgColor theme="6" tint="0.79998168889431442"/>
        <bgColor rgb="FFFFFFC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rgb="FFFFCC99"/>
      </patternFill>
    </fill>
    <fill>
      <patternFill patternType="solid">
        <fgColor theme="9" tint="0.59999389629810485"/>
        <bgColor rgb="FFFFCC99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9">
    <xf numFmtId="0" fontId="0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2" fillId="0" borderId="0"/>
    <xf numFmtId="0" fontId="1" fillId="0" borderId="0"/>
  </cellStyleXfs>
  <cellXfs count="75">
    <xf numFmtId="0" fontId="0" fillId="0" borderId="0" xfId="0"/>
    <xf numFmtId="0" fontId="2" fillId="0" borderId="0" xfId="5" applyAlignment="1">
      <alignment horizontal="center"/>
    </xf>
    <xf numFmtId="0" fontId="20" fillId="3" borderId="0" xfId="5" applyFont="1" applyFill="1" applyAlignment="1">
      <alignment horizontal="center"/>
    </xf>
    <xf numFmtId="0" fontId="2" fillId="0" borderId="0" xfId="5"/>
    <xf numFmtId="0" fontId="6" fillId="2" borderId="6" xfId="5" applyFont="1" applyFill="1" applyBorder="1" applyAlignment="1">
      <alignment horizontal="center" vertical="center"/>
    </xf>
    <xf numFmtId="0" fontId="6" fillId="2" borderId="7" xfId="5" applyFont="1" applyFill="1" applyBorder="1" applyAlignment="1">
      <alignment horizontal="center" vertical="center"/>
    </xf>
    <xf numFmtId="3" fontId="6" fillId="2" borderId="7" xfId="5" applyNumberFormat="1" applyFont="1" applyFill="1" applyBorder="1" applyAlignment="1">
      <alignment horizontal="center" vertical="center"/>
    </xf>
    <xf numFmtId="0" fontId="6" fillId="2" borderId="8" xfId="5" applyFont="1" applyFill="1" applyBorder="1" applyAlignment="1">
      <alignment horizontal="center" vertical="center"/>
    </xf>
    <xf numFmtId="0" fontId="6" fillId="2" borderId="9" xfId="5" applyFont="1" applyFill="1" applyBorder="1" applyAlignment="1">
      <alignment horizontal="center" vertical="center"/>
    </xf>
    <xf numFmtId="0" fontId="6" fillId="2" borderId="10" xfId="5" applyFont="1" applyFill="1" applyBorder="1" applyAlignment="1">
      <alignment horizontal="center" vertical="center"/>
    </xf>
    <xf numFmtId="0" fontId="11" fillId="3" borderId="12" xfId="5" applyFont="1" applyFill="1" applyBorder="1" applyAlignment="1">
      <alignment horizontal="center" vertical="center"/>
    </xf>
    <xf numFmtId="164" fontId="12" fillId="3" borderId="11" xfId="5" applyNumberFormat="1" applyFont="1" applyFill="1" applyBorder="1" applyAlignment="1">
      <alignment horizontal="center" vertical="center"/>
    </xf>
    <xf numFmtId="164" fontId="12" fillId="3" borderId="12" xfId="5" applyNumberFormat="1" applyFont="1" applyFill="1" applyBorder="1" applyAlignment="1">
      <alignment horizontal="center" vertical="center"/>
    </xf>
    <xf numFmtId="0" fontId="11" fillId="3" borderId="13" xfId="5" applyFont="1" applyFill="1" applyBorder="1" applyAlignment="1">
      <alignment horizontal="center" vertical="center"/>
    </xf>
    <xf numFmtId="164" fontId="12" fillId="3" borderId="13" xfId="5" applyNumberFormat="1" applyFont="1" applyFill="1" applyBorder="1" applyAlignment="1">
      <alignment horizontal="center" vertical="center"/>
    </xf>
    <xf numFmtId="164" fontId="11" fillId="3" borderId="12" xfId="5" applyNumberFormat="1" applyFont="1" applyFill="1" applyBorder="1" applyAlignment="1">
      <alignment horizontal="center" vertical="center"/>
    </xf>
    <xf numFmtId="0" fontId="2" fillId="3" borderId="11" xfId="5" applyFill="1" applyBorder="1"/>
    <xf numFmtId="0" fontId="14" fillId="0" borderId="12" xfId="5" applyFont="1" applyBorder="1" applyAlignment="1">
      <alignment horizontal="center"/>
    </xf>
    <xf numFmtId="164" fontId="2" fillId="0" borderId="12" xfId="5" applyNumberFormat="1" applyBorder="1"/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6" fillId="2" borderId="15" xfId="5" applyFont="1" applyFill="1" applyBorder="1" applyAlignment="1">
      <alignment horizontal="center" vertical="center"/>
    </xf>
    <xf numFmtId="0" fontId="6" fillId="2" borderId="16" xfId="5" applyFont="1" applyFill="1" applyBorder="1" applyAlignment="1">
      <alignment horizontal="center" vertical="center"/>
    </xf>
    <xf numFmtId="1" fontId="2" fillId="0" borderId="12" xfId="5" applyNumberFormat="1" applyBorder="1" applyAlignment="1">
      <alignment horizontal="center" vertical="center"/>
    </xf>
    <xf numFmtId="1" fontId="11" fillId="3" borderId="12" xfId="5" applyNumberFormat="1" applyFont="1" applyFill="1" applyBorder="1" applyAlignment="1">
      <alignment horizontal="center" vertical="center"/>
    </xf>
    <xf numFmtId="0" fontId="18" fillId="0" borderId="0" xfId="5" applyFont="1"/>
    <xf numFmtId="164" fontId="8" fillId="3" borderId="12" xfId="5" applyNumberFormat="1" applyFont="1" applyFill="1" applyBorder="1" applyAlignment="1">
      <alignment horizontal="left" vertical="center"/>
    </xf>
    <xf numFmtId="164" fontId="8" fillId="3" borderId="12" xfId="5" applyNumberFormat="1" applyFont="1" applyFill="1" applyBorder="1" applyAlignment="1">
      <alignment horizontal="right" vertical="center"/>
    </xf>
    <xf numFmtId="0" fontId="18" fillId="0" borderId="0" xfId="5" applyFont="1" applyAlignment="1">
      <alignment horizontal="center"/>
    </xf>
    <xf numFmtId="164" fontId="19" fillId="3" borderId="12" xfId="5" applyNumberFormat="1" applyFont="1" applyFill="1" applyBorder="1" applyAlignment="1">
      <alignment horizontal="left" vertical="center"/>
    </xf>
    <xf numFmtId="164" fontId="19" fillId="3" borderId="12" xfId="5" applyNumberFormat="1" applyFont="1" applyFill="1" applyBorder="1" applyAlignment="1">
      <alignment horizontal="right" vertical="center"/>
    </xf>
    <xf numFmtId="0" fontId="20" fillId="3" borderId="0" xfId="5" applyFont="1" applyFill="1"/>
    <xf numFmtId="0" fontId="9" fillId="6" borderId="11" xfId="0" applyFont="1" applyFill="1" applyBorder="1" applyAlignment="1">
      <alignment horizontal="center"/>
    </xf>
    <xf numFmtId="0" fontId="9" fillId="6" borderId="11" xfId="0" applyFont="1" applyFill="1" applyBorder="1" applyAlignment="1">
      <alignment horizontal="left"/>
    </xf>
    <xf numFmtId="0" fontId="10" fillId="6" borderId="11" xfId="5" applyFont="1" applyFill="1" applyBorder="1"/>
    <xf numFmtId="0" fontId="9" fillId="6" borderId="12" xfId="0" applyFont="1" applyFill="1" applyBorder="1" applyAlignment="1">
      <alignment horizontal="center"/>
    </xf>
    <xf numFmtId="0" fontId="9" fillId="6" borderId="12" xfId="0" applyFont="1" applyFill="1" applyBorder="1" applyAlignment="1">
      <alignment horizontal="left"/>
    </xf>
    <xf numFmtId="0" fontId="10" fillId="6" borderId="12" xfId="5" applyFont="1" applyFill="1" applyBorder="1"/>
    <xf numFmtId="0" fontId="9" fillId="6" borderId="13" xfId="0" applyFont="1" applyFill="1" applyBorder="1" applyAlignment="1">
      <alignment horizontal="center"/>
    </xf>
    <xf numFmtId="0" fontId="9" fillId="6" borderId="13" xfId="0" applyFont="1" applyFill="1" applyBorder="1" applyAlignment="1">
      <alignment horizontal="left"/>
    </xf>
    <xf numFmtId="0" fontId="10" fillId="6" borderId="13" xfId="5" applyFont="1" applyFill="1" applyBorder="1"/>
    <xf numFmtId="0" fontId="13" fillId="3" borderId="11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left" vertical="center"/>
    </xf>
    <xf numFmtId="0" fontId="11" fillId="3" borderId="11" xfId="5" applyFont="1" applyFill="1" applyBorder="1" applyAlignment="1">
      <alignment horizontal="center" vertical="center"/>
    </xf>
    <xf numFmtId="164" fontId="11" fillId="3" borderId="11" xfId="5" applyNumberFormat="1" applyFont="1" applyFill="1" applyBorder="1" applyAlignment="1">
      <alignment horizontal="center" vertical="center"/>
    </xf>
    <xf numFmtId="0" fontId="17" fillId="6" borderId="12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10" fillId="5" borderId="11" xfId="5" applyFont="1" applyFill="1" applyBorder="1"/>
    <xf numFmtId="0" fontId="8" fillId="7" borderId="13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/>
    </xf>
    <xf numFmtId="0" fontId="8" fillId="9" borderId="11" xfId="0" applyFont="1" applyFill="1" applyBorder="1" applyAlignment="1">
      <alignment horizontal="center" vertical="center"/>
    </xf>
    <xf numFmtId="0" fontId="11" fillId="8" borderId="12" xfId="5" applyFont="1" applyFill="1" applyBorder="1" applyAlignment="1">
      <alignment horizontal="center" vertical="center"/>
    </xf>
    <xf numFmtId="0" fontId="9" fillId="10" borderId="11" xfId="0" applyFont="1" applyFill="1" applyBorder="1" applyAlignment="1">
      <alignment horizontal="center"/>
    </xf>
    <xf numFmtId="0" fontId="8" fillId="12" borderId="11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8" fillId="9" borderId="13" xfId="0" applyFont="1" applyFill="1" applyBorder="1" applyAlignment="1">
      <alignment horizontal="center" vertical="center"/>
    </xf>
    <xf numFmtId="0" fontId="10" fillId="5" borderId="13" xfId="5" applyFont="1" applyFill="1" applyBorder="1"/>
    <xf numFmtId="0" fontId="8" fillId="13" borderId="11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/>
    </xf>
    <xf numFmtId="0" fontId="10" fillId="5" borderId="12" xfId="5" applyFont="1" applyFill="1" applyBorder="1"/>
    <xf numFmtId="1" fontId="2" fillId="0" borderId="0" xfId="5" applyNumberFormat="1" applyAlignment="1">
      <alignment horizontal="center" vertical="center"/>
    </xf>
    <xf numFmtId="0" fontId="11" fillId="8" borderId="11" xfId="5" applyFont="1" applyFill="1" applyBorder="1" applyAlignment="1">
      <alignment horizontal="center" vertical="center"/>
    </xf>
    <xf numFmtId="0" fontId="8" fillId="12" borderId="13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0" fontId="7" fillId="0" borderId="5" xfId="5" applyFont="1" applyBorder="1" applyAlignment="1">
      <alignment horizontal="center" vertical="center"/>
    </xf>
    <xf numFmtId="0" fontId="2" fillId="0" borderId="0" xfId="5" applyAlignment="1">
      <alignment horizontal="center"/>
    </xf>
    <xf numFmtId="0" fontId="16" fillId="3" borderId="12" xfId="5" applyFont="1" applyFill="1" applyBorder="1" applyAlignment="1">
      <alignment horizontal="center" vertical="center"/>
    </xf>
    <xf numFmtId="14" fontId="6" fillId="0" borderId="4" xfId="5" applyNumberFormat="1" applyFont="1" applyBorder="1" applyAlignment="1">
      <alignment horizontal="center" vertical="center" textRotation="90"/>
    </xf>
    <xf numFmtId="0" fontId="15" fillId="4" borderId="14" xfId="5" applyFont="1" applyFill="1" applyBorder="1" applyAlignment="1">
      <alignment horizontal="center" vertical="center"/>
    </xf>
    <xf numFmtId="0" fontId="5" fillId="0" borderId="3" xfId="5" applyFont="1" applyBorder="1" applyAlignment="1">
      <alignment horizontal="center" vertical="center"/>
    </xf>
    <xf numFmtId="0" fontId="14" fillId="11" borderId="17" xfId="5" applyFont="1" applyFill="1" applyBorder="1" applyAlignment="1">
      <alignment horizontal="center" vertical="center"/>
    </xf>
    <xf numFmtId="0" fontId="2" fillId="0" borderId="1" xfId="5" applyBorder="1" applyAlignment="1">
      <alignment horizontal="center"/>
    </xf>
    <xf numFmtId="0" fontId="3" fillId="0" borderId="2" xfId="5" applyFont="1" applyBorder="1" applyAlignment="1">
      <alignment horizontal="left" vertical="top"/>
    </xf>
    <xf numFmtId="0" fontId="4" fillId="0" borderId="2" xfId="5" applyFont="1" applyBorder="1" applyAlignment="1">
      <alignment horizontal="left" vertical="center"/>
    </xf>
  </cellXfs>
  <cellStyles count="9">
    <cellStyle name="Normal" xfId="0" builtinId="0"/>
    <cellStyle name="Normal 10" xfId="8" xr:uid="{20E31DBF-8F3C-4887-BD53-7F5AB75E002C}"/>
    <cellStyle name="Normal 2" xfId="1" xr:uid="{00000000-0005-0000-0000-000006000000}"/>
    <cellStyle name="Normal 2 2" xfId="7" xr:uid="{3B86A4E8-87CB-4684-BF1D-5566750A8D3F}"/>
    <cellStyle name="Normal 3" xfId="2" xr:uid="{00000000-0005-0000-0000-000007000000}"/>
    <cellStyle name="Normal 4" xfId="3" xr:uid="{00000000-0005-0000-0000-000008000000}"/>
    <cellStyle name="Normal 5" xfId="4" xr:uid="{00000000-0005-0000-0000-000009000000}"/>
    <cellStyle name="Normal 6" xfId="5" xr:uid="{00000000-0005-0000-0000-00000A000000}"/>
    <cellStyle name="Normal 7" xfId="6" xr:uid="{2456A267-FCBD-4735-BF75-A86B57B9BAD6}"/>
  </cellStyles>
  <dxfs count="6"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D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28440</xdr:colOff>
      <xdr:row>0</xdr:row>
      <xdr:rowOff>0</xdr:rowOff>
    </xdr:from>
    <xdr:to>
      <xdr:col>5</xdr:col>
      <xdr:colOff>444240</xdr:colOff>
      <xdr:row>3</xdr:row>
      <xdr:rowOff>120600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A7703993-FDBF-4098-96F8-2EED74FEBC29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8440" y="0"/>
          <a:ext cx="3597150" cy="70162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28440</xdr:colOff>
      <xdr:row>0</xdr:row>
      <xdr:rowOff>0</xdr:rowOff>
    </xdr:from>
    <xdr:to>
      <xdr:col>5</xdr:col>
      <xdr:colOff>444240</xdr:colOff>
      <xdr:row>3</xdr:row>
      <xdr:rowOff>120600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55EE130-B8F7-4D7B-B888-E92BF6968A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8440" y="0"/>
          <a:ext cx="3597150" cy="70162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28440</xdr:colOff>
      <xdr:row>0</xdr:row>
      <xdr:rowOff>0</xdr:rowOff>
    </xdr:from>
    <xdr:to>
      <xdr:col>5</xdr:col>
      <xdr:colOff>413514</xdr:colOff>
      <xdr:row>3</xdr:row>
      <xdr:rowOff>120600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8440" y="0"/>
          <a:ext cx="3778200" cy="701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A04F-FEC7-4DF1-B52C-03C46657B1E5}">
  <dimension ref="A1:AQ476"/>
  <sheetViews>
    <sheetView tabSelected="1" zoomScale="96" zoomScaleNormal="96" workbookViewId="0">
      <pane xSplit="6" ySplit="9" topLeftCell="G437" activePane="bottomRight" state="frozen"/>
      <selection pane="topRight" activeCell="I1" sqref="I1"/>
      <selection pane="bottomLeft" activeCell="A46" sqref="A46"/>
      <selection pane="bottomRight" activeCell="V447" sqref="V447"/>
    </sheetView>
  </sheetViews>
  <sheetFormatPr baseColWidth="10" defaultColWidth="11.42578125" defaultRowHeight="12.75"/>
  <cols>
    <col min="1" max="1" width="6.28515625" style="1" customWidth="1"/>
    <col min="2" max="2" width="4.7109375" style="1" customWidth="1"/>
    <col min="3" max="3" width="10.7109375" style="3" customWidth="1"/>
    <col min="4" max="4" width="12.42578125" style="3" customWidth="1"/>
    <col min="5" max="5" width="13.5703125" style="3" customWidth="1"/>
    <col min="6" max="6" width="10.5703125" style="1" customWidth="1"/>
    <col min="7" max="12" width="3.7109375" style="3" customWidth="1"/>
    <col min="13" max="13" width="3.140625" style="3" bestFit="1" customWidth="1"/>
    <col min="14" max="18" width="4.140625" style="3" bestFit="1" customWidth="1"/>
    <col min="19" max="19" width="3.85546875" style="3" customWidth="1"/>
    <col min="20" max="20" width="4.140625" style="3" bestFit="1" customWidth="1"/>
    <col min="21" max="21" width="4" style="3" customWidth="1"/>
    <col min="22" max="23" width="4.140625" style="3" customWidth="1"/>
    <col min="24" max="24" width="4.28515625" style="3" customWidth="1"/>
    <col min="25" max="25" width="4.140625" style="3" bestFit="1" customWidth="1"/>
    <col min="26" max="27" width="4.28515625" style="3" customWidth="1"/>
    <col min="28" max="36" width="4.140625" style="3" customWidth="1"/>
    <col min="37" max="37" width="4.140625" style="3" bestFit="1" customWidth="1"/>
    <col min="38" max="38" width="5.5703125" style="3" customWidth="1"/>
    <col min="39" max="39" width="18.28515625" style="3" customWidth="1"/>
    <col min="40" max="40" width="15.5703125" style="3" customWidth="1"/>
    <col min="41" max="41" width="12.42578125" style="3" customWidth="1"/>
    <col min="42" max="44" width="3" style="3" customWidth="1"/>
    <col min="45" max="16384" width="11.42578125" style="3"/>
  </cols>
  <sheetData>
    <row r="1" spans="1:40" ht="12.75" customHeight="1" thickBot="1">
      <c r="A1" s="72"/>
      <c r="B1" s="72"/>
      <c r="C1" s="72"/>
      <c r="D1" s="72"/>
      <c r="E1" s="72"/>
      <c r="F1" s="72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</row>
    <row r="2" spans="1:40" ht="12.75" customHeight="1" thickBot="1">
      <c r="A2" s="72"/>
      <c r="B2" s="72"/>
      <c r="C2" s="72"/>
      <c r="D2" s="72"/>
      <c r="E2" s="72"/>
      <c r="F2" s="72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</row>
    <row r="3" spans="1:40" ht="20.25" customHeight="1" thickBot="1">
      <c r="A3" s="72"/>
      <c r="B3" s="72"/>
      <c r="C3" s="72"/>
      <c r="D3" s="72"/>
      <c r="E3" s="72"/>
      <c r="F3" s="72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</row>
    <row r="4" spans="1:40" ht="12.75" customHeight="1" thickBot="1">
      <c r="A4" s="72"/>
      <c r="B4" s="72"/>
      <c r="C4" s="72"/>
      <c r="D4" s="72"/>
      <c r="E4" s="72"/>
      <c r="F4" s="72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</row>
    <row r="5" spans="1:40" ht="7.5" customHeight="1" thickBot="1">
      <c r="A5" s="72"/>
      <c r="B5" s="72"/>
      <c r="C5" s="72"/>
      <c r="D5" s="72"/>
      <c r="E5" s="72"/>
      <c r="F5" s="72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</row>
    <row r="6" spans="1:40" ht="12.75" customHeight="1" thickBot="1">
      <c r="A6" s="70" t="s">
        <v>156</v>
      </c>
      <c r="B6" s="70"/>
      <c r="C6" s="70"/>
      <c r="D6" s="70"/>
      <c r="E6" s="70"/>
      <c r="F6" s="70"/>
      <c r="G6" s="68">
        <v>45778</v>
      </c>
      <c r="H6" s="68">
        <v>45779</v>
      </c>
      <c r="I6" s="68">
        <v>45780</v>
      </c>
      <c r="J6" s="68">
        <v>45781</v>
      </c>
      <c r="K6" s="68">
        <v>45782</v>
      </c>
      <c r="L6" s="68">
        <v>45783</v>
      </c>
      <c r="M6" s="68">
        <v>45784</v>
      </c>
      <c r="N6" s="68">
        <v>45785</v>
      </c>
      <c r="O6" s="68">
        <v>45786</v>
      </c>
      <c r="P6" s="68">
        <v>45787</v>
      </c>
      <c r="Q6" s="68">
        <v>45788</v>
      </c>
      <c r="R6" s="68">
        <v>45789</v>
      </c>
      <c r="S6" s="68">
        <v>45790</v>
      </c>
      <c r="T6" s="68">
        <v>45791</v>
      </c>
      <c r="U6" s="68">
        <v>45792</v>
      </c>
      <c r="V6" s="68">
        <v>45793</v>
      </c>
      <c r="W6" s="68">
        <v>45794</v>
      </c>
      <c r="X6" s="68">
        <v>45795</v>
      </c>
      <c r="Y6" s="68">
        <v>45796</v>
      </c>
      <c r="Z6" s="68">
        <v>45797</v>
      </c>
      <c r="AA6" s="68">
        <v>45798</v>
      </c>
      <c r="AB6" s="68">
        <v>45799</v>
      </c>
      <c r="AC6" s="68">
        <v>45800</v>
      </c>
      <c r="AD6" s="68">
        <v>45801</v>
      </c>
      <c r="AE6" s="68">
        <v>45802</v>
      </c>
      <c r="AF6" s="68">
        <v>45803</v>
      </c>
      <c r="AG6" s="68">
        <v>45804</v>
      </c>
      <c r="AH6" s="68">
        <v>45805</v>
      </c>
      <c r="AI6" s="68">
        <v>45806</v>
      </c>
      <c r="AJ6" s="68">
        <v>45807</v>
      </c>
      <c r="AK6" s="68">
        <v>45808</v>
      </c>
      <c r="AL6" s="65" t="s">
        <v>157</v>
      </c>
      <c r="AM6" s="65"/>
      <c r="AN6" s="65"/>
    </row>
    <row r="7" spans="1:40" ht="15" customHeight="1" thickBot="1">
      <c r="A7" s="70"/>
      <c r="B7" s="70"/>
      <c r="C7" s="70"/>
      <c r="D7" s="70"/>
      <c r="E7" s="70"/>
      <c r="F7" s="70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5"/>
      <c r="AM7" s="65"/>
      <c r="AN7" s="65"/>
    </row>
    <row r="8" spans="1:40" ht="15.75" customHeight="1" thickBot="1">
      <c r="A8" s="70"/>
      <c r="B8" s="70"/>
      <c r="C8" s="70"/>
      <c r="D8" s="70"/>
      <c r="E8" s="70"/>
      <c r="F8" s="70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5"/>
      <c r="AM8" s="65"/>
      <c r="AN8" s="65"/>
    </row>
    <row r="9" spans="1:40" ht="15" customHeight="1">
      <c r="A9" s="4"/>
      <c r="B9" s="4" t="s">
        <v>0</v>
      </c>
      <c r="C9" s="5" t="s">
        <v>1</v>
      </c>
      <c r="D9" s="5" t="s">
        <v>2</v>
      </c>
      <c r="E9" s="5" t="s">
        <v>3</v>
      </c>
      <c r="F9" s="6" t="s">
        <v>4</v>
      </c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7" t="s">
        <v>5</v>
      </c>
      <c r="AM9" s="8" t="s">
        <v>6</v>
      </c>
      <c r="AN9" s="9" t="s">
        <v>7</v>
      </c>
    </row>
    <row r="10" spans="1:40">
      <c r="A10" s="50" t="s">
        <v>98</v>
      </c>
      <c r="B10" s="35">
        <v>51</v>
      </c>
      <c r="C10" s="36" t="s">
        <v>25</v>
      </c>
      <c r="D10" s="36" t="s">
        <v>99</v>
      </c>
      <c r="E10" s="36" t="s">
        <v>100</v>
      </c>
      <c r="F10" s="35" t="s">
        <v>101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3">
        <f t="shared" ref="AL10:AL73" si="0">SUM(G10:AK10)</f>
        <v>10</v>
      </c>
      <c r="AM10" s="11">
        <v>32000</v>
      </c>
      <c r="AN10" s="11">
        <f t="shared" ref="AN10:AN26" si="1">AM10*AL10</f>
        <v>320000</v>
      </c>
    </row>
    <row r="11" spans="1:40">
      <c r="A11" s="50" t="s">
        <v>98</v>
      </c>
      <c r="B11" s="35">
        <v>51</v>
      </c>
      <c r="C11" s="36" t="s">
        <v>102</v>
      </c>
      <c r="D11" s="36" t="s">
        <v>103</v>
      </c>
      <c r="E11" s="36" t="s">
        <v>104</v>
      </c>
      <c r="F11" s="35" t="s">
        <v>105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10">
        <f t="shared" si="0"/>
        <v>10</v>
      </c>
      <c r="AM11" s="11">
        <v>32000</v>
      </c>
      <c r="AN11" s="12">
        <f t="shared" si="1"/>
        <v>320000</v>
      </c>
    </row>
    <row r="12" spans="1:40">
      <c r="A12" s="50" t="s">
        <v>98</v>
      </c>
      <c r="B12" s="35">
        <v>56</v>
      </c>
      <c r="C12" s="36" t="s">
        <v>107</v>
      </c>
      <c r="D12" s="36" t="s">
        <v>21</v>
      </c>
      <c r="E12" s="36" t="s">
        <v>108</v>
      </c>
      <c r="F12" s="35" t="s">
        <v>109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10">
        <f t="shared" si="0"/>
        <v>10</v>
      </c>
      <c r="AM12" s="11">
        <v>32000</v>
      </c>
      <c r="AN12" s="12">
        <f t="shared" si="1"/>
        <v>320000</v>
      </c>
    </row>
    <row r="13" spans="1:40">
      <c r="A13" s="50" t="s">
        <v>98</v>
      </c>
      <c r="B13" s="35">
        <v>56</v>
      </c>
      <c r="C13" s="36" t="s">
        <v>107</v>
      </c>
      <c r="D13" s="36" t="s">
        <v>21</v>
      </c>
      <c r="E13" s="36" t="s">
        <v>26</v>
      </c>
      <c r="F13" s="35" t="s">
        <v>110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10">
        <f t="shared" si="0"/>
        <v>10</v>
      </c>
      <c r="AM13" s="11">
        <v>32000</v>
      </c>
      <c r="AN13" s="12">
        <f t="shared" si="1"/>
        <v>320000</v>
      </c>
    </row>
    <row r="14" spans="1:40">
      <c r="A14" s="50" t="s">
        <v>98</v>
      </c>
      <c r="B14" s="35">
        <v>57</v>
      </c>
      <c r="C14" s="36" t="s">
        <v>111</v>
      </c>
      <c r="D14" s="36" t="s">
        <v>112</v>
      </c>
      <c r="E14" s="36" t="s">
        <v>104</v>
      </c>
      <c r="F14" s="35" t="s">
        <v>113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10">
        <f t="shared" si="0"/>
        <v>10</v>
      </c>
      <c r="AM14" s="11">
        <v>32000</v>
      </c>
      <c r="AN14" s="12">
        <f t="shared" si="1"/>
        <v>320000</v>
      </c>
    </row>
    <row r="15" spans="1:40">
      <c r="A15" s="50" t="s">
        <v>98</v>
      </c>
      <c r="B15" s="35">
        <v>57</v>
      </c>
      <c r="C15" s="36" t="s">
        <v>114</v>
      </c>
      <c r="D15" s="36" t="s">
        <v>48</v>
      </c>
      <c r="E15" s="36" t="s">
        <v>23</v>
      </c>
      <c r="F15" s="35" t="s">
        <v>115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10">
        <f t="shared" si="0"/>
        <v>10</v>
      </c>
      <c r="AM15" s="11">
        <v>32000</v>
      </c>
      <c r="AN15" s="12">
        <f t="shared" si="1"/>
        <v>320000</v>
      </c>
    </row>
    <row r="16" spans="1:40">
      <c r="A16" s="50" t="s">
        <v>98</v>
      </c>
      <c r="B16" s="35">
        <v>59</v>
      </c>
      <c r="C16" s="36" t="s">
        <v>116</v>
      </c>
      <c r="D16" s="36" t="s">
        <v>117</v>
      </c>
      <c r="E16" s="36" t="s">
        <v>108</v>
      </c>
      <c r="F16" s="35" t="s">
        <v>118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10">
        <f t="shared" si="0"/>
        <v>10</v>
      </c>
      <c r="AM16" s="11">
        <v>32000</v>
      </c>
      <c r="AN16" s="12">
        <f t="shared" si="1"/>
        <v>320000</v>
      </c>
    </row>
    <row r="17" spans="1:40">
      <c r="A17" s="50" t="s">
        <v>98</v>
      </c>
      <c r="B17" s="35">
        <v>59</v>
      </c>
      <c r="C17" s="36" t="s">
        <v>25</v>
      </c>
      <c r="D17" s="36" t="s">
        <v>119</v>
      </c>
      <c r="E17" s="36" t="s">
        <v>120</v>
      </c>
      <c r="F17" s="35" t="s">
        <v>121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10">
        <f t="shared" si="0"/>
        <v>10</v>
      </c>
      <c r="AM17" s="11">
        <v>32000</v>
      </c>
      <c r="AN17" s="12">
        <f t="shared" si="1"/>
        <v>320000</v>
      </c>
    </row>
    <row r="18" spans="1:40">
      <c r="A18" s="50" t="s">
        <v>98</v>
      </c>
      <c r="B18" s="35">
        <v>61</v>
      </c>
      <c r="C18" s="36" t="s">
        <v>20</v>
      </c>
      <c r="D18" s="36" t="s">
        <v>122</v>
      </c>
      <c r="E18" s="36" t="s">
        <v>15</v>
      </c>
      <c r="F18" s="35" t="s">
        <v>123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10">
        <f t="shared" si="0"/>
        <v>10</v>
      </c>
      <c r="AM18" s="11">
        <v>32000</v>
      </c>
      <c r="AN18" s="12">
        <f t="shared" si="1"/>
        <v>320000</v>
      </c>
    </row>
    <row r="19" spans="1:40">
      <c r="A19" s="50" t="s">
        <v>98</v>
      </c>
      <c r="B19" s="35">
        <v>61</v>
      </c>
      <c r="C19" s="36" t="s">
        <v>18</v>
      </c>
      <c r="D19" s="36" t="s">
        <v>10</v>
      </c>
      <c r="E19" s="36" t="s">
        <v>124</v>
      </c>
      <c r="F19" s="35" t="s">
        <v>125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10">
        <f t="shared" si="0"/>
        <v>10</v>
      </c>
      <c r="AM19" s="11">
        <v>32000</v>
      </c>
      <c r="AN19" s="12">
        <f t="shared" si="1"/>
        <v>320000</v>
      </c>
    </row>
    <row r="20" spans="1:40">
      <c r="A20" s="50" t="s">
        <v>98</v>
      </c>
      <c r="B20" s="35">
        <v>65</v>
      </c>
      <c r="C20" s="36" t="s">
        <v>126</v>
      </c>
      <c r="D20" s="36" t="s">
        <v>127</v>
      </c>
      <c r="E20" s="36" t="s">
        <v>128</v>
      </c>
      <c r="F20" s="35" t="s">
        <v>129</v>
      </c>
      <c r="G20" s="34">
        <v>1</v>
      </c>
      <c r="H20" s="34">
        <v>1</v>
      </c>
      <c r="I20" s="34">
        <v>1</v>
      </c>
      <c r="J20" s="34">
        <v>1</v>
      </c>
      <c r="K20" s="34">
        <v>1</v>
      </c>
      <c r="L20" s="34">
        <v>1</v>
      </c>
      <c r="M20" s="34">
        <v>1</v>
      </c>
      <c r="N20" s="34">
        <v>1</v>
      </c>
      <c r="O20" s="34">
        <v>1</v>
      </c>
      <c r="P20" s="34">
        <v>1</v>
      </c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10">
        <f t="shared" si="0"/>
        <v>10</v>
      </c>
      <c r="AM20" s="11">
        <v>32000</v>
      </c>
      <c r="AN20" s="12">
        <f t="shared" si="1"/>
        <v>320000</v>
      </c>
    </row>
    <row r="21" spans="1:40">
      <c r="A21" s="50" t="s">
        <v>98</v>
      </c>
      <c r="B21" s="35">
        <v>65</v>
      </c>
      <c r="C21" s="36" t="s">
        <v>130</v>
      </c>
      <c r="D21" s="36" t="s">
        <v>131</v>
      </c>
      <c r="E21" s="36" t="s">
        <v>132</v>
      </c>
      <c r="F21" s="35" t="s">
        <v>133</v>
      </c>
      <c r="G21" s="34">
        <v>1</v>
      </c>
      <c r="H21" s="34">
        <v>1</v>
      </c>
      <c r="I21" s="34">
        <v>1</v>
      </c>
      <c r="J21" s="34">
        <v>1</v>
      </c>
      <c r="K21" s="34">
        <v>1</v>
      </c>
      <c r="L21" s="34">
        <v>1</v>
      </c>
      <c r="M21" s="34">
        <v>1</v>
      </c>
      <c r="N21" s="34">
        <v>1</v>
      </c>
      <c r="O21" s="34">
        <v>1</v>
      </c>
      <c r="P21" s="34">
        <v>1</v>
      </c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10">
        <f t="shared" si="0"/>
        <v>10</v>
      </c>
      <c r="AM21" s="11">
        <v>32000</v>
      </c>
      <c r="AN21" s="12">
        <f t="shared" si="1"/>
        <v>320000</v>
      </c>
    </row>
    <row r="22" spans="1:40">
      <c r="A22" s="50" t="s">
        <v>98</v>
      </c>
      <c r="B22" s="35">
        <v>67</v>
      </c>
      <c r="C22" s="36" t="s">
        <v>134</v>
      </c>
      <c r="D22" s="36" t="s">
        <v>135</v>
      </c>
      <c r="E22" s="36" t="s">
        <v>11</v>
      </c>
      <c r="F22" s="35" t="s">
        <v>136</v>
      </c>
      <c r="G22" s="34">
        <v>1</v>
      </c>
      <c r="H22" s="34">
        <v>1</v>
      </c>
      <c r="I22" s="34">
        <v>1</v>
      </c>
      <c r="J22" s="34">
        <v>1</v>
      </c>
      <c r="K22" s="34">
        <v>1</v>
      </c>
      <c r="L22" s="34">
        <v>1</v>
      </c>
      <c r="M22" s="34">
        <v>1</v>
      </c>
      <c r="N22" s="34">
        <v>1</v>
      </c>
      <c r="O22" s="34">
        <v>1</v>
      </c>
      <c r="P22" s="34">
        <v>1</v>
      </c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10">
        <f t="shared" si="0"/>
        <v>10</v>
      </c>
      <c r="AM22" s="11">
        <v>32000</v>
      </c>
      <c r="AN22" s="12">
        <f t="shared" si="1"/>
        <v>320000</v>
      </c>
    </row>
    <row r="23" spans="1:40">
      <c r="A23" s="50" t="s">
        <v>98</v>
      </c>
      <c r="B23" s="35">
        <v>67</v>
      </c>
      <c r="C23" s="36" t="s">
        <v>137</v>
      </c>
      <c r="D23" s="36" t="s">
        <v>138</v>
      </c>
      <c r="E23" s="36" t="s">
        <v>11</v>
      </c>
      <c r="F23" s="35"/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4">
        <v>1</v>
      </c>
      <c r="M23" s="34">
        <v>1</v>
      </c>
      <c r="N23" s="34">
        <v>1</v>
      </c>
      <c r="O23" s="34">
        <v>1</v>
      </c>
      <c r="P23" s="34">
        <v>1</v>
      </c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10">
        <f t="shared" si="0"/>
        <v>10</v>
      </c>
      <c r="AM23" s="11">
        <v>32000</v>
      </c>
      <c r="AN23" s="12">
        <f t="shared" si="1"/>
        <v>320000</v>
      </c>
    </row>
    <row r="24" spans="1:40">
      <c r="A24" s="50" t="s">
        <v>98</v>
      </c>
      <c r="B24" s="35">
        <v>69</v>
      </c>
      <c r="C24" s="36" t="s">
        <v>139</v>
      </c>
      <c r="D24" s="36" t="s">
        <v>52</v>
      </c>
      <c r="E24" s="36" t="s">
        <v>24</v>
      </c>
      <c r="F24" s="35" t="s">
        <v>140</v>
      </c>
      <c r="G24" s="34">
        <v>1</v>
      </c>
      <c r="H24" s="34">
        <v>1</v>
      </c>
      <c r="I24" s="34">
        <v>1</v>
      </c>
      <c r="J24" s="34">
        <v>1</v>
      </c>
      <c r="K24" s="34">
        <v>1</v>
      </c>
      <c r="L24" s="34">
        <v>1</v>
      </c>
      <c r="M24" s="34">
        <v>1</v>
      </c>
      <c r="N24" s="34">
        <v>1</v>
      </c>
      <c r="O24" s="34">
        <v>1</v>
      </c>
      <c r="P24" s="34">
        <v>1</v>
      </c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10">
        <f t="shared" si="0"/>
        <v>10</v>
      </c>
      <c r="AM24" s="11">
        <v>32000</v>
      </c>
      <c r="AN24" s="12">
        <f t="shared" si="1"/>
        <v>320000</v>
      </c>
    </row>
    <row r="25" spans="1:40">
      <c r="A25" s="50" t="s">
        <v>98</v>
      </c>
      <c r="B25" s="35">
        <v>69</v>
      </c>
      <c r="C25" s="36" t="s">
        <v>141</v>
      </c>
      <c r="D25" s="36" t="s">
        <v>141</v>
      </c>
      <c r="E25" s="36" t="s">
        <v>142</v>
      </c>
      <c r="F25" s="35" t="s">
        <v>143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4">
        <v>1</v>
      </c>
      <c r="M25" s="34">
        <v>1</v>
      </c>
      <c r="N25" s="34">
        <v>1</v>
      </c>
      <c r="O25" s="34">
        <v>1</v>
      </c>
      <c r="P25" s="34">
        <v>1</v>
      </c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10">
        <f t="shared" si="0"/>
        <v>10</v>
      </c>
      <c r="AM25" s="11">
        <v>32000</v>
      </c>
      <c r="AN25" s="12">
        <f t="shared" si="1"/>
        <v>320000</v>
      </c>
    </row>
    <row r="26" spans="1:40">
      <c r="A26" s="50" t="s">
        <v>98</v>
      </c>
      <c r="B26" s="35">
        <v>71</v>
      </c>
      <c r="C26" s="36" t="s">
        <v>144</v>
      </c>
      <c r="D26" s="36" t="s">
        <v>145</v>
      </c>
      <c r="E26" s="36" t="s">
        <v>146</v>
      </c>
      <c r="F26" s="35" t="s">
        <v>147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4">
        <v>1</v>
      </c>
      <c r="M26" s="34">
        <v>1</v>
      </c>
      <c r="N26" s="34">
        <v>1</v>
      </c>
      <c r="O26" s="34">
        <v>1</v>
      </c>
      <c r="P26" s="34">
        <v>1</v>
      </c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10">
        <f t="shared" si="0"/>
        <v>10</v>
      </c>
      <c r="AM26" s="11">
        <v>32000</v>
      </c>
      <c r="AN26" s="12">
        <f t="shared" si="1"/>
        <v>320000</v>
      </c>
    </row>
    <row r="27" spans="1:40">
      <c r="A27" s="50" t="s">
        <v>98</v>
      </c>
      <c r="B27" s="35">
        <v>71</v>
      </c>
      <c r="C27" s="36" t="s">
        <v>148</v>
      </c>
      <c r="D27" s="36" t="s">
        <v>149</v>
      </c>
      <c r="E27" s="36" t="s">
        <v>27</v>
      </c>
      <c r="F27" s="35" t="s">
        <v>150</v>
      </c>
      <c r="G27" s="34">
        <v>1</v>
      </c>
      <c r="H27" s="34">
        <v>1</v>
      </c>
      <c r="I27" s="34">
        <v>1</v>
      </c>
      <c r="J27" s="34">
        <v>1</v>
      </c>
      <c r="K27" s="34">
        <v>1</v>
      </c>
      <c r="L27" s="34">
        <v>1</v>
      </c>
      <c r="M27" s="34">
        <v>1</v>
      </c>
      <c r="N27" s="34">
        <v>1</v>
      </c>
      <c r="O27" s="34">
        <v>1</v>
      </c>
      <c r="P27" s="34">
        <v>1</v>
      </c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10">
        <f t="shared" si="0"/>
        <v>10</v>
      </c>
      <c r="AM27" s="11">
        <v>32000</v>
      </c>
      <c r="AN27" s="12">
        <f>AM27*AL27</f>
        <v>320000</v>
      </c>
    </row>
    <row r="28" spans="1:40">
      <c r="A28" s="50" t="s">
        <v>98</v>
      </c>
      <c r="B28" s="32">
        <v>5</v>
      </c>
      <c r="C28" s="33" t="s">
        <v>25</v>
      </c>
      <c r="D28" s="33" t="s">
        <v>238</v>
      </c>
      <c r="E28" s="33" t="s">
        <v>239</v>
      </c>
      <c r="F28" s="32" t="s">
        <v>240</v>
      </c>
      <c r="G28" s="47"/>
      <c r="H28" s="47"/>
      <c r="I28" s="47"/>
      <c r="J28" s="47"/>
      <c r="K28" s="47"/>
      <c r="L28" s="47"/>
      <c r="M28" s="47"/>
      <c r="N28" s="34">
        <v>1</v>
      </c>
      <c r="O28" s="34">
        <v>1</v>
      </c>
      <c r="P28" s="34">
        <v>1</v>
      </c>
      <c r="Q28" s="34">
        <v>1</v>
      </c>
      <c r="R28" s="34">
        <v>1</v>
      </c>
      <c r="S28" s="34">
        <v>1</v>
      </c>
      <c r="T28" s="34">
        <v>1</v>
      </c>
      <c r="U28" s="34">
        <v>1</v>
      </c>
      <c r="V28" s="34">
        <v>1</v>
      </c>
      <c r="W28" s="34">
        <v>1</v>
      </c>
      <c r="X28" s="34">
        <v>1</v>
      </c>
      <c r="Y28" s="34">
        <v>1</v>
      </c>
      <c r="Z28" s="34">
        <v>1</v>
      </c>
      <c r="AA28" s="34">
        <v>1</v>
      </c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10">
        <f t="shared" si="0"/>
        <v>14</v>
      </c>
      <c r="AM28" s="11">
        <v>32000</v>
      </c>
      <c r="AN28" s="12">
        <f t="shared" ref="AN28:AN73" si="2">AM28*AL28</f>
        <v>448000</v>
      </c>
    </row>
    <row r="29" spans="1:40">
      <c r="A29" s="50" t="s">
        <v>98</v>
      </c>
      <c r="B29" s="32">
        <v>5</v>
      </c>
      <c r="C29" s="33" t="s">
        <v>268</v>
      </c>
      <c r="D29" s="33" t="s">
        <v>269</v>
      </c>
      <c r="E29" s="33" t="s">
        <v>212</v>
      </c>
      <c r="F29" s="32" t="s">
        <v>270</v>
      </c>
      <c r="G29" s="47"/>
      <c r="H29" s="47"/>
      <c r="I29" s="47"/>
      <c r="J29" s="47"/>
      <c r="K29" s="47"/>
      <c r="L29" s="47"/>
      <c r="M29" s="47"/>
      <c r="N29" s="34">
        <v>1</v>
      </c>
      <c r="O29" s="34">
        <v>1</v>
      </c>
      <c r="P29" s="34">
        <v>1</v>
      </c>
      <c r="Q29" s="34">
        <v>1</v>
      </c>
      <c r="R29" s="34">
        <v>1</v>
      </c>
      <c r="S29" s="34">
        <v>1</v>
      </c>
      <c r="T29" s="34">
        <v>1</v>
      </c>
      <c r="U29" s="34">
        <v>1</v>
      </c>
      <c r="V29" s="34">
        <v>1</v>
      </c>
      <c r="W29" s="34">
        <v>1</v>
      </c>
      <c r="X29" s="34">
        <v>1</v>
      </c>
      <c r="Y29" s="34">
        <v>1</v>
      </c>
      <c r="Z29" s="34">
        <v>1</v>
      </c>
      <c r="AA29" s="34">
        <v>1</v>
      </c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10">
        <f t="shared" si="0"/>
        <v>14</v>
      </c>
      <c r="AM29" s="11">
        <v>32000</v>
      </c>
      <c r="AN29" s="12">
        <f t="shared" si="2"/>
        <v>448000</v>
      </c>
    </row>
    <row r="30" spans="1:40">
      <c r="A30" s="50" t="s">
        <v>98</v>
      </c>
      <c r="B30" s="32">
        <v>7</v>
      </c>
      <c r="C30" s="33" t="s">
        <v>210</v>
      </c>
      <c r="D30" s="33" t="s">
        <v>211</v>
      </c>
      <c r="E30" s="33" t="s">
        <v>212</v>
      </c>
      <c r="F30" s="32" t="s">
        <v>213</v>
      </c>
      <c r="G30" s="47"/>
      <c r="H30" s="47"/>
      <c r="I30" s="47"/>
      <c r="J30" s="47"/>
      <c r="K30" s="47"/>
      <c r="L30" s="47"/>
      <c r="M30" s="47"/>
      <c r="N30" s="34">
        <v>1</v>
      </c>
      <c r="O30" s="34">
        <v>1</v>
      </c>
      <c r="P30" s="34">
        <v>1</v>
      </c>
      <c r="Q30" s="34">
        <v>1</v>
      </c>
      <c r="R30" s="34">
        <v>1</v>
      </c>
      <c r="S30" s="34">
        <v>1</v>
      </c>
      <c r="T30" s="34">
        <v>1</v>
      </c>
      <c r="U30" s="34">
        <v>1</v>
      </c>
      <c r="V30" s="34">
        <v>1</v>
      </c>
      <c r="W30" s="34">
        <v>1</v>
      </c>
      <c r="X30" s="34">
        <v>1</v>
      </c>
      <c r="Y30" s="34">
        <v>1</v>
      </c>
      <c r="Z30" s="34">
        <v>1</v>
      </c>
      <c r="AA30" s="34">
        <v>1</v>
      </c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10">
        <f t="shared" si="0"/>
        <v>14</v>
      </c>
      <c r="AM30" s="11">
        <v>32000</v>
      </c>
      <c r="AN30" s="12">
        <f t="shared" si="2"/>
        <v>448000</v>
      </c>
    </row>
    <row r="31" spans="1:40">
      <c r="A31" s="50" t="s">
        <v>98</v>
      </c>
      <c r="B31" s="32">
        <v>7</v>
      </c>
      <c r="C31" s="33" t="s">
        <v>257</v>
      </c>
      <c r="D31" s="33" t="s">
        <v>258</v>
      </c>
      <c r="E31" s="33" t="s">
        <v>259</v>
      </c>
      <c r="F31" s="32" t="s">
        <v>260</v>
      </c>
      <c r="G31" s="47"/>
      <c r="H31" s="47"/>
      <c r="I31" s="47"/>
      <c r="J31" s="47"/>
      <c r="K31" s="47"/>
      <c r="L31" s="47"/>
      <c r="M31" s="47"/>
      <c r="N31" s="34">
        <v>1</v>
      </c>
      <c r="O31" s="34">
        <v>1</v>
      </c>
      <c r="P31" s="34">
        <v>1</v>
      </c>
      <c r="Q31" s="34">
        <v>1</v>
      </c>
      <c r="R31" s="34">
        <v>1</v>
      </c>
      <c r="S31" s="34">
        <v>1</v>
      </c>
      <c r="T31" s="34">
        <v>1</v>
      </c>
      <c r="U31" s="34">
        <v>1</v>
      </c>
      <c r="V31" s="34">
        <v>1</v>
      </c>
      <c r="W31" s="34">
        <v>1</v>
      </c>
      <c r="X31" s="34">
        <v>1</v>
      </c>
      <c r="Y31" s="34">
        <v>1</v>
      </c>
      <c r="Z31" s="34">
        <v>1</v>
      </c>
      <c r="AA31" s="34">
        <v>1</v>
      </c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10">
        <f t="shared" si="0"/>
        <v>14</v>
      </c>
      <c r="AM31" s="11">
        <v>32000</v>
      </c>
      <c r="AN31" s="12">
        <f t="shared" si="2"/>
        <v>448000</v>
      </c>
    </row>
    <row r="32" spans="1:40">
      <c r="A32" s="50" t="s">
        <v>98</v>
      </c>
      <c r="B32" s="32">
        <v>8</v>
      </c>
      <c r="C32" s="33" t="s">
        <v>218</v>
      </c>
      <c r="D32" s="33" t="s">
        <v>219</v>
      </c>
      <c r="E32" s="33" t="s">
        <v>53</v>
      </c>
      <c r="F32" s="32" t="s">
        <v>220</v>
      </c>
      <c r="G32" s="47"/>
      <c r="H32" s="47"/>
      <c r="I32" s="47"/>
      <c r="J32" s="47"/>
      <c r="K32" s="47"/>
      <c r="L32" s="47"/>
      <c r="M32" s="47"/>
      <c r="N32" s="34">
        <v>1</v>
      </c>
      <c r="O32" s="34">
        <v>1</v>
      </c>
      <c r="P32" s="34">
        <v>1</v>
      </c>
      <c r="Q32" s="34">
        <v>1</v>
      </c>
      <c r="R32" s="34">
        <v>1</v>
      </c>
      <c r="S32" s="34">
        <v>1</v>
      </c>
      <c r="T32" s="34">
        <v>1</v>
      </c>
      <c r="U32" s="34">
        <v>1</v>
      </c>
      <c r="V32" s="34">
        <v>1</v>
      </c>
      <c r="W32" s="34">
        <v>1</v>
      </c>
      <c r="X32" s="34">
        <v>1</v>
      </c>
      <c r="Y32" s="34">
        <v>1</v>
      </c>
      <c r="Z32" s="34">
        <v>1</v>
      </c>
      <c r="AA32" s="34">
        <v>1</v>
      </c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10">
        <f t="shared" si="0"/>
        <v>14</v>
      </c>
      <c r="AM32" s="11">
        <v>32000</v>
      </c>
      <c r="AN32" s="12">
        <f t="shared" si="2"/>
        <v>448000</v>
      </c>
    </row>
    <row r="33" spans="1:40">
      <c r="A33" s="50" t="s">
        <v>98</v>
      </c>
      <c r="B33" s="32">
        <v>8</v>
      </c>
      <c r="C33" s="33" t="s">
        <v>221</v>
      </c>
      <c r="D33" s="33" t="s">
        <v>222</v>
      </c>
      <c r="E33" s="33" t="s">
        <v>223</v>
      </c>
      <c r="F33" s="32" t="s">
        <v>224</v>
      </c>
      <c r="G33" s="47"/>
      <c r="H33" s="47"/>
      <c r="I33" s="47"/>
      <c r="J33" s="47"/>
      <c r="K33" s="47"/>
      <c r="L33" s="47"/>
      <c r="M33" s="47"/>
      <c r="N33" s="34">
        <v>1</v>
      </c>
      <c r="O33" s="34">
        <v>1</v>
      </c>
      <c r="P33" s="34">
        <v>1</v>
      </c>
      <c r="Q33" s="34">
        <v>1</v>
      </c>
      <c r="R33" s="34">
        <v>1</v>
      </c>
      <c r="S33" s="34">
        <v>1</v>
      </c>
      <c r="T33" s="34">
        <v>1</v>
      </c>
      <c r="U33" s="34">
        <v>1</v>
      </c>
      <c r="V33" s="34">
        <v>1</v>
      </c>
      <c r="W33" s="34">
        <v>1</v>
      </c>
      <c r="X33" s="34">
        <v>1</v>
      </c>
      <c r="Y33" s="34">
        <v>1</v>
      </c>
      <c r="Z33" s="34">
        <v>1</v>
      </c>
      <c r="AA33" s="34">
        <v>1</v>
      </c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10">
        <f t="shared" si="0"/>
        <v>14</v>
      </c>
      <c r="AM33" s="11">
        <v>32000</v>
      </c>
      <c r="AN33" s="12">
        <f t="shared" si="2"/>
        <v>448000</v>
      </c>
    </row>
    <row r="34" spans="1:40">
      <c r="A34" s="50" t="s">
        <v>98</v>
      </c>
      <c r="B34" s="32">
        <v>9</v>
      </c>
      <c r="C34" s="33" t="s">
        <v>149</v>
      </c>
      <c r="D34" s="33" t="s">
        <v>241</v>
      </c>
      <c r="E34" s="33" t="s">
        <v>242</v>
      </c>
      <c r="F34" s="32" t="s">
        <v>243</v>
      </c>
      <c r="G34" s="47"/>
      <c r="H34" s="47"/>
      <c r="I34" s="47"/>
      <c r="J34" s="47"/>
      <c r="K34" s="47"/>
      <c r="L34" s="47"/>
      <c r="M34" s="47"/>
      <c r="N34" s="34">
        <v>1</v>
      </c>
      <c r="O34" s="34">
        <v>1</v>
      </c>
      <c r="P34" s="34">
        <v>1</v>
      </c>
      <c r="Q34" s="34">
        <v>1</v>
      </c>
      <c r="R34" s="34">
        <v>1</v>
      </c>
      <c r="S34" s="34">
        <v>1</v>
      </c>
      <c r="T34" s="34">
        <v>1</v>
      </c>
      <c r="U34" s="34">
        <v>1</v>
      </c>
      <c r="V34" s="34">
        <v>1</v>
      </c>
      <c r="W34" s="34">
        <v>1</v>
      </c>
      <c r="X34" s="34">
        <v>1</v>
      </c>
      <c r="Y34" s="34">
        <v>1</v>
      </c>
      <c r="Z34" s="34">
        <v>1</v>
      </c>
      <c r="AA34" s="34">
        <v>1</v>
      </c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10">
        <f t="shared" si="0"/>
        <v>14</v>
      </c>
      <c r="AM34" s="11">
        <v>32000</v>
      </c>
      <c r="AN34" s="12">
        <f t="shared" si="2"/>
        <v>448000</v>
      </c>
    </row>
    <row r="35" spans="1:40">
      <c r="A35" s="50" t="s">
        <v>98</v>
      </c>
      <c r="B35" s="32">
        <v>9</v>
      </c>
      <c r="C35" s="33" t="s">
        <v>265</v>
      </c>
      <c r="D35" s="33" t="s">
        <v>266</v>
      </c>
      <c r="E35" s="33" t="s">
        <v>23</v>
      </c>
      <c r="F35" s="32" t="s">
        <v>267</v>
      </c>
      <c r="G35" s="47"/>
      <c r="H35" s="47"/>
      <c r="I35" s="47"/>
      <c r="J35" s="47"/>
      <c r="K35" s="47"/>
      <c r="L35" s="47"/>
      <c r="M35" s="47"/>
      <c r="N35" s="34">
        <v>1</v>
      </c>
      <c r="O35" s="34">
        <v>1</v>
      </c>
      <c r="P35" s="34">
        <v>1</v>
      </c>
      <c r="Q35" s="34">
        <v>1</v>
      </c>
      <c r="R35" s="34">
        <v>1</v>
      </c>
      <c r="S35" s="34">
        <v>1</v>
      </c>
      <c r="T35" s="34">
        <v>1</v>
      </c>
      <c r="U35" s="34">
        <v>1</v>
      </c>
      <c r="V35" s="34">
        <v>1</v>
      </c>
      <c r="W35" s="34">
        <v>1</v>
      </c>
      <c r="X35" s="34">
        <v>1</v>
      </c>
      <c r="Y35" s="34">
        <v>1</v>
      </c>
      <c r="Z35" s="34">
        <v>1</v>
      </c>
      <c r="AA35" s="34">
        <v>1</v>
      </c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10">
        <f t="shared" si="0"/>
        <v>14</v>
      </c>
      <c r="AM35" s="11">
        <v>32000</v>
      </c>
      <c r="AN35" s="12">
        <f t="shared" si="2"/>
        <v>448000</v>
      </c>
    </row>
    <row r="36" spans="1:40">
      <c r="A36" s="50" t="s">
        <v>98</v>
      </c>
      <c r="B36" s="32">
        <v>10</v>
      </c>
      <c r="C36" s="33" t="s">
        <v>244</v>
      </c>
      <c r="D36" s="33" t="s">
        <v>245</v>
      </c>
      <c r="E36" s="33" t="s">
        <v>22</v>
      </c>
      <c r="F36" s="32" t="s">
        <v>246</v>
      </c>
      <c r="G36" s="47"/>
      <c r="H36" s="47"/>
      <c r="I36" s="47"/>
      <c r="J36" s="47"/>
      <c r="K36" s="47"/>
      <c r="L36" s="47"/>
      <c r="M36" s="47"/>
      <c r="N36" s="34">
        <v>1</v>
      </c>
      <c r="O36" s="34">
        <v>1</v>
      </c>
      <c r="P36" s="34">
        <v>1</v>
      </c>
      <c r="Q36" s="34">
        <v>1</v>
      </c>
      <c r="R36" s="34">
        <v>1</v>
      </c>
      <c r="S36" s="34">
        <v>1</v>
      </c>
      <c r="T36" s="34">
        <v>1</v>
      </c>
      <c r="U36" s="34">
        <v>1</v>
      </c>
      <c r="V36" s="34">
        <v>1</v>
      </c>
      <c r="W36" s="34">
        <v>1</v>
      </c>
      <c r="X36" s="34">
        <v>1</v>
      </c>
      <c r="Y36" s="34">
        <v>1</v>
      </c>
      <c r="Z36" s="34">
        <v>1</v>
      </c>
      <c r="AA36" s="34">
        <v>1</v>
      </c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10">
        <f t="shared" si="0"/>
        <v>14</v>
      </c>
      <c r="AM36" s="11">
        <v>32000</v>
      </c>
      <c r="AN36" s="12">
        <f t="shared" si="2"/>
        <v>448000</v>
      </c>
    </row>
    <row r="37" spans="1:40">
      <c r="A37" s="50" t="s">
        <v>98</v>
      </c>
      <c r="B37" s="32">
        <v>10</v>
      </c>
      <c r="C37" s="33" t="s">
        <v>250</v>
      </c>
      <c r="D37" s="33" t="s">
        <v>251</v>
      </c>
      <c r="E37" s="33" t="s">
        <v>11</v>
      </c>
      <c r="F37" s="32" t="s">
        <v>252</v>
      </c>
      <c r="G37" s="47"/>
      <c r="H37" s="47"/>
      <c r="I37" s="47"/>
      <c r="J37" s="47"/>
      <c r="K37" s="47"/>
      <c r="L37" s="47"/>
      <c r="M37" s="47"/>
      <c r="N37" s="34">
        <v>1</v>
      </c>
      <c r="O37" s="34">
        <v>1</v>
      </c>
      <c r="P37" s="34">
        <v>1</v>
      </c>
      <c r="Q37" s="34">
        <v>1</v>
      </c>
      <c r="R37" s="34">
        <v>1</v>
      </c>
      <c r="S37" s="34">
        <v>1</v>
      </c>
      <c r="T37" s="34">
        <v>1</v>
      </c>
      <c r="U37" s="34">
        <v>1</v>
      </c>
      <c r="V37" s="34">
        <v>1</v>
      </c>
      <c r="W37" s="34">
        <v>1</v>
      </c>
      <c r="X37" s="34">
        <v>1</v>
      </c>
      <c r="Y37" s="34">
        <v>1</v>
      </c>
      <c r="Z37" s="34">
        <v>1</v>
      </c>
      <c r="AA37" s="34">
        <v>1</v>
      </c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10">
        <f t="shared" si="0"/>
        <v>14</v>
      </c>
      <c r="AM37" s="11">
        <v>32000</v>
      </c>
      <c r="AN37" s="12">
        <f t="shared" si="2"/>
        <v>448000</v>
      </c>
    </row>
    <row r="38" spans="1:40">
      <c r="A38" s="50" t="s">
        <v>98</v>
      </c>
      <c r="B38" s="32">
        <v>11</v>
      </c>
      <c r="C38" s="33" t="s">
        <v>234</v>
      </c>
      <c r="D38" s="33" t="s">
        <v>235</v>
      </c>
      <c r="E38" s="33" t="s">
        <v>236</v>
      </c>
      <c r="F38" s="32" t="s">
        <v>237</v>
      </c>
      <c r="G38" s="47"/>
      <c r="H38" s="47"/>
      <c r="I38" s="47"/>
      <c r="J38" s="47"/>
      <c r="K38" s="47"/>
      <c r="L38" s="47"/>
      <c r="M38" s="47"/>
      <c r="N38" s="34">
        <v>1</v>
      </c>
      <c r="O38" s="34">
        <v>1</v>
      </c>
      <c r="P38" s="34">
        <v>1</v>
      </c>
      <c r="Q38" s="34">
        <v>1</v>
      </c>
      <c r="R38" s="34">
        <v>1</v>
      </c>
      <c r="S38" s="34">
        <v>1</v>
      </c>
      <c r="T38" s="34">
        <v>1</v>
      </c>
      <c r="U38" s="34">
        <v>1</v>
      </c>
      <c r="V38" s="34">
        <v>1</v>
      </c>
      <c r="W38" s="34">
        <v>1</v>
      </c>
      <c r="X38" s="34">
        <v>1</v>
      </c>
      <c r="Y38" s="34">
        <v>1</v>
      </c>
      <c r="Z38" s="34">
        <v>1</v>
      </c>
      <c r="AA38" s="34">
        <v>1</v>
      </c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10">
        <f t="shared" si="0"/>
        <v>14</v>
      </c>
      <c r="AM38" s="11">
        <v>32000</v>
      </c>
      <c r="AN38" s="12">
        <f t="shared" si="2"/>
        <v>448000</v>
      </c>
    </row>
    <row r="39" spans="1:40">
      <c r="A39" s="50" t="s">
        <v>98</v>
      </c>
      <c r="B39" s="32">
        <v>11</v>
      </c>
      <c r="C39" s="33" t="s">
        <v>247</v>
      </c>
      <c r="D39" s="33" t="s">
        <v>248</v>
      </c>
      <c r="E39" s="33" t="s">
        <v>100</v>
      </c>
      <c r="F39" s="32" t="s">
        <v>249</v>
      </c>
      <c r="G39" s="47"/>
      <c r="H39" s="47"/>
      <c r="I39" s="47"/>
      <c r="J39" s="47"/>
      <c r="K39" s="47"/>
      <c r="L39" s="47"/>
      <c r="M39" s="47"/>
      <c r="N39" s="34">
        <v>1</v>
      </c>
      <c r="O39" s="34">
        <v>1</v>
      </c>
      <c r="P39" s="34">
        <v>1</v>
      </c>
      <c r="Q39" s="34">
        <v>1</v>
      </c>
      <c r="R39" s="34">
        <v>1</v>
      </c>
      <c r="S39" s="34">
        <v>1</v>
      </c>
      <c r="T39" s="34">
        <v>1</v>
      </c>
      <c r="U39" s="34">
        <v>1</v>
      </c>
      <c r="V39" s="34">
        <v>1</v>
      </c>
      <c r="W39" s="34">
        <v>1</v>
      </c>
      <c r="X39" s="34">
        <v>1</v>
      </c>
      <c r="Y39" s="34">
        <v>1</v>
      </c>
      <c r="Z39" s="34">
        <v>1</v>
      </c>
      <c r="AA39" s="34">
        <v>1</v>
      </c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10">
        <f t="shared" si="0"/>
        <v>14</v>
      </c>
      <c r="AM39" s="11">
        <v>32000</v>
      </c>
      <c r="AN39" s="12">
        <f t="shared" si="2"/>
        <v>448000</v>
      </c>
    </row>
    <row r="40" spans="1:40">
      <c r="A40" s="50" t="s">
        <v>98</v>
      </c>
      <c r="B40" s="32">
        <v>14</v>
      </c>
      <c r="C40" s="33" t="s">
        <v>214</v>
      </c>
      <c r="D40" s="33" t="s">
        <v>215</v>
      </c>
      <c r="E40" s="33" t="s">
        <v>216</v>
      </c>
      <c r="F40" s="32" t="s">
        <v>217</v>
      </c>
      <c r="G40" s="47"/>
      <c r="H40" s="47"/>
      <c r="I40" s="47"/>
      <c r="J40" s="47"/>
      <c r="K40" s="47"/>
      <c r="L40" s="47"/>
      <c r="M40" s="47"/>
      <c r="N40" s="34">
        <v>1</v>
      </c>
      <c r="O40" s="34">
        <v>1</v>
      </c>
      <c r="P40" s="34">
        <v>1</v>
      </c>
      <c r="Q40" s="34">
        <v>1</v>
      </c>
      <c r="R40" s="34">
        <v>1</v>
      </c>
      <c r="S40" s="34">
        <v>1</v>
      </c>
      <c r="T40" s="34">
        <v>1</v>
      </c>
      <c r="U40" s="34">
        <v>1</v>
      </c>
      <c r="V40" s="34">
        <v>1</v>
      </c>
      <c r="W40" s="34">
        <v>1</v>
      </c>
      <c r="X40" s="34">
        <v>1</v>
      </c>
      <c r="Y40" s="34">
        <v>1</v>
      </c>
      <c r="Z40" s="34">
        <v>1</v>
      </c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10">
        <f t="shared" si="0"/>
        <v>13</v>
      </c>
      <c r="AM40" s="11">
        <v>32000</v>
      </c>
      <c r="AN40" s="12">
        <f t="shared" si="2"/>
        <v>416000</v>
      </c>
    </row>
    <row r="41" spans="1:40">
      <c r="A41" s="50" t="s">
        <v>98</v>
      </c>
      <c r="B41" s="32">
        <v>14</v>
      </c>
      <c r="C41" s="33" t="s">
        <v>228</v>
      </c>
      <c r="D41" s="33" t="s">
        <v>103</v>
      </c>
      <c r="E41" s="33" t="s">
        <v>229</v>
      </c>
      <c r="F41" s="32" t="s">
        <v>230</v>
      </c>
      <c r="G41" s="47"/>
      <c r="H41" s="47"/>
      <c r="I41" s="47"/>
      <c r="J41" s="47"/>
      <c r="K41" s="47"/>
      <c r="L41" s="47"/>
      <c r="M41" s="47"/>
      <c r="N41" s="34">
        <v>1</v>
      </c>
      <c r="O41" s="34">
        <v>1</v>
      </c>
      <c r="P41" s="34">
        <v>1</v>
      </c>
      <c r="Q41" s="34">
        <v>1</v>
      </c>
      <c r="R41" s="34">
        <v>1</v>
      </c>
      <c r="S41" s="34">
        <v>1</v>
      </c>
      <c r="T41" s="34">
        <v>1</v>
      </c>
      <c r="U41" s="34">
        <v>1</v>
      </c>
      <c r="V41" s="34">
        <v>1</v>
      </c>
      <c r="W41" s="34">
        <v>1</v>
      </c>
      <c r="X41" s="34">
        <v>1</v>
      </c>
      <c r="Y41" s="34">
        <v>1</v>
      </c>
      <c r="Z41" s="34">
        <v>1</v>
      </c>
      <c r="AA41" s="34">
        <v>1</v>
      </c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10">
        <f t="shared" si="0"/>
        <v>14</v>
      </c>
      <c r="AM41" s="11">
        <v>32000</v>
      </c>
      <c r="AN41" s="12">
        <f t="shared" si="2"/>
        <v>448000</v>
      </c>
    </row>
    <row r="42" spans="1:40">
      <c r="A42" s="50" t="s">
        <v>98</v>
      </c>
      <c r="B42" s="32">
        <v>22</v>
      </c>
      <c r="C42" s="33" t="s">
        <v>193</v>
      </c>
      <c r="D42" s="33" t="s">
        <v>194</v>
      </c>
      <c r="E42" s="33" t="s">
        <v>195</v>
      </c>
      <c r="F42" s="32">
        <v>49343664</v>
      </c>
      <c r="G42" s="47"/>
      <c r="H42" s="47"/>
      <c r="I42" s="47"/>
      <c r="J42" s="47"/>
      <c r="K42" s="47"/>
      <c r="L42" s="47"/>
      <c r="M42" s="47"/>
      <c r="N42" s="34">
        <v>1</v>
      </c>
      <c r="O42" s="34">
        <v>1</v>
      </c>
      <c r="P42" s="34">
        <v>1</v>
      </c>
      <c r="Q42" s="34">
        <v>1</v>
      </c>
      <c r="R42" s="34">
        <v>1</v>
      </c>
      <c r="S42" s="34">
        <v>1</v>
      </c>
      <c r="T42" s="34">
        <v>1</v>
      </c>
      <c r="U42" s="34">
        <v>1</v>
      </c>
      <c r="V42" s="34">
        <v>1</v>
      </c>
      <c r="W42" s="34">
        <v>1</v>
      </c>
      <c r="X42" s="34">
        <v>1</v>
      </c>
      <c r="Y42" s="34">
        <v>1</v>
      </c>
      <c r="Z42" s="34">
        <v>1</v>
      </c>
      <c r="AA42" s="34">
        <v>1</v>
      </c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10">
        <f t="shared" si="0"/>
        <v>14</v>
      </c>
      <c r="AM42" s="11">
        <v>32000</v>
      </c>
      <c r="AN42" s="12">
        <f t="shared" si="2"/>
        <v>448000</v>
      </c>
    </row>
    <row r="43" spans="1:40">
      <c r="A43" s="50" t="s">
        <v>98</v>
      </c>
      <c r="B43" s="32">
        <v>22</v>
      </c>
      <c r="C43" s="33" t="s">
        <v>196</v>
      </c>
      <c r="D43" s="33" t="s">
        <v>197</v>
      </c>
      <c r="E43" s="33" t="s">
        <v>198</v>
      </c>
      <c r="F43" s="32">
        <v>124907860</v>
      </c>
      <c r="G43" s="47"/>
      <c r="H43" s="47"/>
      <c r="I43" s="47"/>
      <c r="J43" s="47"/>
      <c r="K43" s="47"/>
      <c r="L43" s="47"/>
      <c r="M43" s="47"/>
      <c r="N43" s="34">
        <v>1</v>
      </c>
      <c r="O43" s="34">
        <v>1</v>
      </c>
      <c r="P43" s="34">
        <v>1</v>
      </c>
      <c r="Q43" s="34">
        <v>1</v>
      </c>
      <c r="R43" s="34">
        <v>1</v>
      </c>
      <c r="S43" s="34">
        <v>1</v>
      </c>
      <c r="T43" s="34">
        <v>1</v>
      </c>
      <c r="U43" s="34">
        <v>1</v>
      </c>
      <c r="V43" s="34">
        <v>1</v>
      </c>
      <c r="W43" s="34">
        <v>1</v>
      </c>
      <c r="X43" s="34">
        <v>1</v>
      </c>
      <c r="Y43" s="34">
        <v>1</v>
      </c>
      <c r="Z43" s="34">
        <v>1</v>
      </c>
      <c r="AA43" s="34">
        <v>1</v>
      </c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10">
        <f t="shared" si="0"/>
        <v>14</v>
      </c>
      <c r="AM43" s="11">
        <v>32000</v>
      </c>
      <c r="AN43" s="12">
        <f t="shared" si="2"/>
        <v>448000</v>
      </c>
    </row>
    <row r="44" spans="1:40">
      <c r="A44" s="50" t="s">
        <v>98</v>
      </c>
      <c r="B44" s="32">
        <v>24</v>
      </c>
      <c r="C44" s="33" t="s">
        <v>190</v>
      </c>
      <c r="D44" s="33" t="s">
        <v>48</v>
      </c>
      <c r="E44" s="33" t="s">
        <v>191</v>
      </c>
      <c r="F44" s="32">
        <v>9771848</v>
      </c>
      <c r="G44" s="47"/>
      <c r="H44" s="47"/>
      <c r="I44" s="47"/>
      <c r="J44" s="47"/>
      <c r="K44" s="47"/>
      <c r="L44" s="47"/>
      <c r="M44" s="47"/>
      <c r="N44" s="34">
        <v>1</v>
      </c>
      <c r="O44" s="34">
        <v>1</v>
      </c>
      <c r="P44" s="34">
        <v>1</v>
      </c>
      <c r="Q44" s="34">
        <v>1</v>
      </c>
      <c r="R44" s="34">
        <v>1</v>
      </c>
      <c r="S44" s="34">
        <v>1</v>
      </c>
      <c r="T44" s="34">
        <v>1</v>
      </c>
      <c r="U44" s="34">
        <v>1</v>
      </c>
      <c r="V44" s="34">
        <v>1</v>
      </c>
      <c r="W44" s="34">
        <v>1</v>
      </c>
      <c r="X44" s="34">
        <v>1</v>
      </c>
      <c r="Y44" s="34">
        <v>1</v>
      </c>
      <c r="Z44" s="34">
        <v>1</v>
      </c>
      <c r="AA44" s="34">
        <v>1</v>
      </c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10">
        <f t="shared" si="0"/>
        <v>14</v>
      </c>
      <c r="AM44" s="11">
        <v>32000</v>
      </c>
      <c r="AN44" s="12">
        <f t="shared" si="2"/>
        <v>448000</v>
      </c>
    </row>
    <row r="45" spans="1:40">
      <c r="A45" s="50" t="s">
        <v>98</v>
      </c>
      <c r="B45" s="32">
        <v>24</v>
      </c>
      <c r="C45" s="33" t="s">
        <v>21</v>
      </c>
      <c r="D45" s="33" t="s">
        <v>192</v>
      </c>
      <c r="E45" s="33" t="s">
        <v>11</v>
      </c>
      <c r="F45" s="32">
        <v>123912862</v>
      </c>
      <c r="G45" s="47"/>
      <c r="H45" s="47"/>
      <c r="I45" s="47"/>
      <c r="J45" s="47"/>
      <c r="K45" s="47"/>
      <c r="L45" s="47"/>
      <c r="M45" s="47"/>
      <c r="N45" s="34">
        <v>1</v>
      </c>
      <c r="O45" s="34">
        <v>1</v>
      </c>
      <c r="P45" s="34">
        <v>1</v>
      </c>
      <c r="Q45" s="34">
        <v>1</v>
      </c>
      <c r="R45" s="34">
        <v>1</v>
      </c>
      <c r="S45" s="34">
        <v>1</v>
      </c>
      <c r="T45" s="34">
        <v>1</v>
      </c>
      <c r="U45" s="34">
        <v>1</v>
      </c>
      <c r="V45" s="34">
        <v>1</v>
      </c>
      <c r="W45" s="34">
        <v>1</v>
      </c>
      <c r="X45" s="34">
        <v>1</v>
      </c>
      <c r="Y45" s="34">
        <v>1</v>
      </c>
      <c r="Z45" s="34">
        <v>1</v>
      </c>
      <c r="AA45" s="34">
        <v>1</v>
      </c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10">
        <f t="shared" si="0"/>
        <v>14</v>
      </c>
      <c r="AM45" s="11">
        <v>32000</v>
      </c>
      <c r="AN45" s="12">
        <f t="shared" si="2"/>
        <v>448000</v>
      </c>
    </row>
    <row r="46" spans="1:40">
      <c r="A46" s="50" t="s">
        <v>98</v>
      </c>
      <c r="B46" s="32">
        <v>35</v>
      </c>
      <c r="C46" s="33" t="s">
        <v>225</v>
      </c>
      <c r="D46" s="33" t="s">
        <v>226</v>
      </c>
      <c r="E46" s="33" t="s">
        <v>9</v>
      </c>
      <c r="F46" s="32" t="s">
        <v>227</v>
      </c>
      <c r="G46" s="47"/>
      <c r="H46" s="47"/>
      <c r="I46" s="47"/>
      <c r="J46" s="47"/>
      <c r="K46" s="47"/>
      <c r="L46" s="47"/>
      <c r="M46" s="47"/>
      <c r="N46" s="34">
        <v>1</v>
      </c>
      <c r="O46" s="34">
        <v>1</v>
      </c>
      <c r="P46" s="34">
        <v>1</v>
      </c>
      <c r="Q46" s="34">
        <v>1</v>
      </c>
      <c r="R46" s="34">
        <v>1</v>
      </c>
      <c r="S46" s="34">
        <v>1</v>
      </c>
      <c r="T46" s="34">
        <v>1</v>
      </c>
      <c r="U46" s="34">
        <v>1</v>
      </c>
      <c r="V46" s="34">
        <v>1</v>
      </c>
      <c r="W46" s="34">
        <v>1</v>
      </c>
      <c r="X46" s="34">
        <v>1</v>
      </c>
      <c r="Y46" s="34">
        <v>1</v>
      </c>
      <c r="Z46" s="34">
        <v>1</v>
      </c>
      <c r="AA46" s="34">
        <v>1</v>
      </c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10">
        <f t="shared" si="0"/>
        <v>14</v>
      </c>
      <c r="AM46" s="11">
        <v>32000</v>
      </c>
      <c r="AN46" s="12">
        <f t="shared" si="2"/>
        <v>448000</v>
      </c>
    </row>
    <row r="47" spans="1:40">
      <c r="A47" s="50" t="s">
        <v>98</v>
      </c>
      <c r="B47" s="32">
        <v>35</v>
      </c>
      <c r="C47" s="33" t="s">
        <v>231</v>
      </c>
      <c r="D47" s="33" t="s">
        <v>232</v>
      </c>
      <c r="E47" s="33" t="s">
        <v>27</v>
      </c>
      <c r="F47" s="32" t="s">
        <v>233</v>
      </c>
      <c r="G47" s="47"/>
      <c r="H47" s="47"/>
      <c r="I47" s="47"/>
      <c r="J47" s="47"/>
      <c r="K47" s="47"/>
      <c r="L47" s="47"/>
      <c r="M47" s="47"/>
      <c r="N47" s="34">
        <v>1</v>
      </c>
      <c r="O47" s="34">
        <v>1</v>
      </c>
      <c r="P47" s="34">
        <v>1</v>
      </c>
      <c r="Q47" s="34">
        <v>1</v>
      </c>
      <c r="R47" s="34">
        <v>1</v>
      </c>
      <c r="S47" s="34">
        <v>1</v>
      </c>
      <c r="T47" s="34">
        <v>1</v>
      </c>
      <c r="U47" s="34">
        <v>1</v>
      </c>
      <c r="V47" s="34">
        <v>1</v>
      </c>
      <c r="W47" s="34">
        <v>1</v>
      </c>
      <c r="X47" s="34">
        <v>1</v>
      </c>
      <c r="Y47" s="34">
        <v>1</v>
      </c>
      <c r="Z47" s="34">
        <v>1</v>
      </c>
      <c r="AA47" s="34">
        <v>1</v>
      </c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10">
        <f t="shared" si="0"/>
        <v>14</v>
      </c>
      <c r="AM47" s="11">
        <v>32000</v>
      </c>
      <c r="AN47" s="12">
        <f t="shared" si="2"/>
        <v>448000</v>
      </c>
    </row>
    <row r="48" spans="1:40">
      <c r="A48" s="50" t="s">
        <v>98</v>
      </c>
      <c r="B48" s="32">
        <v>38</v>
      </c>
      <c r="C48" s="33" t="s">
        <v>174</v>
      </c>
      <c r="D48" s="33" t="s">
        <v>175</v>
      </c>
      <c r="E48" s="33" t="s">
        <v>176</v>
      </c>
      <c r="F48" s="32">
        <v>124443985</v>
      </c>
      <c r="G48" s="47"/>
      <c r="H48" s="47"/>
      <c r="I48" s="47"/>
      <c r="J48" s="47"/>
      <c r="K48" s="47"/>
      <c r="L48" s="47"/>
      <c r="M48" s="47"/>
      <c r="N48" s="34">
        <v>1</v>
      </c>
      <c r="O48" s="34">
        <v>1</v>
      </c>
      <c r="P48" s="34">
        <v>1</v>
      </c>
      <c r="Q48" s="34">
        <v>1</v>
      </c>
      <c r="R48" s="34">
        <v>1</v>
      </c>
      <c r="S48" s="34">
        <v>1</v>
      </c>
      <c r="T48" s="34">
        <v>1</v>
      </c>
      <c r="U48" s="34">
        <v>1</v>
      </c>
      <c r="V48" s="34">
        <v>1</v>
      </c>
      <c r="W48" s="34">
        <v>1</v>
      </c>
      <c r="X48" s="34">
        <v>1</v>
      </c>
      <c r="Y48" s="34">
        <v>1</v>
      </c>
      <c r="Z48" s="34">
        <v>1</v>
      </c>
      <c r="AA48" s="34">
        <v>1</v>
      </c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10">
        <f t="shared" si="0"/>
        <v>14</v>
      </c>
      <c r="AM48" s="11">
        <v>32000</v>
      </c>
      <c r="AN48" s="12">
        <f t="shared" si="2"/>
        <v>448000</v>
      </c>
    </row>
    <row r="49" spans="1:40">
      <c r="A49" s="50" t="s">
        <v>98</v>
      </c>
      <c r="B49" s="32">
        <v>38</v>
      </c>
      <c r="C49" s="33" t="s">
        <v>104</v>
      </c>
      <c r="D49" s="33" t="s">
        <v>177</v>
      </c>
      <c r="E49" s="33" t="s">
        <v>178</v>
      </c>
      <c r="F49" s="32">
        <v>120396527</v>
      </c>
      <c r="G49" s="47"/>
      <c r="H49" s="47"/>
      <c r="I49" s="47"/>
      <c r="J49" s="47"/>
      <c r="K49" s="47"/>
      <c r="L49" s="47"/>
      <c r="M49" s="47"/>
      <c r="N49" s="34">
        <v>1</v>
      </c>
      <c r="O49" s="34">
        <v>1</v>
      </c>
      <c r="P49" s="34">
        <v>1</v>
      </c>
      <c r="Q49" s="34">
        <v>1</v>
      </c>
      <c r="R49" s="34">
        <v>1</v>
      </c>
      <c r="S49" s="34">
        <v>1</v>
      </c>
      <c r="T49" s="34">
        <v>1</v>
      </c>
      <c r="U49" s="34">
        <v>1</v>
      </c>
      <c r="V49" s="34">
        <v>1</v>
      </c>
      <c r="W49" s="34">
        <v>1</v>
      </c>
      <c r="X49" s="34">
        <v>1</v>
      </c>
      <c r="Y49" s="34">
        <v>1</v>
      </c>
      <c r="Z49" s="34">
        <v>1</v>
      </c>
      <c r="AA49" s="34">
        <v>1</v>
      </c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10">
        <f t="shared" si="0"/>
        <v>14</v>
      </c>
      <c r="AM49" s="11">
        <v>32000</v>
      </c>
      <c r="AN49" s="12">
        <f t="shared" si="2"/>
        <v>448000</v>
      </c>
    </row>
    <row r="50" spans="1:40">
      <c r="A50" s="50" t="s">
        <v>98</v>
      </c>
      <c r="B50" s="32">
        <v>40</v>
      </c>
      <c r="C50" s="33" t="s">
        <v>297</v>
      </c>
      <c r="D50" s="33" t="s">
        <v>152</v>
      </c>
      <c r="E50" s="33" t="s">
        <v>22</v>
      </c>
      <c r="F50" s="32" t="s">
        <v>298</v>
      </c>
      <c r="G50" s="47"/>
      <c r="H50" s="47"/>
      <c r="I50" s="47"/>
      <c r="J50" s="47"/>
      <c r="K50" s="47"/>
      <c r="L50" s="47"/>
      <c r="M50" s="47"/>
      <c r="N50" s="34">
        <v>1</v>
      </c>
      <c r="O50" s="34">
        <v>1</v>
      </c>
      <c r="P50" s="34">
        <v>1</v>
      </c>
      <c r="Q50" s="34">
        <v>1</v>
      </c>
      <c r="R50" s="34">
        <v>1</v>
      </c>
      <c r="S50" s="34">
        <v>1</v>
      </c>
      <c r="T50" s="34">
        <v>1</v>
      </c>
      <c r="U50" s="34">
        <v>1</v>
      </c>
      <c r="V50" s="34">
        <v>1</v>
      </c>
      <c r="W50" s="34">
        <v>1</v>
      </c>
      <c r="X50" s="34">
        <v>1</v>
      </c>
      <c r="Y50" s="34">
        <v>1</v>
      </c>
      <c r="Z50" s="34">
        <v>1</v>
      </c>
      <c r="AA50" s="34">
        <v>1</v>
      </c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10">
        <f t="shared" si="0"/>
        <v>14</v>
      </c>
      <c r="AM50" s="11">
        <v>32000</v>
      </c>
      <c r="AN50" s="12">
        <f t="shared" si="2"/>
        <v>448000</v>
      </c>
    </row>
    <row r="51" spans="1:40">
      <c r="A51" s="50" t="s">
        <v>98</v>
      </c>
      <c r="B51" s="32">
        <v>40</v>
      </c>
      <c r="C51" s="33" t="s">
        <v>315</v>
      </c>
      <c r="D51" s="33" t="s">
        <v>316</v>
      </c>
      <c r="E51" s="33" t="s">
        <v>23</v>
      </c>
      <c r="F51" s="32" t="s">
        <v>317</v>
      </c>
      <c r="G51" s="47"/>
      <c r="H51" s="47"/>
      <c r="I51" s="47"/>
      <c r="J51" s="47"/>
      <c r="K51" s="47"/>
      <c r="L51" s="47"/>
      <c r="M51" s="47"/>
      <c r="N51" s="34">
        <v>1</v>
      </c>
      <c r="O51" s="34">
        <v>1</v>
      </c>
      <c r="P51" s="34">
        <v>1</v>
      </c>
      <c r="Q51" s="34">
        <v>1</v>
      </c>
      <c r="R51" s="34">
        <v>1</v>
      </c>
      <c r="S51" s="34">
        <v>1</v>
      </c>
      <c r="T51" s="34">
        <v>1</v>
      </c>
      <c r="U51" s="34">
        <v>1</v>
      </c>
      <c r="V51" s="34">
        <v>1</v>
      </c>
      <c r="W51" s="34">
        <v>1</v>
      </c>
      <c r="X51" s="34">
        <v>1</v>
      </c>
      <c r="Y51" s="34">
        <v>1</v>
      </c>
      <c r="Z51" s="34">
        <v>1</v>
      </c>
      <c r="AA51" s="34">
        <v>1</v>
      </c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10">
        <f t="shared" si="0"/>
        <v>14</v>
      </c>
      <c r="AM51" s="11">
        <v>32000</v>
      </c>
      <c r="AN51" s="12">
        <f t="shared" si="2"/>
        <v>448000</v>
      </c>
    </row>
    <row r="52" spans="1:40">
      <c r="A52" s="50" t="s">
        <v>98</v>
      </c>
      <c r="B52" s="32">
        <v>42</v>
      </c>
      <c r="C52" s="33" t="s">
        <v>281</v>
      </c>
      <c r="D52" s="33" t="s">
        <v>282</v>
      </c>
      <c r="E52" s="33" t="s">
        <v>30</v>
      </c>
      <c r="F52" s="32" t="s">
        <v>283</v>
      </c>
      <c r="G52" s="47"/>
      <c r="H52" s="47"/>
      <c r="I52" s="47"/>
      <c r="J52" s="47"/>
      <c r="K52" s="47"/>
      <c r="L52" s="47"/>
      <c r="M52" s="47"/>
      <c r="N52" s="34">
        <v>1</v>
      </c>
      <c r="O52" s="34">
        <v>1</v>
      </c>
      <c r="P52" s="34">
        <v>1</v>
      </c>
      <c r="Q52" s="34">
        <v>1</v>
      </c>
      <c r="R52" s="34">
        <v>1</v>
      </c>
      <c r="S52" s="34">
        <v>1</v>
      </c>
      <c r="T52" s="34">
        <v>1</v>
      </c>
      <c r="U52" s="34">
        <v>1</v>
      </c>
      <c r="V52" s="34">
        <v>1</v>
      </c>
      <c r="W52" s="34">
        <v>1</v>
      </c>
      <c r="X52" s="34">
        <v>1</v>
      </c>
      <c r="Y52" s="34">
        <v>1</v>
      </c>
      <c r="Z52" s="34">
        <v>1</v>
      </c>
      <c r="AA52" s="34">
        <v>1</v>
      </c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10">
        <f t="shared" si="0"/>
        <v>14</v>
      </c>
      <c r="AM52" s="11">
        <v>32000</v>
      </c>
      <c r="AN52" s="12">
        <f t="shared" si="2"/>
        <v>448000</v>
      </c>
    </row>
    <row r="53" spans="1:40">
      <c r="A53" s="50" t="s">
        <v>98</v>
      </c>
      <c r="B53" s="32">
        <v>42</v>
      </c>
      <c r="C53" s="33" t="s">
        <v>330</v>
      </c>
      <c r="D53" s="33" t="s">
        <v>21</v>
      </c>
      <c r="E53" s="33" t="s">
        <v>331</v>
      </c>
      <c r="F53" s="32" t="s">
        <v>332</v>
      </c>
      <c r="G53" s="47"/>
      <c r="H53" s="47"/>
      <c r="I53" s="47"/>
      <c r="J53" s="47"/>
      <c r="K53" s="47"/>
      <c r="L53" s="47"/>
      <c r="M53" s="47"/>
      <c r="N53" s="34">
        <v>1</v>
      </c>
      <c r="O53" s="34">
        <v>1</v>
      </c>
      <c r="P53" s="34">
        <v>1</v>
      </c>
      <c r="Q53" s="34">
        <v>1</v>
      </c>
      <c r="R53" s="34">
        <v>1</v>
      </c>
      <c r="S53" s="34">
        <v>1</v>
      </c>
      <c r="T53" s="34">
        <v>1</v>
      </c>
      <c r="U53" s="34">
        <v>1</v>
      </c>
      <c r="V53" s="34">
        <v>1</v>
      </c>
      <c r="W53" s="34">
        <v>1</v>
      </c>
      <c r="X53" s="34">
        <v>1</v>
      </c>
      <c r="Y53" s="34">
        <v>1</v>
      </c>
      <c r="Z53" s="34">
        <v>1</v>
      </c>
      <c r="AA53" s="34">
        <v>1</v>
      </c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10">
        <f t="shared" si="0"/>
        <v>14</v>
      </c>
      <c r="AM53" s="11">
        <v>32000</v>
      </c>
      <c r="AN53" s="12">
        <f t="shared" si="2"/>
        <v>448000</v>
      </c>
    </row>
    <row r="54" spans="1:40">
      <c r="A54" s="50" t="s">
        <v>98</v>
      </c>
      <c r="B54" s="32">
        <v>43</v>
      </c>
      <c r="C54" s="33" t="s">
        <v>271</v>
      </c>
      <c r="D54" s="33" t="s">
        <v>272</v>
      </c>
      <c r="E54" s="33" t="s">
        <v>23</v>
      </c>
      <c r="F54" s="32" t="s">
        <v>273</v>
      </c>
      <c r="G54" s="47"/>
      <c r="H54" s="47"/>
      <c r="I54" s="47"/>
      <c r="J54" s="47"/>
      <c r="K54" s="47"/>
      <c r="L54" s="47"/>
      <c r="M54" s="47"/>
      <c r="N54" s="34">
        <v>1</v>
      </c>
      <c r="O54" s="34">
        <v>1</v>
      </c>
      <c r="P54" s="34">
        <v>1</v>
      </c>
      <c r="Q54" s="34">
        <v>1</v>
      </c>
      <c r="R54" s="34">
        <v>1</v>
      </c>
      <c r="S54" s="34">
        <v>1</v>
      </c>
      <c r="T54" s="34">
        <v>1</v>
      </c>
      <c r="U54" s="34">
        <v>1</v>
      </c>
      <c r="V54" s="34">
        <v>1</v>
      </c>
      <c r="W54" s="34">
        <v>1</v>
      </c>
      <c r="X54" s="34">
        <v>1</v>
      </c>
      <c r="Y54" s="34">
        <v>1</v>
      </c>
      <c r="Z54" s="34">
        <v>1</v>
      </c>
      <c r="AA54" s="34">
        <v>1</v>
      </c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10">
        <f t="shared" si="0"/>
        <v>14</v>
      </c>
      <c r="AM54" s="11">
        <v>32000</v>
      </c>
      <c r="AN54" s="12">
        <f t="shared" si="2"/>
        <v>448000</v>
      </c>
    </row>
    <row r="55" spans="1:40">
      <c r="A55" s="50" t="s">
        <v>98</v>
      </c>
      <c r="B55" s="32">
        <v>43</v>
      </c>
      <c r="C55" s="33" t="s">
        <v>288</v>
      </c>
      <c r="D55" s="33" t="s">
        <v>48</v>
      </c>
      <c r="E55" s="33" t="s">
        <v>289</v>
      </c>
      <c r="F55" s="32" t="s">
        <v>290</v>
      </c>
      <c r="G55" s="47"/>
      <c r="H55" s="47"/>
      <c r="I55" s="47"/>
      <c r="J55" s="47"/>
      <c r="K55" s="47"/>
      <c r="L55" s="47"/>
      <c r="M55" s="47"/>
      <c r="N55" s="34">
        <v>1</v>
      </c>
      <c r="O55" s="34">
        <v>1</v>
      </c>
      <c r="P55" s="34">
        <v>1</v>
      </c>
      <c r="Q55" s="34">
        <v>1</v>
      </c>
      <c r="R55" s="34">
        <v>1</v>
      </c>
      <c r="S55" s="34">
        <v>1</v>
      </c>
      <c r="T55" s="34">
        <v>1</v>
      </c>
      <c r="U55" s="34">
        <v>1</v>
      </c>
      <c r="V55" s="34">
        <v>1</v>
      </c>
      <c r="W55" s="34">
        <v>1</v>
      </c>
      <c r="X55" s="34">
        <v>1</v>
      </c>
      <c r="Y55" s="34">
        <v>1</v>
      </c>
      <c r="Z55" s="34">
        <v>1</v>
      </c>
      <c r="AA55" s="34">
        <v>1</v>
      </c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10">
        <f t="shared" si="0"/>
        <v>14</v>
      </c>
      <c r="AM55" s="11">
        <v>32000</v>
      </c>
      <c r="AN55" s="12">
        <f t="shared" si="2"/>
        <v>448000</v>
      </c>
    </row>
    <row r="56" spans="1:40">
      <c r="A56" s="50" t="s">
        <v>98</v>
      </c>
      <c r="B56" s="32">
        <v>44</v>
      </c>
      <c r="C56" s="33" t="s">
        <v>340</v>
      </c>
      <c r="D56" s="33" t="s">
        <v>341</v>
      </c>
      <c r="E56" s="33" t="s">
        <v>11</v>
      </c>
      <c r="F56" s="32" t="s">
        <v>342</v>
      </c>
      <c r="G56" s="47"/>
      <c r="H56" s="47"/>
      <c r="I56" s="47"/>
      <c r="J56" s="47"/>
      <c r="K56" s="47"/>
      <c r="L56" s="47"/>
      <c r="M56" s="47"/>
      <c r="N56" s="34">
        <v>1</v>
      </c>
      <c r="O56" s="34">
        <v>1</v>
      </c>
      <c r="P56" s="34">
        <v>1</v>
      </c>
      <c r="Q56" s="34">
        <v>1</v>
      </c>
      <c r="R56" s="34">
        <v>1</v>
      </c>
      <c r="S56" s="34">
        <v>1</v>
      </c>
      <c r="T56" s="34">
        <v>1</v>
      </c>
      <c r="U56" s="34">
        <v>1</v>
      </c>
      <c r="V56" s="34">
        <v>1</v>
      </c>
      <c r="W56" s="34">
        <v>1</v>
      </c>
      <c r="X56" s="34">
        <v>1</v>
      </c>
      <c r="Y56" s="34">
        <v>1</v>
      </c>
      <c r="Z56" s="34">
        <v>1</v>
      </c>
      <c r="AA56" s="34">
        <v>1</v>
      </c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10">
        <f t="shared" si="0"/>
        <v>14</v>
      </c>
      <c r="AM56" s="11">
        <v>32000</v>
      </c>
      <c r="AN56" s="12">
        <f t="shared" si="2"/>
        <v>448000</v>
      </c>
    </row>
    <row r="57" spans="1:40">
      <c r="A57" s="50" t="s">
        <v>98</v>
      </c>
      <c r="B57" s="32">
        <v>44</v>
      </c>
      <c r="C57" s="33" t="s">
        <v>360</v>
      </c>
      <c r="D57" s="33" t="s">
        <v>350</v>
      </c>
      <c r="E57" s="33" t="s">
        <v>361</v>
      </c>
      <c r="F57" s="32" t="s">
        <v>368</v>
      </c>
      <c r="G57" s="47"/>
      <c r="H57" s="47"/>
      <c r="I57" s="47"/>
      <c r="J57" s="47"/>
      <c r="K57" s="47"/>
      <c r="L57" s="47"/>
      <c r="M57" s="47"/>
      <c r="N57" s="34">
        <v>1</v>
      </c>
      <c r="O57" s="34">
        <v>1</v>
      </c>
      <c r="P57" s="34">
        <v>1</v>
      </c>
      <c r="Q57" s="34">
        <v>1</v>
      </c>
      <c r="R57" s="34">
        <v>1</v>
      </c>
      <c r="S57" s="34">
        <v>1</v>
      </c>
      <c r="T57" s="34">
        <v>1</v>
      </c>
      <c r="U57" s="34">
        <v>1</v>
      </c>
      <c r="V57" s="34">
        <v>1</v>
      </c>
      <c r="W57" s="34">
        <v>1</v>
      </c>
      <c r="X57" s="34">
        <v>1</v>
      </c>
      <c r="Y57" s="34">
        <v>1</v>
      </c>
      <c r="Z57" s="34">
        <v>1</v>
      </c>
      <c r="AA57" s="34">
        <v>1</v>
      </c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10">
        <f t="shared" si="0"/>
        <v>14</v>
      </c>
      <c r="AM57" s="11">
        <v>32000</v>
      </c>
      <c r="AN57" s="12">
        <f t="shared" si="2"/>
        <v>448000</v>
      </c>
    </row>
    <row r="58" spans="1:40">
      <c r="A58" s="50" t="s">
        <v>98</v>
      </c>
      <c r="B58" s="32">
        <v>45</v>
      </c>
      <c r="C58" s="33" t="s">
        <v>291</v>
      </c>
      <c r="D58" s="33" t="s">
        <v>292</v>
      </c>
      <c r="E58" s="33" t="s">
        <v>9</v>
      </c>
      <c r="F58" s="32" t="s">
        <v>293</v>
      </c>
      <c r="G58" s="47"/>
      <c r="H58" s="47"/>
      <c r="I58" s="47"/>
      <c r="J58" s="47"/>
      <c r="K58" s="47"/>
      <c r="L58" s="47"/>
      <c r="M58" s="47"/>
      <c r="N58" s="34">
        <v>1</v>
      </c>
      <c r="O58" s="34">
        <v>1</v>
      </c>
      <c r="P58" s="34">
        <v>1</v>
      </c>
      <c r="Q58" s="34">
        <v>1</v>
      </c>
      <c r="R58" s="34">
        <v>1</v>
      </c>
      <c r="S58" s="34">
        <v>1</v>
      </c>
      <c r="T58" s="34">
        <v>1</v>
      </c>
      <c r="U58" s="34">
        <v>1</v>
      </c>
      <c r="V58" s="34">
        <v>1</v>
      </c>
      <c r="W58" s="34">
        <v>1</v>
      </c>
      <c r="X58" s="34">
        <v>1</v>
      </c>
      <c r="Y58" s="34">
        <v>1</v>
      </c>
      <c r="Z58" s="34">
        <v>1</v>
      </c>
      <c r="AA58" s="34">
        <v>1</v>
      </c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10">
        <f t="shared" si="0"/>
        <v>14</v>
      </c>
      <c r="AM58" s="11">
        <v>32000</v>
      </c>
      <c r="AN58" s="12">
        <f t="shared" si="2"/>
        <v>448000</v>
      </c>
    </row>
    <row r="59" spans="1:40">
      <c r="A59" s="50" t="s">
        <v>98</v>
      </c>
      <c r="B59" s="32">
        <v>45</v>
      </c>
      <c r="C59" s="33" t="s">
        <v>333</v>
      </c>
      <c r="D59" s="33" t="s">
        <v>103</v>
      </c>
      <c r="E59" s="33" t="s">
        <v>334</v>
      </c>
      <c r="F59" s="32" t="s">
        <v>335</v>
      </c>
      <c r="G59" s="47"/>
      <c r="H59" s="47"/>
      <c r="I59" s="47"/>
      <c r="J59" s="47"/>
      <c r="K59" s="47"/>
      <c r="L59" s="47"/>
      <c r="M59" s="47"/>
      <c r="N59" s="34">
        <v>1</v>
      </c>
      <c r="O59" s="34">
        <v>1</v>
      </c>
      <c r="P59" s="34">
        <v>1</v>
      </c>
      <c r="Q59" s="34">
        <v>1</v>
      </c>
      <c r="R59" s="34">
        <v>1</v>
      </c>
      <c r="S59" s="34">
        <v>1</v>
      </c>
      <c r="T59" s="34">
        <v>1</v>
      </c>
      <c r="U59" s="34">
        <v>1</v>
      </c>
      <c r="V59" s="34">
        <v>1</v>
      </c>
      <c r="W59" s="34">
        <v>1</v>
      </c>
      <c r="X59" s="34">
        <v>1</v>
      </c>
      <c r="Y59" s="34">
        <v>1</v>
      </c>
      <c r="Z59" s="34">
        <v>1</v>
      </c>
      <c r="AA59" s="34">
        <v>1</v>
      </c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10">
        <f t="shared" si="0"/>
        <v>14</v>
      </c>
      <c r="AM59" s="11">
        <v>32000</v>
      </c>
      <c r="AN59" s="12">
        <f t="shared" si="2"/>
        <v>448000</v>
      </c>
    </row>
    <row r="60" spans="1:40">
      <c r="A60" s="50" t="s">
        <v>98</v>
      </c>
      <c r="B60" s="32">
        <v>51</v>
      </c>
      <c r="C60" s="33" t="s">
        <v>323</v>
      </c>
      <c r="D60" s="33" t="s">
        <v>262</v>
      </c>
      <c r="E60" s="33" t="s">
        <v>289</v>
      </c>
      <c r="F60" s="32" t="s">
        <v>324</v>
      </c>
      <c r="G60" s="47"/>
      <c r="H60" s="47"/>
      <c r="I60" s="47"/>
      <c r="J60" s="47"/>
      <c r="K60" s="47"/>
      <c r="L60" s="47"/>
      <c r="M60" s="47"/>
      <c r="N60" s="34">
        <v>1</v>
      </c>
      <c r="O60" s="34">
        <v>1</v>
      </c>
      <c r="P60" s="34">
        <v>1</v>
      </c>
      <c r="Q60" s="34">
        <v>1</v>
      </c>
      <c r="R60" s="34">
        <v>1</v>
      </c>
      <c r="S60" s="34">
        <v>1</v>
      </c>
      <c r="T60" s="34">
        <v>1</v>
      </c>
      <c r="U60" s="34">
        <v>1</v>
      </c>
      <c r="V60" s="34">
        <v>1</v>
      </c>
      <c r="W60" s="34">
        <v>1</v>
      </c>
      <c r="X60" s="34">
        <v>1</v>
      </c>
      <c r="Y60" s="34">
        <v>1</v>
      </c>
      <c r="Z60" s="34">
        <v>1</v>
      </c>
      <c r="AA60" s="34">
        <v>1</v>
      </c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10">
        <f t="shared" si="0"/>
        <v>14</v>
      </c>
      <c r="AM60" s="11">
        <v>32000</v>
      </c>
      <c r="AN60" s="12">
        <f t="shared" si="2"/>
        <v>448000</v>
      </c>
    </row>
    <row r="61" spans="1:40">
      <c r="A61" s="50" t="s">
        <v>98</v>
      </c>
      <c r="B61" s="32">
        <v>51</v>
      </c>
      <c r="C61" s="33" t="s">
        <v>323</v>
      </c>
      <c r="D61" s="33" t="s">
        <v>262</v>
      </c>
      <c r="E61" s="33" t="s">
        <v>325</v>
      </c>
      <c r="F61" s="32" t="s">
        <v>326</v>
      </c>
      <c r="G61" s="47"/>
      <c r="H61" s="47"/>
      <c r="I61" s="47"/>
      <c r="J61" s="47"/>
      <c r="K61" s="47"/>
      <c r="L61" s="47"/>
      <c r="M61" s="47"/>
      <c r="N61" s="34">
        <v>1</v>
      </c>
      <c r="O61" s="34">
        <v>1</v>
      </c>
      <c r="P61" s="34">
        <v>1</v>
      </c>
      <c r="Q61" s="34">
        <v>1</v>
      </c>
      <c r="R61" s="34">
        <v>1</v>
      </c>
      <c r="S61" s="34">
        <v>1</v>
      </c>
      <c r="T61" s="34">
        <v>1</v>
      </c>
      <c r="U61" s="34">
        <v>1</v>
      </c>
      <c r="V61" s="34">
        <v>1</v>
      </c>
      <c r="W61" s="34">
        <v>1</v>
      </c>
      <c r="X61" s="34">
        <v>1</v>
      </c>
      <c r="Y61" s="34">
        <v>1</v>
      </c>
      <c r="Z61" s="34">
        <v>1</v>
      </c>
      <c r="AA61" s="34">
        <v>1</v>
      </c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10">
        <f t="shared" si="0"/>
        <v>14</v>
      </c>
      <c r="AM61" s="11">
        <v>32000</v>
      </c>
      <c r="AN61" s="12">
        <f t="shared" si="2"/>
        <v>448000</v>
      </c>
    </row>
    <row r="62" spans="1:40">
      <c r="A62" s="50" t="s">
        <v>98</v>
      </c>
      <c r="B62" s="32">
        <v>52</v>
      </c>
      <c r="C62" s="33" t="s">
        <v>169</v>
      </c>
      <c r="D62" s="33" t="s">
        <v>170</v>
      </c>
      <c r="E62" s="33" t="s">
        <v>171</v>
      </c>
      <c r="F62" s="32">
        <v>124283575</v>
      </c>
      <c r="G62" s="47"/>
      <c r="H62" s="47"/>
      <c r="I62" s="47"/>
      <c r="J62" s="47"/>
      <c r="K62" s="47"/>
      <c r="L62" s="47"/>
      <c r="M62" s="47"/>
      <c r="N62" s="34">
        <v>1</v>
      </c>
      <c r="O62" s="34">
        <v>1</v>
      </c>
      <c r="P62" s="34">
        <v>1</v>
      </c>
      <c r="Q62" s="34">
        <v>1</v>
      </c>
      <c r="R62" s="34">
        <v>1</v>
      </c>
      <c r="S62" s="34">
        <v>1</v>
      </c>
      <c r="T62" s="34">
        <v>1</v>
      </c>
      <c r="U62" s="34">
        <v>1</v>
      </c>
      <c r="V62" s="34">
        <v>1</v>
      </c>
      <c r="W62" s="34">
        <v>1</v>
      </c>
      <c r="X62" s="34">
        <v>1</v>
      </c>
      <c r="Y62" s="34">
        <v>1</v>
      </c>
      <c r="Z62" s="34">
        <v>1</v>
      </c>
      <c r="AA62" s="34">
        <v>1</v>
      </c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10">
        <f t="shared" si="0"/>
        <v>14</v>
      </c>
      <c r="AM62" s="11">
        <v>32000</v>
      </c>
      <c r="AN62" s="12">
        <f t="shared" si="2"/>
        <v>448000</v>
      </c>
    </row>
    <row r="63" spans="1:40">
      <c r="A63" s="50" t="s">
        <v>98</v>
      </c>
      <c r="B63" s="32">
        <v>52</v>
      </c>
      <c r="C63" s="33" t="s">
        <v>166</v>
      </c>
      <c r="D63" s="33" t="s">
        <v>172</v>
      </c>
      <c r="E63" s="33" t="s">
        <v>173</v>
      </c>
      <c r="F63" s="32">
        <v>124794135</v>
      </c>
      <c r="G63" s="47"/>
      <c r="H63" s="47"/>
      <c r="I63" s="47"/>
      <c r="J63" s="47"/>
      <c r="K63" s="47"/>
      <c r="L63" s="47"/>
      <c r="M63" s="47"/>
      <c r="N63" s="34">
        <v>1</v>
      </c>
      <c r="O63" s="34">
        <v>1</v>
      </c>
      <c r="P63" s="34">
        <v>1</v>
      </c>
      <c r="Q63" s="34">
        <v>1</v>
      </c>
      <c r="R63" s="34">
        <v>1</v>
      </c>
      <c r="S63" s="34">
        <v>1</v>
      </c>
      <c r="T63" s="34">
        <v>1</v>
      </c>
      <c r="U63" s="34">
        <v>1</v>
      </c>
      <c r="V63" s="34">
        <v>1</v>
      </c>
      <c r="W63" s="34">
        <v>1</v>
      </c>
      <c r="X63" s="34">
        <v>1</v>
      </c>
      <c r="Y63" s="34">
        <v>1</v>
      </c>
      <c r="Z63" s="34">
        <v>1</v>
      </c>
      <c r="AA63" s="34">
        <v>1</v>
      </c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10">
        <f t="shared" si="0"/>
        <v>14</v>
      </c>
      <c r="AM63" s="11">
        <v>32000</v>
      </c>
      <c r="AN63" s="12">
        <f t="shared" si="2"/>
        <v>448000</v>
      </c>
    </row>
    <row r="64" spans="1:40">
      <c r="A64" s="50" t="s">
        <v>98</v>
      </c>
      <c r="B64" s="32">
        <v>56</v>
      </c>
      <c r="C64" s="33" t="s">
        <v>284</v>
      </c>
      <c r="D64" s="33" t="s">
        <v>285</v>
      </c>
      <c r="E64" s="33" t="s">
        <v>286</v>
      </c>
      <c r="F64" s="32" t="s">
        <v>287</v>
      </c>
      <c r="G64" s="47"/>
      <c r="H64" s="47"/>
      <c r="I64" s="47"/>
      <c r="J64" s="47"/>
      <c r="K64" s="47"/>
      <c r="L64" s="47"/>
      <c r="M64" s="47"/>
      <c r="N64" s="34">
        <v>1</v>
      </c>
      <c r="O64" s="34">
        <v>1</v>
      </c>
      <c r="P64" s="34">
        <v>1</v>
      </c>
      <c r="Q64" s="34">
        <v>1</v>
      </c>
      <c r="R64" s="34">
        <v>1</v>
      </c>
      <c r="S64" s="34">
        <v>1</v>
      </c>
      <c r="T64" s="34">
        <v>1</v>
      </c>
      <c r="U64" s="34">
        <v>1</v>
      </c>
      <c r="V64" s="34">
        <v>1</v>
      </c>
      <c r="W64" s="34">
        <v>1</v>
      </c>
      <c r="X64" s="34">
        <v>1</v>
      </c>
      <c r="Y64" s="34">
        <v>1</v>
      </c>
      <c r="Z64" s="34">
        <v>1</v>
      </c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10">
        <f t="shared" si="0"/>
        <v>13</v>
      </c>
      <c r="AM64" s="11">
        <v>32000</v>
      </c>
      <c r="AN64" s="12">
        <f t="shared" si="2"/>
        <v>416000</v>
      </c>
    </row>
    <row r="65" spans="1:40">
      <c r="A65" s="50" t="s">
        <v>98</v>
      </c>
      <c r="B65" s="32">
        <v>56</v>
      </c>
      <c r="C65" s="33" t="s">
        <v>345</v>
      </c>
      <c r="D65" s="33" t="s">
        <v>346</v>
      </c>
      <c r="E65" s="33" t="s">
        <v>347</v>
      </c>
      <c r="F65" s="32" t="s">
        <v>348</v>
      </c>
      <c r="G65" s="47"/>
      <c r="H65" s="47"/>
      <c r="I65" s="47"/>
      <c r="J65" s="47"/>
      <c r="K65" s="47"/>
      <c r="L65" s="47"/>
      <c r="M65" s="47"/>
      <c r="N65" s="34">
        <v>1</v>
      </c>
      <c r="O65" s="34">
        <v>1</v>
      </c>
      <c r="P65" s="34">
        <v>1</v>
      </c>
      <c r="Q65" s="34">
        <v>1</v>
      </c>
      <c r="R65" s="34">
        <v>1</v>
      </c>
      <c r="S65" s="34">
        <v>1</v>
      </c>
      <c r="T65" s="34">
        <v>1</v>
      </c>
      <c r="U65" s="34">
        <v>1</v>
      </c>
      <c r="V65" s="34">
        <v>1</v>
      </c>
      <c r="W65" s="34">
        <v>1</v>
      </c>
      <c r="X65" s="34">
        <v>1</v>
      </c>
      <c r="Y65" s="34">
        <v>1</v>
      </c>
      <c r="Z65" s="34">
        <v>1</v>
      </c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10">
        <f t="shared" si="0"/>
        <v>13</v>
      </c>
      <c r="AM65" s="11">
        <v>32000</v>
      </c>
      <c r="AN65" s="12">
        <f t="shared" si="2"/>
        <v>416000</v>
      </c>
    </row>
    <row r="66" spans="1:40">
      <c r="A66" s="50" t="s">
        <v>98</v>
      </c>
      <c r="B66" s="32">
        <v>57</v>
      </c>
      <c r="C66" s="33" t="s">
        <v>274</v>
      </c>
      <c r="D66" s="33" t="s">
        <v>275</v>
      </c>
      <c r="E66" s="33" t="s">
        <v>276</v>
      </c>
      <c r="F66" s="32" t="s">
        <v>277</v>
      </c>
      <c r="G66" s="47"/>
      <c r="H66" s="47"/>
      <c r="I66" s="47"/>
      <c r="J66" s="47"/>
      <c r="K66" s="47"/>
      <c r="L66" s="47"/>
      <c r="M66" s="47"/>
      <c r="N66" s="34">
        <v>1</v>
      </c>
      <c r="O66" s="34">
        <v>1</v>
      </c>
      <c r="P66" s="34">
        <v>1</v>
      </c>
      <c r="Q66" s="34">
        <v>1</v>
      </c>
      <c r="R66" s="34">
        <v>1</v>
      </c>
      <c r="S66" s="34">
        <v>1</v>
      </c>
      <c r="T66" s="34">
        <v>1</v>
      </c>
      <c r="U66" s="34">
        <v>1</v>
      </c>
      <c r="V66" s="34">
        <v>1</v>
      </c>
      <c r="W66" s="34">
        <v>1</v>
      </c>
      <c r="X66" s="34">
        <v>1</v>
      </c>
      <c r="Y66" s="34">
        <v>1</v>
      </c>
      <c r="Z66" s="34">
        <v>1</v>
      </c>
      <c r="AA66" s="34">
        <v>1</v>
      </c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10">
        <f t="shared" si="0"/>
        <v>14</v>
      </c>
      <c r="AM66" s="11">
        <v>32000</v>
      </c>
      <c r="AN66" s="12">
        <f t="shared" si="2"/>
        <v>448000</v>
      </c>
    </row>
    <row r="67" spans="1:40">
      <c r="A67" s="50" t="s">
        <v>98</v>
      </c>
      <c r="B67" s="32">
        <v>57</v>
      </c>
      <c r="C67" s="33" t="s">
        <v>336</v>
      </c>
      <c r="D67" s="33" t="s">
        <v>337</v>
      </c>
      <c r="E67" s="33" t="s">
        <v>338</v>
      </c>
      <c r="F67" s="32" t="s">
        <v>339</v>
      </c>
      <c r="G67" s="47"/>
      <c r="H67" s="47"/>
      <c r="I67" s="47"/>
      <c r="J67" s="47"/>
      <c r="K67" s="47"/>
      <c r="L67" s="47"/>
      <c r="M67" s="47"/>
      <c r="N67" s="34">
        <v>1</v>
      </c>
      <c r="O67" s="34">
        <v>1</v>
      </c>
      <c r="P67" s="34">
        <v>1</v>
      </c>
      <c r="Q67" s="34">
        <v>1</v>
      </c>
      <c r="R67" s="34">
        <v>1</v>
      </c>
      <c r="S67" s="34">
        <v>1</v>
      </c>
      <c r="T67" s="34">
        <v>1</v>
      </c>
      <c r="U67" s="34">
        <v>1</v>
      </c>
      <c r="V67" s="34">
        <v>1</v>
      </c>
      <c r="W67" s="34">
        <v>1</v>
      </c>
      <c r="X67" s="34">
        <v>1</v>
      </c>
      <c r="Y67" s="34">
        <v>1</v>
      </c>
      <c r="Z67" s="34">
        <v>1</v>
      </c>
      <c r="AA67" s="34">
        <v>1</v>
      </c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10">
        <f t="shared" si="0"/>
        <v>14</v>
      </c>
      <c r="AM67" s="11">
        <v>32000</v>
      </c>
      <c r="AN67" s="12">
        <f t="shared" si="2"/>
        <v>448000</v>
      </c>
    </row>
    <row r="68" spans="1:40">
      <c r="A68" s="50" t="s">
        <v>98</v>
      </c>
      <c r="B68" s="32">
        <v>58</v>
      </c>
      <c r="C68" s="33" t="s">
        <v>29</v>
      </c>
      <c r="D68" s="33" t="s">
        <v>318</v>
      </c>
      <c r="E68" s="33" t="s">
        <v>319</v>
      </c>
      <c r="F68" s="32" t="s">
        <v>320</v>
      </c>
      <c r="G68" s="47"/>
      <c r="H68" s="47"/>
      <c r="I68" s="47"/>
      <c r="J68" s="47"/>
      <c r="K68" s="47"/>
      <c r="L68" s="47"/>
      <c r="M68" s="47"/>
      <c r="N68" s="34">
        <v>1</v>
      </c>
      <c r="O68" s="34">
        <v>1</v>
      </c>
      <c r="P68" s="34">
        <v>1</v>
      </c>
      <c r="Q68" s="34">
        <v>1</v>
      </c>
      <c r="R68" s="34">
        <v>1</v>
      </c>
      <c r="S68" s="34">
        <v>1</v>
      </c>
      <c r="T68" s="34">
        <v>1</v>
      </c>
      <c r="U68" s="34">
        <v>1</v>
      </c>
      <c r="V68" s="34">
        <v>1</v>
      </c>
      <c r="W68" s="34">
        <v>1</v>
      </c>
      <c r="X68" s="34">
        <v>1</v>
      </c>
      <c r="Y68" s="34">
        <v>1</v>
      </c>
      <c r="Z68" s="34">
        <v>1</v>
      </c>
      <c r="AA68" s="34">
        <v>1</v>
      </c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10">
        <f t="shared" si="0"/>
        <v>14</v>
      </c>
      <c r="AM68" s="11">
        <v>32000</v>
      </c>
      <c r="AN68" s="12">
        <f t="shared" si="2"/>
        <v>448000</v>
      </c>
    </row>
    <row r="69" spans="1:40">
      <c r="A69" s="50" t="s">
        <v>98</v>
      </c>
      <c r="B69" s="32">
        <v>58</v>
      </c>
      <c r="C69" s="33" t="s">
        <v>149</v>
      </c>
      <c r="D69" s="33" t="s">
        <v>321</v>
      </c>
      <c r="E69" s="33" t="s">
        <v>15</v>
      </c>
      <c r="F69" s="32" t="s">
        <v>322</v>
      </c>
      <c r="G69" s="47"/>
      <c r="H69" s="47"/>
      <c r="I69" s="47"/>
      <c r="J69" s="47"/>
      <c r="K69" s="47"/>
      <c r="L69" s="47"/>
      <c r="M69" s="47"/>
      <c r="N69" s="34">
        <v>1</v>
      </c>
      <c r="O69" s="34">
        <v>1</v>
      </c>
      <c r="P69" s="34">
        <v>1</v>
      </c>
      <c r="Q69" s="34">
        <v>1</v>
      </c>
      <c r="R69" s="34">
        <v>1</v>
      </c>
      <c r="S69" s="34">
        <v>1</v>
      </c>
      <c r="T69" s="34">
        <v>1</v>
      </c>
      <c r="U69" s="34">
        <v>1</v>
      </c>
      <c r="V69" s="34">
        <v>1</v>
      </c>
      <c r="W69" s="34">
        <v>1</v>
      </c>
      <c r="X69" s="34">
        <v>1</v>
      </c>
      <c r="Y69" s="34">
        <v>1</v>
      </c>
      <c r="Z69" s="34">
        <v>1</v>
      </c>
      <c r="AA69" s="34">
        <v>1</v>
      </c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10">
        <f t="shared" si="0"/>
        <v>14</v>
      </c>
      <c r="AM69" s="11">
        <v>32000</v>
      </c>
      <c r="AN69" s="12">
        <f t="shared" si="2"/>
        <v>448000</v>
      </c>
    </row>
    <row r="70" spans="1:40">
      <c r="A70" s="50" t="s">
        <v>98</v>
      </c>
      <c r="B70" s="32">
        <v>60</v>
      </c>
      <c r="C70" s="33" t="s">
        <v>302</v>
      </c>
      <c r="D70" s="33" t="s">
        <v>303</v>
      </c>
      <c r="E70" s="33" t="s">
        <v>304</v>
      </c>
      <c r="F70" s="32" t="s">
        <v>305</v>
      </c>
      <c r="G70" s="47"/>
      <c r="H70" s="47"/>
      <c r="I70" s="47"/>
      <c r="J70" s="47"/>
      <c r="K70" s="47"/>
      <c r="L70" s="47"/>
      <c r="M70" s="47"/>
      <c r="N70" s="34">
        <v>1</v>
      </c>
      <c r="O70" s="34">
        <v>1</v>
      </c>
      <c r="P70" s="34">
        <v>1</v>
      </c>
      <c r="Q70" s="34">
        <v>1</v>
      </c>
      <c r="R70" s="34">
        <v>1</v>
      </c>
      <c r="S70" s="34">
        <v>1</v>
      </c>
      <c r="T70" s="34">
        <v>1</v>
      </c>
      <c r="U70" s="34">
        <v>1</v>
      </c>
      <c r="V70" s="34">
        <v>1</v>
      </c>
      <c r="W70" s="34">
        <v>1</v>
      </c>
      <c r="X70" s="34">
        <v>1</v>
      </c>
      <c r="Y70" s="34">
        <v>1</v>
      </c>
      <c r="Z70" s="34">
        <v>1</v>
      </c>
      <c r="AA70" s="34">
        <v>1</v>
      </c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10">
        <f t="shared" si="0"/>
        <v>14</v>
      </c>
      <c r="AM70" s="11">
        <v>32000</v>
      </c>
      <c r="AN70" s="12">
        <f t="shared" si="2"/>
        <v>448000</v>
      </c>
    </row>
    <row r="71" spans="1:40">
      <c r="A71" s="50" t="s">
        <v>98</v>
      </c>
      <c r="B71" s="32">
        <v>60</v>
      </c>
      <c r="C71" s="33" t="s">
        <v>302</v>
      </c>
      <c r="D71" s="33" t="s">
        <v>306</v>
      </c>
      <c r="E71" s="33" t="s">
        <v>307</v>
      </c>
      <c r="F71" s="32" t="s">
        <v>308</v>
      </c>
      <c r="G71" s="47"/>
      <c r="H71" s="47"/>
      <c r="I71" s="47"/>
      <c r="J71" s="47"/>
      <c r="K71" s="47"/>
      <c r="L71" s="47"/>
      <c r="M71" s="47"/>
      <c r="N71" s="34">
        <v>1</v>
      </c>
      <c r="O71" s="34">
        <v>1</v>
      </c>
      <c r="P71" s="34">
        <v>1</v>
      </c>
      <c r="Q71" s="34">
        <v>1</v>
      </c>
      <c r="R71" s="34">
        <v>1</v>
      </c>
      <c r="S71" s="34">
        <v>1</v>
      </c>
      <c r="T71" s="34">
        <v>1</v>
      </c>
      <c r="U71" s="34">
        <v>1</v>
      </c>
      <c r="V71" s="34">
        <v>1</v>
      </c>
      <c r="W71" s="34">
        <v>1</v>
      </c>
      <c r="X71" s="34">
        <v>1</v>
      </c>
      <c r="Y71" s="34">
        <v>1</v>
      </c>
      <c r="Z71" s="34">
        <v>1</v>
      </c>
      <c r="AA71" s="34">
        <v>1</v>
      </c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10">
        <f t="shared" si="0"/>
        <v>14</v>
      </c>
      <c r="AM71" s="11">
        <v>32000</v>
      </c>
      <c r="AN71" s="12">
        <f t="shared" si="2"/>
        <v>448000</v>
      </c>
    </row>
    <row r="72" spans="1:40">
      <c r="A72" s="50" t="s">
        <v>98</v>
      </c>
      <c r="B72" s="32">
        <v>61</v>
      </c>
      <c r="C72" s="33" t="s">
        <v>278</v>
      </c>
      <c r="D72" s="33" t="s">
        <v>279</v>
      </c>
      <c r="E72" s="33" t="s">
        <v>23</v>
      </c>
      <c r="F72" s="32" t="s">
        <v>280</v>
      </c>
      <c r="G72" s="47"/>
      <c r="H72" s="47"/>
      <c r="I72" s="47"/>
      <c r="J72" s="47"/>
      <c r="K72" s="47"/>
      <c r="L72" s="47"/>
      <c r="M72" s="47"/>
      <c r="N72" s="34">
        <v>1</v>
      </c>
      <c r="O72" s="34">
        <v>1</v>
      </c>
      <c r="P72" s="34">
        <v>1</v>
      </c>
      <c r="Q72" s="34">
        <v>1</v>
      </c>
      <c r="R72" s="34">
        <v>1</v>
      </c>
      <c r="S72" s="34">
        <v>1</v>
      </c>
      <c r="T72" s="34">
        <v>1</v>
      </c>
      <c r="U72" s="34">
        <v>1</v>
      </c>
      <c r="V72" s="34">
        <v>1</v>
      </c>
      <c r="W72" s="34">
        <v>1</v>
      </c>
      <c r="X72" s="34">
        <v>1</v>
      </c>
      <c r="Y72" s="34">
        <v>1</v>
      </c>
      <c r="Z72" s="34">
        <v>1</v>
      </c>
      <c r="AA72" s="34">
        <v>1</v>
      </c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10">
        <f t="shared" si="0"/>
        <v>14</v>
      </c>
      <c r="AM72" s="11">
        <v>32000</v>
      </c>
      <c r="AN72" s="12">
        <f t="shared" si="2"/>
        <v>448000</v>
      </c>
    </row>
    <row r="73" spans="1:40">
      <c r="A73" s="50" t="s">
        <v>98</v>
      </c>
      <c r="B73" s="32">
        <v>61</v>
      </c>
      <c r="C73" s="33" t="s">
        <v>349</v>
      </c>
      <c r="D73" s="33" t="s">
        <v>350</v>
      </c>
      <c r="E73" s="33" t="s">
        <v>9</v>
      </c>
      <c r="F73" s="32" t="s">
        <v>351</v>
      </c>
      <c r="G73" s="47"/>
      <c r="H73" s="47"/>
      <c r="I73" s="47"/>
      <c r="J73" s="47"/>
      <c r="K73" s="47"/>
      <c r="L73" s="47"/>
      <c r="M73" s="47"/>
      <c r="N73" s="34">
        <v>1</v>
      </c>
      <c r="O73" s="34">
        <v>1</v>
      </c>
      <c r="P73" s="34">
        <v>1</v>
      </c>
      <c r="Q73" s="34">
        <v>1</v>
      </c>
      <c r="R73" s="34">
        <v>1</v>
      </c>
      <c r="S73" s="34">
        <v>1</v>
      </c>
      <c r="T73" s="34">
        <v>1</v>
      </c>
      <c r="U73" s="34">
        <v>1</v>
      </c>
      <c r="V73" s="34">
        <v>1</v>
      </c>
      <c r="W73" s="34">
        <v>1</v>
      </c>
      <c r="X73" s="34">
        <v>1</v>
      </c>
      <c r="Y73" s="34">
        <v>1</v>
      </c>
      <c r="Z73" s="34">
        <v>1</v>
      </c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10">
        <f t="shared" si="0"/>
        <v>13</v>
      </c>
      <c r="AM73" s="11">
        <v>32000</v>
      </c>
      <c r="AN73" s="12">
        <f t="shared" si="2"/>
        <v>416000</v>
      </c>
    </row>
    <row r="74" spans="1:40">
      <c r="A74" s="50" t="s">
        <v>98</v>
      </c>
      <c r="B74" s="32">
        <v>61</v>
      </c>
      <c r="C74" s="33" t="s">
        <v>52</v>
      </c>
      <c r="D74" s="33" t="s">
        <v>377</v>
      </c>
      <c r="E74" s="33" t="s">
        <v>27</v>
      </c>
      <c r="F74" s="32" t="s">
        <v>388</v>
      </c>
      <c r="G74" s="47"/>
      <c r="H74" s="47"/>
      <c r="I74" s="47"/>
      <c r="J74" s="47"/>
      <c r="K74" s="47"/>
      <c r="L74" s="47"/>
      <c r="M74" s="47"/>
      <c r="N74" s="34">
        <v>1</v>
      </c>
      <c r="O74" s="34">
        <v>1</v>
      </c>
      <c r="P74" s="34">
        <v>1</v>
      </c>
      <c r="Q74" s="34">
        <v>1</v>
      </c>
      <c r="R74" s="34">
        <v>1</v>
      </c>
      <c r="S74" s="34">
        <v>1</v>
      </c>
      <c r="T74" s="34">
        <v>1</v>
      </c>
      <c r="U74" s="34">
        <v>1</v>
      </c>
      <c r="V74" s="34">
        <v>1</v>
      </c>
      <c r="W74" s="34">
        <v>1</v>
      </c>
      <c r="X74" s="34">
        <v>1</v>
      </c>
      <c r="Y74" s="34">
        <v>1</v>
      </c>
      <c r="Z74" s="34">
        <v>1</v>
      </c>
      <c r="AA74" s="34">
        <v>1</v>
      </c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10">
        <f t="shared" ref="AL74:AL156" si="3">SUM(G74:AK74)</f>
        <v>14</v>
      </c>
      <c r="AM74" s="11">
        <v>32000</v>
      </c>
      <c r="AN74" s="12">
        <f>AM74*AL74</f>
        <v>448000</v>
      </c>
    </row>
    <row r="75" spans="1:40">
      <c r="A75" s="50" t="s">
        <v>98</v>
      </c>
      <c r="B75" s="32">
        <v>61</v>
      </c>
      <c r="C75" s="33" t="s">
        <v>28</v>
      </c>
      <c r="D75" s="33" t="s">
        <v>429</v>
      </c>
      <c r="E75" s="33" t="s">
        <v>430</v>
      </c>
      <c r="F75" s="32" t="s">
        <v>431</v>
      </c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34">
        <v>1</v>
      </c>
      <c r="W75" s="34">
        <v>1</v>
      </c>
      <c r="X75" s="34">
        <v>1</v>
      </c>
      <c r="Y75" s="34">
        <v>1</v>
      </c>
      <c r="Z75" s="34">
        <v>1</v>
      </c>
      <c r="AA75" s="34">
        <v>1</v>
      </c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10">
        <f t="shared" si="3"/>
        <v>6</v>
      </c>
      <c r="AM75" s="11">
        <v>32000</v>
      </c>
      <c r="AN75" s="12">
        <f>AM75*AL75</f>
        <v>192000</v>
      </c>
    </row>
    <row r="76" spans="1:40">
      <c r="A76" s="50" t="s">
        <v>98</v>
      </c>
      <c r="B76" s="32">
        <v>64</v>
      </c>
      <c r="C76" s="33" t="s">
        <v>327</v>
      </c>
      <c r="D76" s="33" t="s">
        <v>300</v>
      </c>
      <c r="E76" s="33" t="s">
        <v>328</v>
      </c>
      <c r="F76" s="32" t="s">
        <v>329</v>
      </c>
      <c r="G76" s="47"/>
      <c r="H76" s="47"/>
      <c r="I76" s="47"/>
      <c r="J76" s="47"/>
      <c r="K76" s="47"/>
      <c r="L76" s="47"/>
      <c r="M76" s="47"/>
      <c r="N76" s="34">
        <v>1</v>
      </c>
      <c r="O76" s="34">
        <v>1</v>
      </c>
      <c r="P76" s="34">
        <v>1</v>
      </c>
      <c r="Q76" s="34">
        <v>1</v>
      </c>
      <c r="R76" s="34">
        <v>1</v>
      </c>
      <c r="S76" s="34">
        <v>1</v>
      </c>
      <c r="T76" s="34">
        <v>1</v>
      </c>
      <c r="U76" s="34">
        <v>1</v>
      </c>
      <c r="V76" s="34">
        <v>1</v>
      </c>
      <c r="W76" s="34">
        <v>1</v>
      </c>
      <c r="X76" s="34">
        <v>1</v>
      </c>
      <c r="Y76" s="34">
        <v>1</v>
      </c>
      <c r="Z76" s="34">
        <v>1</v>
      </c>
      <c r="AA76" s="34">
        <v>1</v>
      </c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10">
        <f t="shared" si="3"/>
        <v>14</v>
      </c>
      <c r="AM76" s="11">
        <v>32000</v>
      </c>
      <c r="AN76" s="12">
        <f>AM76*AL76</f>
        <v>448000</v>
      </c>
    </row>
    <row r="77" spans="1:40">
      <c r="A77" s="50" t="s">
        <v>98</v>
      </c>
      <c r="B77" s="32">
        <v>64</v>
      </c>
      <c r="C77" s="33" t="s">
        <v>86</v>
      </c>
      <c r="D77" s="33" t="s">
        <v>343</v>
      </c>
      <c r="E77" s="33" t="s">
        <v>26</v>
      </c>
      <c r="F77" s="32" t="s">
        <v>344</v>
      </c>
      <c r="G77" s="47"/>
      <c r="H77" s="47"/>
      <c r="I77" s="47"/>
      <c r="J77" s="47"/>
      <c r="K77" s="47"/>
      <c r="L77" s="47"/>
      <c r="M77" s="47"/>
      <c r="N77" s="34">
        <v>1</v>
      </c>
      <c r="O77" s="34">
        <v>1</v>
      </c>
      <c r="P77" s="34">
        <v>1</v>
      </c>
      <c r="Q77" s="34">
        <v>1</v>
      </c>
      <c r="R77" s="34">
        <v>1</v>
      </c>
      <c r="S77" s="34">
        <v>1</v>
      </c>
      <c r="T77" s="34">
        <v>1</v>
      </c>
      <c r="U77" s="34">
        <v>1</v>
      </c>
      <c r="V77" s="34">
        <v>1</v>
      </c>
      <c r="W77" s="34">
        <v>1</v>
      </c>
      <c r="X77" s="34">
        <v>1</v>
      </c>
      <c r="Y77" s="34">
        <v>1</v>
      </c>
      <c r="Z77" s="34">
        <v>1</v>
      </c>
      <c r="AA77" s="34">
        <v>1</v>
      </c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10">
        <f t="shared" si="3"/>
        <v>14</v>
      </c>
      <c r="AM77" s="11">
        <v>32000</v>
      </c>
      <c r="AN77" s="12">
        <f>AM77*AL77</f>
        <v>448000</v>
      </c>
    </row>
    <row r="78" spans="1:40">
      <c r="A78" s="50" t="s">
        <v>98</v>
      </c>
      <c r="B78" s="32">
        <v>70</v>
      </c>
      <c r="C78" s="33" t="s">
        <v>179</v>
      </c>
      <c r="D78" s="33" t="s">
        <v>180</v>
      </c>
      <c r="E78" s="33" t="s">
        <v>181</v>
      </c>
      <c r="F78" s="32">
        <v>124477087</v>
      </c>
      <c r="G78" s="47"/>
      <c r="H78" s="47"/>
      <c r="I78" s="34">
        <v>1</v>
      </c>
      <c r="J78" s="34">
        <v>1</v>
      </c>
      <c r="K78" s="34">
        <v>1</v>
      </c>
      <c r="L78" s="34">
        <v>1</v>
      </c>
      <c r="M78" s="34">
        <v>1</v>
      </c>
      <c r="N78" s="34">
        <v>1</v>
      </c>
      <c r="O78" s="34">
        <v>1</v>
      </c>
      <c r="P78" s="34">
        <v>1</v>
      </c>
      <c r="Q78" s="34">
        <v>1</v>
      </c>
      <c r="R78" s="34">
        <v>1</v>
      </c>
      <c r="S78" s="34">
        <v>1</v>
      </c>
      <c r="T78" s="34">
        <v>1</v>
      </c>
      <c r="U78" s="34">
        <v>1</v>
      </c>
      <c r="V78" s="34">
        <v>1</v>
      </c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10">
        <f t="shared" si="3"/>
        <v>14</v>
      </c>
      <c r="AM78" s="11">
        <v>32000</v>
      </c>
      <c r="AN78" s="12">
        <f>AM78*AL78</f>
        <v>448000</v>
      </c>
    </row>
    <row r="79" spans="1:40">
      <c r="A79" s="50" t="s">
        <v>98</v>
      </c>
      <c r="B79" s="32">
        <v>70</v>
      </c>
      <c r="C79" s="33" t="s">
        <v>182</v>
      </c>
      <c r="D79" s="33" t="s">
        <v>183</v>
      </c>
      <c r="E79" s="33" t="s">
        <v>15</v>
      </c>
      <c r="F79" s="32">
        <v>122455977</v>
      </c>
      <c r="G79" s="47"/>
      <c r="H79" s="47"/>
      <c r="I79" s="34">
        <v>1</v>
      </c>
      <c r="J79" s="34">
        <v>1</v>
      </c>
      <c r="K79" s="34">
        <v>1</v>
      </c>
      <c r="L79" s="34">
        <v>1</v>
      </c>
      <c r="M79" s="34">
        <v>1</v>
      </c>
      <c r="N79" s="34">
        <v>1</v>
      </c>
      <c r="O79" s="34">
        <v>1</v>
      </c>
      <c r="P79" s="34">
        <v>1</v>
      </c>
      <c r="Q79" s="34">
        <v>1</v>
      </c>
      <c r="R79" s="34">
        <v>1</v>
      </c>
      <c r="S79" s="34">
        <v>1</v>
      </c>
      <c r="T79" s="34">
        <v>1</v>
      </c>
      <c r="U79" s="34">
        <v>1</v>
      </c>
      <c r="V79" s="34">
        <v>1</v>
      </c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10">
        <f t="shared" si="3"/>
        <v>14</v>
      </c>
      <c r="AM79" s="11">
        <v>32000</v>
      </c>
      <c r="AN79" s="12">
        <f t="shared" ref="AN79:AN138" si="4">AM79*AL79</f>
        <v>448000</v>
      </c>
    </row>
    <row r="80" spans="1:40">
      <c r="A80" s="50" t="s">
        <v>98</v>
      </c>
      <c r="B80" s="32">
        <v>73</v>
      </c>
      <c r="C80" s="33" t="s">
        <v>294</v>
      </c>
      <c r="D80" s="33" t="s">
        <v>295</v>
      </c>
      <c r="E80" s="33" t="s">
        <v>22</v>
      </c>
      <c r="F80" s="32" t="s">
        <v>296</v>
      </c>
      <c r="G80" s="47"/>
      <c r="H80" s="47"/>
      <c r="I80" s="47"/>
      <c r="J80" s="47"/>
      <c r="K80" s="47"/>
      <c r="L80" s="47"/>
      <c r="M80" s="47"/>
      <c r="N80" s="34">
        <v>1</v>
      </c>
      <c r="O80" s="34">
        <v>1</v>
      </c>
      <c r="P80" s="34">
        <v>1</v>
      </c>
      <c r="Q80" s="34">
        <v>1</v>
      </c>
      <c r="R80" s="34">
        <v>1</v>
      </c>
      <c r="S80" s="34">
        <v>1</v>
      </c>
      <c r="T80" s="34">
        <v>1</v>
      </c>
      <c r="U80" s="34">
        <v>1</v>
      </c>
      <c r="V80" s="34">
        <v>1</v>
      </c>
      <c r="W80" s="34">
        <v>1</v>
      </c>
      <c r="X80" s="34">
        <v>1</v>
      </c>
      <c r="Y80" s="34">
        <v>1</v>
      </c>
      <c r="Z80" s="34">
        <v>1</v>
      </c>
      <c r="AA80" s="34">
        <v>1</v>
      </c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10">
        <f t="shared" si="3"/>
        <v>14</v>
      </c>
      <c r="AM80" s="11">
        <v>32000</v>
      </c>
      <c r="AN80" s="12">
        <f t="shared" si="4"/>
        <v>448000</v>
      </c>
    </row>
    <row r="81" spans="1:40">
      <c r="A81" s="50" t="s">
        <v>98</v>
      </c>
      <c r="B81" s="32">
        <v>73</v>
      </c>
      <c r="C81" s="33" t="s">
        <v>312</v>
      </c>
      <c r="D81" s="33" t="s">
        <v>313</v>
      </c>
      <c r="E81" s="33" t="s">
        <v>9</v>
      </c>
      <c r="F81" s="32" t="s">
        <v>314</v>
      </c>
      <c r="G81" s="47"/>
      <c r="H81" s="47"/>
      <c r="I81" s="47"/>
      <c r="J81" s="47"/>
      <c r="K81" s="47"/>
      <c r="L81" s="47"/>
      <c r="M81" s="47"/>
      <c r="N81" s="34">
        <v>1</v>
      </c>
      <c r="O81" s="34">
        <v>1</v>
      </c>
      <c r="P81" s="34">
        <v>1</v>
      </c>
      <c r="Q81" s="34">
        <v>1</v>
      </c>
      <c r="R81" s="34">
        <v>1</v>
      </c>
      <c r="S81" s="34">
        <v>1</v>
      </c>
      <c r="T81" s="34">
        <v>1</v>
      </c>
      <c r="U81" s="34">
        <v>1</v>
      </c>
      <c r="V81" s="34">
        <v>1</v>
      </c>
      <c r="W81" s="34">
        <v>1</v>
      </c>
      <c r="X81" s="34">
        <v>1</v>
      </c>
      <c r="Y81" s="34">
        <v>1</v>
      </c>
      <c r="Z81" s="34">
        <v>1</v>
      </c>
      <c r="AA81" s="34">
        <v>1</v>
      </c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10">
        <f t="shared" si="3"/>
        <v>14</v>
      </c>
      <c r="AM81" s="11">
        <v>32000</v>
      </c>
      <c r="AN81" s="12">
        <f t="shared" si="4"/>
        <v>448000</v>
      </c>
    </row>
    <row r="82" spans="1:40">
      <c r="A82" s="50" t="s">
        <v>98</v>
      </c>
      <c r="B82" s="32">
        <v>85</v>
      </c>
      <c r="C82" s="33" t="s">
        <v>184</v>
      </c>
      <c r="D82" s="33" t="s">
        <v>185</v>
      </c>
      <c r="E82" s="33" t="s">
        <v>186</v>
      </c>
      <c r="F82" s="32">
        <v>11922228</v>
      </c>
      <c r="G82" s="47"/>
      <c r="H82" s="47"/>
      <c r="I82" s="47"/>
      <c r="J82" s="47"/>
      <c r="K82" s="47"/>
      <c r="L82" s="47"/>
      <c r="M82" s="47"/>
      <c r="N82" s="47"/>
      <c r="O82" s="34">
        <v>1</v>
      </c>
      <c r="P82" s="34">
        <v>1</v>
      </c>
      <c r="Q82" s="34">
        <v>1</v>
      </c>
      <c r="R82" s="34">
        <v>1</v>
      </c>
      <c r="S82" s="34">
        <v>1</v>
      </c>
      <c r="T82" s="34">
        <v>1</v>
      </c>
      <c r="U82" s="34">
        <v>1</v>
      </c>
      <c r="V82" s="34">
        <v>1</v>
      </c>
      <c r="W82" s="34">
        <v>1</v>
      </c>
      <c r="X82" s="34">
        <v>1</v>
      </c>
      <c r="Y82" s="34">
        <v>1</v>
      </c>
      <c r="Z82" s="34">
        <v>1</v>
      </c>
      <c r="AA82" s="34">
        <v>1</v>
      </c>
      <c r="AB82" s="34">
        <v>1</v>
      </c>
      <c r="AC82" s="47"/>
      <c r="AD82" s="47"/>
      <c r="AE82" s="47"/>
      <c r="AF82" s="47"/>
      <c r="AG82" s="47"/>
      <c r="AH82" s="47"/>
      <c r="AI82" s="47"/>
      <c r="AJ82" s="47"/>
      <c r="AK82" s="47"/>
      <c r="AL82" s="10">
        <f t="shared" si="3"/>
        <v>14</v>
      </c>
      <c r="AM82" s="11">
        <v>32000</v>
      </c>
      <c r="AN82" s="12">
        <f t="shared" si="4"/>
        <v>448000</v>
      </c>
    </row>
    <row r="83" spans="1:40">
      <c r="A83" s="50" t="s">
        <v>98</v>
      </c>
      <c r="B83" s="32">
        <v>85</v>
      </c>
      <c r="C83" s="33" t="s">
        <v>187</v>
      </c>
      <c r="D83" s="33" t="s">
        <v>188</v>
      </c>
      <c r="E83" s="33" t="s">
        <v>189</v>
      </c>
      <c r="F83" s="32">
        <v>124847189</v>
      </c>
      <c r="G83" s="47"/>
      <c r="H83" s="47"/>
      <c r="I83" s="47"/>
      <c r="J83" s="47"/>
      <c r="K83" s="47"/>
      <c r="L83" s="47"/>
      <c r="M83" s="47"/>
      <c r="N83" s="34">
        <v>1</v>
      </c>
      <c r="O83" s="34">
        <v>1</v>
      </c>
      <c r="P83" s="34">
        <v>1</v>
      </c>
      <c r="Q83" s="34">
        <v>1</v>
      </c>
      <c r="R83" s="34">
        <v>1</v>
      </c>
      <c r="S83" s="34">
        <v>1</v>
      </c>
      <c r="T83" s="34">
        <v>1</v>
      </c>
      <c r="U83" s="34">
        <v>1</v>
      </c>
      <c r="V83" s="34">
        <v>1</v>
      </c>
      <c r="W83" s="34">
        <v>1</v>
      </c>
      <c r="X83" s="34">
        <v>1</v>
      </c>
      <c r="Y83" s="34">
        <v>1</v>
      </c>
      <c r="Z83" s="34">
        <v>1</v>
      </c>
      <c r="AA83" s="34">
        <v>1</v>
      </c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10">
        <f t="shared" si="3"/>
        <v>14</v>
      </c>
      <c r="AM83" s="11">
        <v>32000</v>
      </c>
      <c r="AN83" s="12">
        <f t="shared" si="4"/>
        <v>448000</v>
      </c>
    </row>
    <row r="84" spans="1:40">
      <c r="A84" s="50" t="s">
        <v>98</v>
      </c>
      <c r="B84" s="32">
        <v>72</v>
      </c>
      <c r="C84" s="33" t="s">
        <v>396</v>
      </c>
      <c r="D84" s="33" t="s">
        <v>397</v>
      </c>
      <c r="E84" s="33" t="s">
        <v>361</v>
      </c>
      <c r="F84" s="32" t="s">
        <v>398</v>
      </c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34">
        <v>1</v>
      </c>
      <c r="W84" s="34">
        <v>1</v>
      </c>
      <c r="X84" s="34">
        <v>1</v>
      </c>
      <c r="Y84" s="34">
        <v>1</v>
      </c>
      <c r="Z84" s="34">
        <v>1</v>
      </c>
      <c r="AA84" s="34">
        <v>1</v>
      </c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10">
        <f t="shared" si="3"/>
        <v>6</v>
      </c>
      <c r="AM84" s="11">
        <v>32000</v>
      </c>
      <c r="AN84" s="12">
        <f t="shared" si="4"/>
        <v>192000</v>
      </c>
    </row>
    <row r="85" spans="1:40">
      <c r="A85" s="50" t="s">
        <v>98</v>
      </c>
      <c r="B85" s="32">
        <v>72</v>
      </c>
      <c r="C85" s="33" t="s">
        <v>145</v>
      </c>
      <c r="D85" s="33" t="s">
        <v>395</v>
      </c>
      <c r="E85" s="33" t="s">
        <v>68</v>
      </c>
      <c r="F85" s="32" t="s">
        <v>400</v>
      </c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34">
        <v>1</v>
      </c>
      <c r="W85" s="34">
        <v>1</v>
      </c>
      <c r="X85" s="34">
        <v>1</v>
      </c>
      <c r="Y85" s="34">
        <v>1</v>
      </c>
      <c r="Z85" s="34">
        <v>1</v>
      </c>
      <c r="AA85" s="34">
        <v>1</v>
      </c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10">
        <f t="shared" si="3"/>
        <v>6</v>
      </c>
      <c r="AM85" s="11">
        <v>32000</v>
      </c>
      <c r="AN85" s="12">
        <f t="shared" si="4"/>
        <v>192000</v>
      </c>
    </row>
    <row r="86" spans="1:40">
      <c r="A86" s="50" t="s">
        <v>98</v>
      </c>
      <c r="B86" s="32">
        <v>75</v>
      </c>
      <c r="C86" s="33" t="s">
        <v>261</v>
      </c>
      <c r="D86" s="33" t="s">
        <v>411</v>
      </c>
      <c r="E86" s="33" t="s">
        <v>412</v>
      </c>
      <c r="F86" s="32" t="s">
        <v>413</v>
      </c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34">
        <v>1</v>
      </c>
      <c r="W86" s="34">
        <v>1</v>
      </c>
      <c r="X86" s="34">
        <v>1</v>
      </c>
      <c r="Y86" s="34">
        <v>1</v>
      </c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10">
        <f t="shared" si="3"/>
        <v>4</v>
      </c>
      <c r="AM86" s="11">
        <v>32000</v>
      </c>
      <c r="AN86" s="12">
        <f t="shared" si="4"/>
        <v>128000</v>
      </c>
    </row>
    <row r="87" spans="1:40">
      <c r="A87" s="50" t="s">
        <v>98</v>
      </c>
      <c r="B87" s="32">
        <v>75</v>
      </c>
      <c r="C87" s="33" t="s">
        <v>414</v>
      </c>
      <c r="D87" s="33" t="s">
        <v>16</v>
      </c>
      <c r="E87" s="33" t="s">
        <v>415</v>
      </c>
      <c r="F87" s="32" t="s">
        <v>428</v>
      </c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34">
        <v>1</v>
      </c>
      <c r="W87" s="34">
        <v>1</v>
      </c>
      <c r="X87" s="34">
        <v>1</v>
      </c>
      <c r="Y87" s="34">
        <v>1</v>
      </c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10">
        <f t="shared" si="3"/>
        <v>4</v>
      </c>
      <c r="AM87" s="11">
        <v>32000</v>
      </c>
      <c r="AN87" s="12">
        <f t="shared" si="4"/>
        <v>128000</v>
      </c>
    </row>
    <row r="88" spans="1:40">
      <c r="A88" s="50" t="s">
        <v>98</v>
      </c>
      <c r="B88" s="32">
        <v>76</v>
      </c>
      <c r="C88" s="33" t="s">
        <v>13</v>
      </c>
      <c r="D88" s="33" t="s">
        <v>28</v>
      </c>
      <c r="E88" s="33" t="s">
        <v>11</v>
      </c>
      <c r="F88" s="32" t="s">
        <v>427</v>
      </c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34">
        <v>1</v>
      </c>
      <c r="W88" s="34">
        <v>1</v>
      </c>
      <c r="X88" s="34">
        <v>1</v>
      </c>
      <c r="Y88" s="34">
        <v>1</v>
      </c>
      <c r="Z88" s="34">
        <v>1</v>
      </c>
      <c r="AA88" s="34">
        <v>1</v>
      </c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10">
        <f t="shared" si="3"/>
        <v>6</v>
      </c>
      <c r="AM88" s="11">
        <v>32000</v>
      </c>
      <c r="AN88" s="12">
        <f t="shared" si="4"/>
        <v>192000</v>
      </c>
    </row>
    <row r="89" spans="1:40">
      <c r="A89" s="50" t="s">
        <v>98</v>
      </c>
      <c r="B89" s="32">
        <v>76</v>
      </c>
      <c r="C89" s="33" t="s">
        <v>8</v>
      </c>
      <c r="D89" s="33" t="s">
        <v>416</v>
      </c>
      <c r="E89" s="33" t="s">
        <v>15</v>
      </c>
      <c r="F89" s="32" t="s">
        <v>426</v>
      </c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34">
        <v>1</v>
      </c>
      <c r="W89" s="34">
        <v>1</v>
      </c>
      <c r="X89" s="34">
        <v>1</v>
      </c>
      <c r="Y89" s="34">
        <v>1</v>
      </c>
      <c r="Z89" s="34">
        <v>1</v>
      </c>
      <c r="AA89" s="34">
        <v>1</v>
      </c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10">
        <f t="shared" si="3"/>
        <v>6</v>
      </c>
      <c r="AM89" s="11">
        <v>32000</v>
      </c>
      <c r="AN89" s="12">
        <f t="shared" si="4"/>
        <v>192000</v>
      </c>
    </row>
    <row r="90" spans="1:40">
      <c r="A90" s="50" t="s">
        <v>98</v>
      </c>
      <c r="B90" s="32">
        <v>78</v>
      </c>
      <c r="C90" s="33" t="s">
        <v>155</v>
      </c>
      <c r="D90" s="33" t="s">
        <v>417</v>
      </c>
      <c r="E90" s="33" t="s">
        <v>9</v>
      </c>
      <c r="F90" s="32" t="s">
        <v>425</v>
      </c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34">
        <v>1</v>
      </c>
      <c r="W90" s="34">
        <v>1</v>
      </c>
      <c r="X90" s="34">
        <v>1</v>
      </c>
      <c r="Y90" s="34">
        <v>1</v>
      </c>
      <c r="Z90" s="34">
        <v>1</v>
      </c>
      <c r="AA90" s="34">
        <v>1</v>
      </c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10">
        <f t="shared" si="3"/>
        <v>6</v>
      </c>
      <c r="AM90" s="11">
        <v>32000</v>
      </c>
      <c r="AN90" s="12">
        <f t="shared" si="4"/>
        <v>192000</v>
      </c>
    </row>
    <row r="91" spans="1:40">
      <c r="A91" s="50" t="s">
        <v>98</v>
      </c>
      <c r="B91" s="32">
        <v>78</v>
      </c>
      <c r="C91" s="33" t="s">
        <v>418</v>
      </c>
      <c r="D91" s="33" t="s">
        <v>196</v>
      </c>
      <c r="E91" s="33" t="s">
        <v>419</v>
      </c>
      <c r="F91" s="32" t="s">
        <v>424</v>
      </c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34">
        <v>1</v>
      </c>
      <c r="W91" s="34">
        <v>1</v>
      </c>
      <c r="X91" s="34">
        <v>1</v>
      </c>
      <c r="Y91" s="34">
        <v>1</v>
      </c>
      <c r="Z91" s="34">
        <v>1</v>
      </c>
      <c r="AA91" s="34">
        <v>1</v>
      </c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10">
        <f t="shared" si="3"/>
        <v>6</v>
      </c>
      <c r="AM91" s="11">
        <v>32000</v>
      </c>
      <c r="AN91" s="12">
        <f t="shared" si="4"/>
        <v>192000</v>
      </c>
    </row>
    <row r="92" spans="1:40">
      <c r="A92" s="50" t="s">
        <v>98</v>
      </c>
      <c r="B92" s="32">
        <v>82</v>
      </c>
      <c r="C92" s="33" t="s">
        <v>17</v>
      </c>
      <c r="D92" s="33" t="s">
        <v>158</v>
      </c>
      <c r="E92" s="33" t="s">
        <v>159</v>
      </c>
      <c r="F92" s="32">
        <v>124796754</v>
      </c>
      <c r="G92" s="47"/>
      <c r="H92" s="47"/>
      <c r="I92" s="47"/>
      <c r="J92" s="47"/>
      <c r="K92" s="47"/>
      <c r="L92" s="47"/>
      <c r="M92" s="47"/>
      <c r="N92" s="34">
        <v>1</v>
      </c>
      <c r="O92" s="34">
        <v>1</v>
      </c>
      <c r="P92" s="34">
        <v>1</v>
      </c>
      <c r="Q92" s="34">
        <v>1</v>
      </c>
      <c r="R92" s="34">
        <v>1</v>
      </c>
      <c r="S92" s="34">
        <v>1</v>
      </c>
      <c r="T92" s="34">
        <v>1</v>
      </c>
      <c r="U92" s="34">
        <v>1</v>
      </c>
      <c r="V92" s="34">
        <v>1</v>
      </c>
      <c r="W92" s="34">
        <v>1</v>
      </c>
      <c r="X92" s="34">
        <v>1</v>
      </c>
      <c r="Y92" s="34">
        <v>1</v>
      </c>
      <c r="Z92" s="34">
        <v>1</v>
      </c>
      <c r="AA92" s="34">
        <v>1</v>
      </c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10">
        <f t="shared" si="3"/>
        <v>14</v>
      </c>
      <c r="AM92" s="11">
        <v>32000</v>
      </c>
      <c r="AN92" s="12">
        <f t="shared" si="4"/>
        <v>448000</v>
      </c>
    </row>
    <row r="93" spans="1:40">
      <c r="A93" s="50" t="s">
        <v>98</v>
      </c>
      <c r="B93" s="32">
        <v>82</v>
      </c>
      <c r="C93" s="33" t="s">
        <v>160</v>
      </c>
      <c r="D93" s="33" t="s">
        <v>161</v>
      </c>
      <c r="E93" s="33" t="s">
        <v>162</v>
      </c>
      <c r="F93" s="32">
        <v>123525417</v>
      </c>
      <c r="G93" s="47"/>
      <c r="H93" s="47"/>
      <c r="I93" s="47"/>
      <c r="J93" s="47"/>
      <c r="K93" s="47"/>
      <c r="L93" s="47"/>
      <c r="M93" s="47"/>
      <c r="N93" s="34">
        <v>1</v>
      </c>
      <c r="O93" s="34">
        <v>1</v>
      </c>
      <c r="P93" s="34">
        <v>1</v>
      </c>
      <c r="Q93" s="34">
        <v>1</v>
      </c>
      <c r="R93" s="34">
        <v>1</v>
      </c>
      <c r="S93" s="34">
        <v>1</v>
      </c>
      <c r="T93" s="34">
        <v>1</v>
      </c>
      <c r="U93" s="34">
        <v>1</v>
      </c>
      <c r="V93" s="34">
        <v>1</v>
      </c>
      <c r="W93" s="34">
        <v>1</v>
      </c>
      <c r="X93" s="34">
        <v>1</v>
      </c>
      <c r="Y93" s="34">
        <v>1</v>
      </c>
      <c r="Z93" s="34">
        <v>1</v>
      </c>
      <c r="AA93" s="34">
        <v>1</v>
      </c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10">
        <f t="shared" si="3"/>
        <v>14</v>
      </c>
      <c r="AM93" s="11">
        <v>32000</v>
      </c>
      <c r="AN93" s="12">
        <f t="shared" si="4"/>
        <v>448000</v>
      </c>
    </row>
    <row r="94" spans="1:40">
      <c r="A94" s="50" t="s">
        <v>98</v>
      </c>
      <c r="B94" s="32">
        <v>83</v>
      </c>
      <c r="C94" s="33" t="s">
        <v>163</v>
      </c>
      <c r="D94" s="33" t="s">
        <v>164</v>
      </c>
      <c r="E94" s="33" t="s">
        <v>165</v>
      </c>
      <c r="F94" s="32">
        <v>122461560</v>
      </c>
      <c r="G94" s="47"/>
      <c r="H94" s="47"/>
      <c r="I94" s="47"/>
      <c r="J94" s="47"/>
      <c r="K94" s="47"/>
      <c r="L94" s="47"/>
      <c r="M94" s="47"/>
      <c r="N94" s="34">
        <v>1</v>
      </c>
      <c r="O94" s="34">
        <v>1</v>
      </c>
      <c r="P94" s="34">
        <v>1</v>
      </c>
      <c r="Q94" s="34">
        <v>1</v>
      </c>
      <c r="R94" s="34">
        <v>1</v>
      </c>
      <c r="S94" s="34">
        <v>1</v>
      </c>
      <c r="T94" s="34">
        <v>1</v>
      </c>
      <c r="U94" s="34">
        <v>1</v>
      </c>
      <c r="V94" s="34">
        <v>1</v>
      </c>
      <c r="W94" s="34">
        <v>1</v>
      </c>
      <c r="X94" s="34">
        <v>1</v>
      </c>
      <c r="Y94" s="34">
        <v>1</v>
      </c>
      <c r="Z94" s="34">
        <v>1</v>
      </c>
      <c r="AA94" s="34">
        <v>1</v>
      </c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10">
        <f t="shared" si="3"/>
        <v>14</v>
      </c>
      <c r="AM94" s="11">
        <v>32000</v>
      </c>
      <c r="AN94" s="12">
        <f t="shared" si="4"/>
        <v>448000</v>
      </c>
    </row>
    <row r="95" spans="1:40">
      <c r="A95" s="50" t="s">
        <v>98</v>
      </c>
      <c r="B95" s="32">
        <v>83</v>
      </c>
      <c r="C95" s="33" t="s">
        <v>166</v>
      </c>
      <c r="D95" s="33" t="s">
        <v>167</v>
      </c>
      <c r="E95" s="33" t="s">
        <v>168</v>
      </c>
      <c r="F95" s="32">
        <v>124931215</v>
      </c>
      <c r="G95" s="47"/>
      <c r="H95" s="47"/>
      <c r="I95" s="47"/>
      <c r="J95" s="47"/>
      <c r="K95" s="47"/>
      <c r="L95" s="47"/>
      <c r="M95" s="47"/>
      <c r="N95" s="34">
        <v>1</v>
      </c>
      <c r="O95" s="34">
        <v>1</v>
      </c>
      <c r="P95" s="34">
        <v>1</v>
      </c>
      <c r="Q95" s="34">
        <v>1</v>
      </c>
      <c r="R95" s="34">
        <v>1</v>
      </c>
      <c r="S95" s="34">
        <v>1</v>
      </c>
      <c r="T95" s="34">
        <v>1</v>
      </c>
      <c r="U95" s="34">
        <v>1</v>
      </c>
      <c r="V95" s="34">
        <v>1</v>
      </c>
      <c r="W95" s="34">
        <v>1</v>
      </c>
      <c r="X95" s="34">
        <v>1</v>
      </c>
      <c r="Y95" s="34">
        <v>1</v>
      </c>
      <c r="Z95" s="34">
        <v>1</v>
      </c>
      <c r="AA95" s="34">
        <v>1</v>
      </c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10">
        <f t="shared" si="3"/>
        <v>14</v>
      </c>
      <c r="AM95" s="11">
        <v>32000</v>
      </c>
      <c r="AN95" s="12">
        <f t="shared" si="4"/>
        <v>448000</v>
      </c>
    </row>
    <row r="96" spans="1:40">
      <c r="A96" s="50" t="s">
        <v>98</v>
      </c>
      <c r="B96" s="32">
        <v>81</v>
      </c>
      <c r="C96" s="33" t="s">
        <v>420</v>
      </c>
      <c r="D96" s="33" t="s">
        <v>421</v>
      </c>
      <c r="E96" s="33" t="s">
        <v>422</v>
      </c>
      <c r="F96" s="32" t="s">
        <v>423</v>
      </c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34">
        <v>1</v>
      </c>
      <c r="V96" s="34">
        <v>1</v>
      </c>
      <c r="W96" s="34">
        <v>1</v>
      </c>
      <c r="X96" s="34">
        <v>1</v>
      </c>
      <c r="Y96" s="34">
        <v>1</v>
      </c>
      <c r="Z96" s="34">
        <v>1</v>
      </c>
      <c r="AA96" s="34">
        <v>1</v>
      </c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10">
        <f t="shared" si="3"/>
        <v>7</v>
      </c>
      <c r="AM96" s="11">
        <v>32000</v>
      </c>
      <c r="AN96" s="12">
        <f t="shared" si="4"/>
        <v>224000</v>
      </c>
    </row>
    <row r="97" spans="1:40">
      <c r="A97" s="50" t="s">
        <v>98</v>
      </c>
      <c r="B97" s="32">
        <v>81</v>
      </c>
      <c r="C97" s="33" t="s">
        <v>394</v>
      </c>
      <c r="D97" s="33" t="s">
        <v>122</v>
      </c>
      <c r="E97" s="33" t="s">
        <v>393</v>
      </c>
      <c r="F97" s="32" t="s">
        <v>401</v>
      </c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34">
        <v>1</v>
      </c>
      <c r="V97" s="34">
        <v>1</v>
      </c>
      <c r="W97" s="34">
        <v>1</v>
      </c>
      <c r="X97" s="34">
        <v>1</v>
      </c>
      <c r="Y97" s="34">
        <v>1</v>
      </c>
      <c r="Z97" s="34">
        <v>1</v>
      </c>
      <c r="AA97" s="34">
        <v>1</v>
      </c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10">
        <f t="shared" si="3"/>
        <v>7</v>
      </c>
      <c r="AM97" s="11">
        <v>32000</v>
      </c>
      <c r="AN97" s="12">
        <f t="shared" si="4"/>
        <v>224000</v>
      </c>
    </row>
    <row r="98" spans="1:40">
      <c r="A98" s="50" t="s">
        <v>98</v>
      </c>
      <c r="B98" s="32">
        <v>88</v>
      </c>
      <c r="C98" s="33" t="s">
        <v>353</v>
      </c>
      <c r="D98" s="33" t="s">
        <v>354</v>
      </c>
      <c r="E98" s="33" t="s">
        <v>338</v>
      </c>
      <c r="F98" s="32" t="s">
        <v>372</v>
      </c>
      <c r="G98" s="47"/>
      <c r="H98" s="47"/>
      <c r="I98" s="47"/>
      <c r="J98" s="47"/>
      <c r="K98" s="47"/>
      <c r="L98" s="47"/>
      <c r="M98" s="47"/>
      <c r="N98" s="34">
        <v>1</v>
      </c>
      <c r="O98" s="34">
        <v>1</v>
      </c>
      <c r="P98" s="34">
        <v>1</v>
      </c>
      <c r="Q98" s="34">
        <v>1</v>
      </c>
      <c r="R98" s="34">
        <v>1</v>
      </c>
      <c r="S98" s="34">
        <v>1</v>
      </c>
      <c r="T98" s="34">
        <v>1</v>
      </c>
      <c r="U98" s="34">
        <v>1</v>
      </c>
      <c r="V98" s="34">
        <v>1</v>
      </c>
      <c r="W98" s="34">
        <v>1</v>
      </c>
      <c r="X98" s="34">
        <v>1</v>
      </c>
      <c r="Y98" s="34">
        <v>1</v>
      </c>
      <c r="Z98" s="34">
        <v>1</v>
      </c>
      <c r="AA98" s="34">
        <v>1</v>
      </c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10">
        <f t="shared" si="3"/>
        <v>14</v>
      </c>
      <c r="AM98" s="11">
        <v>32000</v>
      </c>
      <c r="AN98" s="12">
        <f t="shared" si="4"/>
        <v>448000</v>
      </c>
    </row>
    <row r="99" spans="1:40">
      <c r="A99" s="50" t="s">
        <v>98</v>
      </c>
      <c r="B99" s="32">
        <v>88</v>
      </c>
      <c r="C99" s="33" t="s">
        <v>355</v>
      </c>
      <c r="D99" s="33" t="s">
        <v>356</v>
      </c>
      <c r="E99" s="33" t="s">
        <v>357</v>
      </c>
      <c r="F99" s="32" t="s">
        <v>371</v>
      </c>
      <c r="G99" s="47"/>
      <c r="H99" s="47"/>
      <c r="I99" s="47"/>
      <c r="J99" s="47"/>
      <c r="K99" s="47"/>
      <c r="L99" s="47"/>
      <c r="M99" s="47"/>
      <c r="N99" s="34">
        <v>1</v>
      </c>
      <c r="O99" s="34">
        <v>1</v>
      </c>
      <c r="P99" s="34">
        <v>1</v>
      </c>
      <c r="Q99" s="34">
        <v>1</v>
      </c>
      <c r="R99" s="34">
        <v>1</v>
      </c>
      <c r="S99" s="34">
        <v>1</v>
      </c>
      <c r="T99" s="34">
        <v>1</v>
      </c>
      <c r="U99" s="34">
        <v>1</v>
      </c>
      <c r="V99" s="34">
        <v>1</v>
      </c>
      <c r="W99" s="34">
        <v>1</v>
      </c>
      <c r="X99" s="34">
        <v>1</v>
      </c>
      <c r="Y99" s="34">
        <v>1</v>
      </c>
      <c r="Z99" s="34">
        <v>1</v>
      </c>
      <c r="AA99" s="34">
        <v>1</v>
      </c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10">
        <f t="shared" si="3"/>
        <v>14</v>
      </c>
      <c r="AM99" s="11">
        <v>32000</v>
      </c>
      <c r="AN99" s="12">
        <f t="shared" si="4"/>
        <v>448000</v>
      </c>
    </row>
    <row r="100" spans="1:40">
      <c r="A100" s="50" t="s">
        <v>98</v>
      </c>
      <c r="B100" s="32">
        <v>89</v>
      </c>
      <c r="C100" s="33" t="s">
        <v>218</v>
      </c>
      <c r="D100" s="33" t="s">
        <v>358</v>
      </c>
      <c r="E100" s="33" t="s">
        <v>43</v>
      </c>
      <c r="F100" s="32" t="s">
        <v>370</v>
      </c>
      <c r="G100" s="47"/>
      <c r="H100" s="47"/>
      <c r="I100" s="47"/>
      <c r="J100" s="47"/>
      <c r="K100" s="47"/>
      <c r="L100" s="47"/>
      <c r="M100" s="47"/>
      <c r="N100" s="34">
        <v>1</v>
      </c>
      <c r="O100" s="34">
        <v>1</v>
      </c>
      <c r="P100" s="34">
        <v>1</v>
      </c>
      <c r="Q100" s="34">
        <v>1</v>
      </c>
      <c r="R100" s="34">
        <v>1</v>
      </c>
      <c r="S100" s="34">
        <v>1</v>
      </c>
      <c r="T100" s="34">
        <v>1</v>
      </c>
      <c r="U100" s="34">
        <v>1</v>
      </c>
      <c r="V100" s="34">
        <v>1</v>
      </c>
      <c r="W100" s="34">
        <v>1</v>
      </c>
      <c r="X100" s="34">
        <v>1</v>
      </c>
      <c r="Y100" s="34">
        <v>1</v>
      </c>
      <c r="Z100" s="34">
        <v>1</v>
      </c>
      <c r="AA100" s="34">
        <v>1</v>
      </c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10">
        <f t="shared" si="3"/>
        <v>14</v>
      </c>
      <c r="AM100" s="11">
        <v>32000</v>
      </c>
      <c r="AN100" s="12">
        <f t="shared" si="4"/>
        <v>448000</v>
      </c>
    </row>
    <row r="101" spans="1:40">
      <c r="A101" s="50" t="s">
        <v>98</v>
      </c>
      <c r="B101" s="32">
        <v>89</v>
      </c>
      <c r="C101" s="33" t="s">
        <v>346</v>
      </c>
      <c r="D101" s="33" t="s">
        <v>67</v>
      </c>
      <c r="E101" s="33" t="s">
        <v>359</v>
      </c>
      <c r="F101" s="32" t="s">
        <v>369</v>
      </c>
      <c r="G101" s="47"/>
      <c r="H101" s="47"/>
      <c r="I101" s="47"/>
      <c r="J101" s="47"/>
      <c r="K101" s="47"/>
      <c r="L101" s="47"/>
      <c r="M101" s="47"/>
      <c r="N101" s="34">
        <v>1</v>
      </c>
      <c r="O101" s="34">
        <v>1</v>
      </c>
      <c r="P101" s="34">
        <v>1</v>
      </c>
      <c r="Q101" s="34">
        <v>1</v>
      </c>
      <c r="R101" s="34">
        <v>1</v>
      </c>
      <c r="S101" s="34">
        <v>1</v>
      </c>
      <c r="T101" s="34">
        <v>1</v>
      </c>
      <c r="U101" s="34">
        <v>1</v>
      </c>
      <c r="V101" s="34">
        <v>1</v>
      </c>
      <c r="W101" s="34">
        <v>1</v>
      </c>
      <c r="X101" s="34">
        <v>1</v>
      </c>
      <c r="Y101" s="34">
        <v>1</v>
      </c>
      <c r="Z101" s="34">
        <v>1</v>
      </c>
      <c r="AA101" s="34">
        <v>1</v>
      </c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10">
        <f t="shared" si="3"/>
        <v>14</v>
      </c>
      <c r="AM101" s="11">
        <v>32000</v>
      </c>
      <c r="AN101" s="12">
        <f t="shared" si="4"/>
        <v>448000</v>
      </c>
    </row>
    <row r="102" spans="1:40">
      <c r="A102" s="50" t="s">
        <v>98</v>
      </c>
      <c r="B102" s="32">
        <v>97</v>
      </c>
      <c r="C102" s="33" t="s">
        <v>141</v>
      </c>
      <c r="D102" s="33" t="s">
        <v>209</v>
      </c>
      <c r="E102" s="33" t="s">
        <v>26</v>
      </c>
      <c r="F102" s="32">
        <v>450991894</v>
      </c>
      <c r="G102" s="47"/>
      <c r="H102" s="47"/>
      <c r="I102" s="47"/>
      <c r="J102" s="47"/>
      <c r="K102" s="47"/>
      <c r="L102" s="47"/>
      <c r="M102" s="47"/>
      <c r="N102" s="34">
        <v>1</v>
      </c>
      <c r="O102" s="34">
        <v>1</v>
      </c>
      <c r="P102" s="34">
        <v>1</v>
      </c>
      <c r="Q102" s="34">
        <v>1</v>
      </c>
      <c r="R102" s="34">
        <v>1</v>
      </c>
      <c r="S102" s="34">
        <v>1</v>
      </c>
      <c r="T102" s="34">
        <v>1</v>
      </c>
      <c r="U102" s="34">
        <v>1</v>
      </c>
      <c r="V102" s="34">
        <v>1</v>
      </c>
      <c r="W102" s="34">
        <v>1</v>
      </c>
      <c r="X102" s="34">
        <v>1</v>
      </c>
      <c r="Y102" s="34">
        <v>1</v>
      </c>
      <c r="Z102" s="34">
        <v>1</v>
      </c>
      <c r="AA102" s="34">
        <v>1</v>
      </c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10">
        <f t="shared" si="3"/>
        <v>14</v>
      </c>
      <c r="AM102" s="11">
        <v>32000</v>
      </c>
      <c r="AN102" s="12">
        <f t="shared" si="4"/>
        <v>448000</v>
      </c>
    </row>
    <row r="103" spans="1:40">
      <c r="A103" s="50" t="s">
        <v>98</v>
      </c>
      <c r="B103" s="32">
        <v>97</v>
      </c>
      <c r="C103" s="33" t="s">
        <v>299</v>
      </c>
      <c r="D103" s="33" t="s">
        <v>300</v>
      </c>
      <c r="E103" s="33" t="s">
        <v>11</v>
      </c>
      <c r="F103" s="32" t="s">
        <v>301</v>
      </c>
      <c r="G103" s="47"/>
      <c r="H103" s="47"/>
      <c r="I103" s="47"/>
      <c r="J103" s="47"/>
      <c r="K103" s="47"/>
      <c r="L103" s="47"/>
      <c r="M103" s="47"/>
      <c r="N103" s="34">
        <v>1</v>
      </c>
      <c r="O103" s="34">
        <v>1</v>
      </c>
      <c r="P103" s="34">
        <v>1</v>
      </c>
      <c r="Q103" s="34">
        <v>1</v>
      </c>
      <c r="R103" s="34">
        <v>1</v>
      </c>
      <c r="S103" s="34">
        <v>1</v>
      </c>
      <c r="T103" s="34">
        <v>1</v>
      </c>
      <c r="U103" s="34">
        <v>1</v>
      </c>
      <c r="V103" s="34">
        <v>1</v>
      </c>
      <c r="W103" s="34">
        <v>1</v>
      </c>
      <c r="X103" s="34">
        <v>1</v>
      </c>
      <c r="Y103" s="34">
        <v>1</v>
      </c>
      <c r="Z103" s="34">
        <v>1</v>
      </c>
      <c r="AA103" s="34">
        <v>1</v>
      </c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10">
        <f t="shared" si="3"/>
        <v>14</v>
      </c>
      <c r="AM103" s="11">
        <v>32000</v>
      </c>
      <c r="AN103" s="12">
        <f t="shared" si="4"/>
        <v>448000</v>
      </c>
    </row>
    <row r="104" spans="1:40">
      <c r="A104" s="50" t="s">
        <v>98</v>
      </c>
      <c r="B104" s="32">
        <v>98</v>
      </c>
      <c r="C104" s="33" t="s">
        <v>203</v>
      </c>
      <c r="D104" s="33" t="s">
        <v>204</v>
      </c>
      <c r="E104" s="33" t="s">
        <v>205</v>
      </c>
      <c r="F104" s="32">
        <v>45359428</v>
      </c>
      <c r="G104" s="47"/>
      <c r="H104" s="47"/>
      <c r="I104" s="47"/>
      <c r="J104" s="47"/>
      <c r="K104" s="47"/>
      <c r="L104" s="47"/>
      <c r="M104" s="47"/>
      <c r="N104" s="34">
        <v>1</v>
      </c>
      <c r="O104" s="34">
        <v>1</v>
      </c>
      <c r="P104" s="34">
        <v>1</v>
      </c>
      <c r="Q104" s="34">
        <v>1</v>
      </c>
      <c r="R104" s="34">
        <v>1</v>
      </c>
      <c r="S104" s="34">
        <v>1</v>
      </c>
      <c r="T104" s="34">
        <v>1</v>
      </c>
      <c r="U104" s="34">
        <v>1</v>
      </c>
      <c r="V104" s="34">
        <v>1</v>
      </c>
      <c r="W104" s="34">
        <v>1</v>
      </c>
      <c r="X104" s="34">
        <v>1</v>
      </c>
      <c r="Y104" s="34">
        <v>1</v>
      </c>
      <c r="Z104" s="34">
        <v>1</v>
      </c>
      <c r="AA104" s="34">
        <v>1</v>
      </c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10">
        <f t="shared" si="3"/>
        <v>14</v>
      </c>
      <c r="AM104" s="11">
        <v>32000</v>
      </c>
      <c r="AN104" s="12">
        <f t="shared" si="4"/>
        <v>448000</v>
      </c>
    </row>
    <row r="105" spans="1:40">
      <c r="A105" s="50" t="s">
        <v>98</v>
      </c>
      <c r="B105" s="32">
        <v>98</v>
      </c>
      <c r="C105" s="33" t="s">
        <v>206</v>
      </c>
      <c r="D105" s="33" t="s">
        <v>207</v>
      </c>
      <c r="E105" s="33" t="s">
        <v>208</v>
      </c>
      <c r="F105" s="32">
        <v>124908117</v>
      </c>
      <c r="G105" s="47"/>
      <c r="H105" s="47"/>
      <c r="I105" s="47"/>
      <c r="J105" s="47"/>
      <c r="K105" s="47"/>
      <c r="L105" s="47"/>
      <c r="M105" s="47"/>
      <c r="N105" s="34">
        <v>1</v>
      </c>
      <c r="O105" s="34">
        <v>1</v>
      </c>
      <c r="P105" s="34">
        <v>1</v>
      </c>
      <c r="Q105" s="34">
        <v>1</v>
      </c>
      <c r="R105" s="34">
        <v>1</v>
      </c>
      <c r="S105" s="34">
        <v>1</v>
      </c>
      <c r="T105" s="34">
        <v>1</v>
      </c>
      <c r="U105" s="34">
        <v>1</v>
      </c>
      <c r="V105" s="34">
        <v>1</v>
      </c>
      <c r="W105" s="34">
        <v>1</v>
      </c>
      <c r="X105" s="34">
        <v>1</v>
      </c>
      <c r="Y105" s="34">
        <v>1</v>
      </c>
      <c r="Z105" s="34">
        <v>1</v>
      </c>
      <c r="AA105" s="34">
        <v>1</v>
      </c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10">
        <f t="shared" si="3"/>
        <v>14</v>
      </c>
      <c r="AM105" s="11">
        <v>32000</v>
      </c>
      <c r="AN105" s="12">
        <f t="shared" si="4"/>
        <v>448000</v>
      </c>
    </row>
    <row r="106" spans="1:40">
      <c r="A106" s="50" t="s">
        <v>98</v>
      </c>
      <c r="B106" s="32">
        <v>99</v>
      </c>
      <c r="C106" s="33" t="s">
        <v>164</v>
      </c>
      <c r="D106" s="33" t="s">
        <v>199</v>
      </c>
      <c r="E106" s="33" t="s">
        <v>162</v>
      </c>
      <c r="F106" s="32">
        <v>44181783</v>
      </c>
      <c r="G106" s="47"/>
      <c r="H106" s="47"/>
      <c r="I106" s="47"/>
      <c r="J106" s="47"/>
      <c r="K106" s="47"/>
      <c r="L106" s="47"/>
      <c r="M106" s="47"/>
      <c r="N106" s="34">
        <v>1</v>
      </c>
      <c r="O106" s="34">
        <v>1</v>
      </c>
      <c r="P106" s="34">
        <v>1</v>
      </c>
      <c r="Q106" s="34">
        <v>1</v>
      </c>
      <c r="R106" s="34">
        <v>1</v>
      </c>
      <c r="S106" s="34">
        <v>1</v>
      </c>
      <c r="T106" s="34">
        <v>1</v>
      </c>
      <c r="U106" s="34">
        <v>1</v>
      </c>
      <c r="V106" s="34">
        <v>1</v>
      </c>
      <c r="W106" s="34">
        <v>1</v>
      </c>
      <c r="X106" s="34">
        <v>1</v>
      </c>
      <c r="Y106" s="34">
        <v>1</v>
      </c>
      <c r="Z106" s="34">
        <v>1</v>
      </c>
      <c r="AA106" s="34">
        <v>1</v>
      </c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10">
        <f t="shared" si="3"/>
        <v>14</v>
      </c>
      <c r="AM106" s="11">
        <v>32000</v>
      </c>
      <c r="AN106" s="12">
        <f t="shared" si="4"/>
        <v>448000</v>
      </c>
    </row>
    <row r="107" spans="1:40">
      <c r="A107" s="50" t="s">
        <v>98</v>
      </c>
      <c r="B107" s="32">
        <v>99</v>
      </c>
      <c r="C107" s="33" t="s">
        <v>200</v>
      </c>
      <c r="D107" s="33" t="s">
        <v>201</v>
      </c>
      <c r="E107" s="33" t="s">
        <v>202</v>
      </c>
      <c r="F107" s="32">
        <v>124847791</v>
      </c>
      <c r="G107" s="47"/>
      <c r="H107" s="47"/>
      <c r="I107" s="47"/>
      <c r="J107" s="47"/>
      <c r="K107" s="47"/>
      <c r="L107" s="47"/>
      <c r="M107" s="47"/>
      <c r="N107" s="34">
        <v>1</v>
      </c>
      <c r="O107" s="34">
        <v>1</v>
      </c>
      <c r="P107" s="34">
        <v>1</v>
      </c>
      <c r="Q107" s="34">
        <v>1</v>
      </c>
      <c r="R107" s="34">
        <v>1</v>
      </c>
      <c r="S107" s="34">
        <v>1</v>
      </c>
      <c r="T107" s="34">
        <v>1</v>
      </c>
      <c r="U107" s="34">
        <v>1</v>
      </c>
      <c r="V107" s="34">
        <v>1</v>
      </c>
      <c r="W107" s="34">
        <v>1</v>
      </c>
      <c r="X107" s="34">
        <v>1</v>
      </c>
      <c r="Y107" s="34">
        <v>1</v>
      </c>
      <c r="Z107" s="34">
        <v>1</v>
      </c>
      <c r="AA107" s="34">
        <v>1</v>
      </c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10">
        <f t="shared" si="3"/>
        <v>14</v>
      </c>
      <c r="AM107" s="11">
        <v>32000</v>
      </c>
      <c r="AN107" s="12">
        <f t="shared" si="4"/>
        <v>448000</v>
      </c>
    </row>
    <row r="108" spans="1:40">
      <c r="A108" s="53" t="s">
        <v>561</v>
      </c>
      <c r="B108" s="32">
        <v>11</v>
      </c>
      <c r="C108" s="33" t="s">
        <v>517</v>
      </c>
      <c r="D108" s="33" t="s">
        <v>70</v>
      </c>
      <c r="E108" s="33" t="s">
        <v>9</v>
      </c>
      <c r="F108" s="32" t="s">
        <v>518</v>
      </c>
      <c r="G108" s="47"/>
      <c r="H108" s="47"/>
      <c r="I108" s="47"/>
      <c r="J108" s="47"/>
      <c r="K108" s="47"/>
      <c r="L108" s="47"/>
      <c r="M108" s="47"/>
      <c r="N108" s="34">
        <v>1</v>
      </c>
      <c r="O108" s="34">
        <v>1</v>
      </c>
      <c r="P108" s="34">
        <v>1</v>
      </c>
      <c r="Q108" s="34">
        <v>1</v>
      </c>
      <c r="R108" s="34">
        <v>1</v>
      </c>
      <c r="S108" s="34">
        <v>1</v>
      </c>
      <c r="T108" s="34">
        <v>1</v>
      </c>
      <c r="U108" s="34">
        <v>1</v>
      </c>
      <c r="V108" s="34">
        <v>1</v>
      </c>
      <c r="W108" s="34">
        <v>1</v>
      </c>
      <c r="X108" s="34">
        <v>1</v>
      </c>
      <c r="Y108" s="34">
        <v>1</v>
      </c>
      <c r="Z108" s="34">
        <v>1</v>
      </c>
      <c r="AA108" s="34">
        <v>1</v>
      </c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3">
        <f t="shared" ref="AL108:AL126" si="5">SUM(G108:AK108)</f>
        <v>14</v>
      </c>
      <c r="AM108" s="11">
        <v>32000</v>
      </c>
      <c r="AN108" s="11">
        <f t="shared" si="4"/>
        <v>448000</v>
      </c>
    </row>
    <row r="109" spans="1:40">
      <c r="A109" s="53" t="s">
        <v>561</v>
      </c>
      <c r="B109" s="32">
        <v>11</v>
      </c>
      <c r="C109" s="33" t="s">
        <v>519</v>
      </c>
      <c r="D109" s="33" t="s">
        <v>520</v>
      </c>
      <c r="E109" s="33" t="s">
        <v>15</v>
      </c>
      <c r="F109" s="32" t="s">
        <v>521</v>
      </c>
      <c r="G109" s="47"/>
      <c r="H109" s="47"/>
      <c r="I109" s="47"/>
      <c r="J109" s="47"/>
      <c r="K109" s="47"/>
      <c r="L109" s="47"/>
      <c r="M109" s="47"/>
      <c r="N109" s="34">
        <v>1</v>
      </c>
      <c r="O109" s="34">
        <v>1</v>
      </c>
      <c r="P109" s="34">
        <v>1</v>
      </c>
      <c r="Q109" s="34">
        <v>1</v>
      </c>
      <c r="R109" s="34">
        <v>1</v>
      </c>
      <c r="S109" s="34">
        <v>1</v>
      </c>
      <c r="T109" s="34">
        <v>1</v>
      </c>
      <c r="U109" s="34">
        <v>1</v>
      </c>
      <c r="V109" s="34">
        <v>1</v>
      </c>
      <c r="W109" s="34">
        <v>1</v>
      </c>
      <c r="X109" s="34">
        <v>1</v>
      </c>
      <c r="Y109" s="34">
        <v>1</v>
      </c>
      <c r="Z109" s="34">
        <v>1</v>
      </c>
      <c r="AA109" s="34">
        <v>1</v>
      </c>
      <c r="AB109" s="59"/>
      <c r="AC109" s="59"/>
      <c r="AD109" s="59"/>
      <c r="AE109" s="59"/>
      <c r="AF109" s="47"/>
      <c r="AG109" s="47"/>
      <c r="AH109" s="47"/>
      <c r="AI109" s="47"/>
      <c r="AJ109" s="47"/>
      <c r="AK109" s="47"/>
      <c r="AL109" s="10">
        <f t="shared" si="5"/>
        <v>14</v>
      </c>
      <c r="AM109" s="11">
        <v>32000</v>
      </c>
      <c r="AN109" s="12">
        <f t="shared" si="4"/>
        <v>448000</v>
      </c>
    </row>
    <row r="110" spans="1:40">
      <c r="A110" s="53" t="s">
        <v>561</v>
      </c>
      <c r="B110" s="32">
        <v>15</v>
      </c>
      <c r="C110" s="33" t="s">
        <v>522</v>
      </c>
      <c r="D110" s="33" t="s">
        <v>523</v>
      </c>
      <c r="E110" s="33" t="s">
        <v>524</v>
      </c>
      <c r="F110" s="32" t="s">
        <v>525</v>
      </c>
      <c r="G110" s="47"/>
      <c r="H110" s="47"/>
      <c r="I110" s="47"/>
      <c r="J110" s="47"/>
      <c r="K110" s="47"/>
      <c r="L110" s="47"/>
      <c r="M110" s="47"/>
      <c r="N110" s="34">
        <v>1</v>
      </c>
      <c r="O110" s="34">
        <v>1</v>
      </c>
      <c r="P110" s="34">
        <v>1</v>
      </c>
      <c r="Q110" s="34">
        <v>1</v>
      </c>
      <c r="R110" s="34">
        <v>1</v>
      </c>
      <c r="S110" s="34">
        <v>1</v>
      </c>
      <c r="T110" s="34">
        <v>1</v>
      </c>
      <c r="U110" s="34">
        <v>1</v>
      </c>
      <c r="V110" s="34">
        <v>1</v>
      </c>
      <c r="W110" s="34">
        <v>1</v>
      </c>
      <c r="X110" s="34">
        <v>1</v>
      </c>
      <c r="Y110" s="34">
        <v>1</v>
      </c>
      <c r="Z110" s="34">
        <v>1</v>
      </c>
      <c r="AA110" s="34">
        <v>1</v>
      </c>
      <c r="AB110" s="59"/>
      <c r="AC110" s="59"/>
      <c r="AD110" s="59"/>
      <c r="AE110" s="59"/>
      <c r="AF110" s="47"/>
      <c r="AG110" s="47"/>
      <c r="AH110" s="47"/>
      <c r="AI110" s="47"/>
      <c r="AJ110" s="47"/>
      <c r="AK110" s="47"/>
      <c r="AL110" s="10">
        <f t="shared" si="5"/>
        <v>14</v>
      </c>
      <c r="AM110" s="11">
        <v>32000</v>
      </c>
      <c r="AN110" s="12">
        <f t="shared" si="4"/>
        <v>448000</v>
      </c>
    </row>
    <row r="111" spans="1:40">
      <c r="A111" s="53" t="s">
        <v>561</v>
      </c>
      <c r="B111" s="32">
        <v>15</v>
      </c>
      <c r="C111" s="33" t="s">
        <v>106</v>
      </c>
      <c r="D111" s="33" t="s">
        <v>526</v>
      </c>
      <c r="E111" s="33" t="s">
        <v>465</v>
      </c>
      <c r="F111" s="32" t="s">
        <v>527</v>
      </c>
      <c r="G111" s="47"/>
      <c r="H111" s="47"/>
      <c r="I111" s="47"/>
      <c r="J111" s="47"/>
      <c r="K111" s="47"/>
      <c r="L111" s="47"/>
      <c r="M111" s="47"/>
      <c r="N111" s="34">
        <v>1</v>
      </c>
      <c r="O111" s="34">
        <v>1</v>
      </c>
      <c r="P111" s="34">
        <v>1</v>
      </c>
      <c r="Q111" s="34">
        <v>1</v>
      </c>
      <c r="R111" s="34">
        <v>1</v>
      </c>
      <c r="S111" s="34">
        <v>1</v>
      </c>
      <c r="T111" s="34">
        <v>1</v>
      </c>
      <c r="U111" s="34">
        <v>1</v>
      </c>
      <c r="V111" s="34">
        <v>1</v>
      </c>
      <c r="W111" s="34">
        <v>1</v>
      </c>
      <c r="X111" s="34">
        <v>1</v>
      </c>
      <c r="Y111" s="34">
        <v>1</v>
      </c>
      <c r="Z111" s="34">
        <v>1</v>
      </c>
      <c r="AA111" s="34">
        <v>1</v>
      </c>
      <c r="AB111" s="59"/>
      <c r="AC111" s="59"/>
      <c r="AD111" s="59"/>
      <c r="AE111" s="59"/>
      <c r="AF111" s="47"/>
      <c r="AG111" s="47"/>
      <c r="AH111" s="47"/>
      <c r="AI111" s="47"/>
      <c r="AJ111" s="47"/>
      <c r="AK111" s="47"/>
      <c r="AL111" s="10">
        <f t="shared" si="5"/>
        <v>14</v>
      </c>
      <c r="AM111" s="11">
        <v>32000</v>
      </c>
      <c r="AN111" s="12">
        <f t="shared" si="4"/>
        <v>448000</v>
      </c>
    </row>
    <row r="112" spans="1:40">
      <c r="A112" s="53" t="s">
        <v>561</v>
      </c>
      <c r="B112" s="32">
        <v>17</v>
      </c>
      <c r="C112" s="33" t="s">
        <v>528</v>
      </c>
      <c r="D112" s="33" t="s">
        <v>529</v>
      </c>
      <c r="E112" s="33" t="s">
        <v>347</v>
      </c>
      <c r="F112" s="32" t="s">
        <v>530</v>
      </c>
      <c r="G112" s="47"/>
      <c r="H112" s="47"/>
      <c r="I112" s="47"/>
      <c r="J112" s="47"/>
      <c r="K112" s="47"/>
      <c r="L112" s="47"/>
      <c r="M112" s="47"/>
      <c r="N112" s="34">
        <v>1</v>
      </c>
      <c r="O112" s="34">
        <v>1</v>
      </c>
      <c r="P112" s="34">
        <v>1</v>
      </c>
      <c r="Q112" s="34">
        <v>1</v>
      </c>
      <c r="R112" s="34">
        <v>1</v>
      </c>
      <c r="S112" s="34">
        <v>1</v>
      </c>
      <c r="T112" s="34">
        <v>1</v>
      </c>
      <c r="U112" s="34">
        <v>1</v>
      </c>
      <c r="V112" s="34">
        <v>1</v>
      </c>
      <c r="W112" s="34">
        <v>1</v>
      </c>
      <c r="X112" s="34">
        <v>1</v>
      </c>
      <c r="Y112" s="34">
        <v>1</v>
      </c>
      <c r="Z112" s="34">
        <v>1</v>
      </c>
      <c r="AA112" s="34">
        <v>1</v>
      </c>
      <c r="AB112" s="59"/>
      <c r="AC112" s="59"/>
      <c r="AD112" s="59"/>
      <c r="AE112" s="59"/>
      <c r="AF112" s="47"/>
      <c r="AG112" s="47"/>
      <c r="AH112" s="47"/>
      <c r="AI112" s="47"/>
      <c r="AJ112" s="47"/>
      <c r="AK112" s="47"/>
      <c r="AL112" s="10">
        <f t="shared" si="5"/>
        <v>14</v>
      </c>
      <c r="AM112" s="11">
        <v>32000</v>
      </c>
      <c r="AN112" s="12">
        <f t="shared" si="4"/>
        <v>448000</v>
      </c>
    </row>
    <row r="113" spans="1:40">
      <c r="A113" s="53" t="s">
        <v>561</v>
      </c>
      <c r="B113" s="32">
        <v>17</v>
      </c>
      <c r="C113" s="33" t="s">
        <v>531</v>
      </c>
      <c r="D113" s="33" t="s">
        <v>532</v>
      </c>
      <c r="E113" s="33" t="s">
        <v>9</v>
      </c>
      <c r="F113" s="32" t="s">
        <v>533</v>
      </c>
      <c r="G113" s="47"/>
      <c r="H113" s="47"/>
      <c r="I113" s="47"/>
      <c r="J113" s="47"/>
      <c r="K113" s="47"/>
      <c r="L113" s="47"/>
      <c r="M113" s="47"/>
      <c r="N113" s="34">
        <v>1</v>
      </c>
      <c r="O113" s="34">
        <v>1</v>
      </c>
      <c r="P113" s="34">
        <v>1</v>
      </c>
      <c r="Q113" s="34">
        <v>1</v>
      </c>
      <c r="R113" s="34">
        <v>1</v>
      </c>
      <c r="S113" s="34">
        <v>1</v>
      </c>
      <c r="T113" s="34">
        <v>1</v>
      </c>
      <c r="U113" s="34">
        <v>1</v>
      </c>
      <c r="V113" s="34">
        <v>1</v>
      </c>
      <c r="W113" s="34">
        <v>1</v>
      </c>
      <c r="X113" s="34">
        <v>1</v>
      </c>
      <c r="Y113" s="34">
        <v>1</v>
      </c>
      <c r="Z113" s="34">
        <v>1</v>
      </c>
      <c r="AA113" s="34">
        <v>1</v>
      </c>
      <c r="AB113" s="59"/>
      <c r="AC113" s="59"/>
      <c r="AD113" s="59"/>
      <c r="AE113" s="59"/>
      <c r="AF113" s="47"/>
      <c r="AG113" s="47"/>
      <c r="AH113" s="47"/>
      <c r="AI113" s="47"/>
      <c r="AJ113" s="47"/>
      <c r="AK113" s="47"/>
      <c r="AL113" s="10">
        <f t="shared" si="5"/>
        <v>14</v>
      </c>
      <c r="AM113" s="11">
        <v>32000</v>
      </c>
      <c r="AN113" s="12">
        <f t="shared" si="4"/>
        <v>448000</v>
      </c>
    </row>
    <row r="114" spans="1:40">
      <c r="A114" s="53" t="s">
        <v>561</v>
      </c>
      <c r="B114" s="32">
        <v>29</v>
      </c>
      <c r="C114" s="33" t="s">
        <v>417</v>
      </c>
      <c r="D114" s="33" t="s">
        <v>534</v>
      </c>
      <c r="E114" s="33" t="s">
        <v>83</v>
      </c>
      <c r="F114" s="32" t="s">
        <v>535</v>
      </c>
      <c r="G114" s="47"/>
      <c r="H114" s="47"/>
      <c r="I114" s="47"/>
      <c r="J114" s="47"/>
      <c r="K114" s="47"/>
      <c r="L114" s="47"/>
      <c r="M114" s="47"/>
      <c r="N114" s="34">
        <v>1</v>
      </c>
      <c r="O114" s="34">
        <v>1</v>
      </c>
      <c r="P114" s="34">
        <v>1</v>
      </c>
      <c r="Q114" s="34">
        <v>1</v>
      </c>
      <c r="R114" s="34">
        <v>1</v>
      </c>
      <c r="S114" s="34">
        <v>1</v>
      </c>
      <c r="T114" s="34">
        <v>1</v>
      </c>
      <c r="U114" s="34">
        <v>1</v>
      </c>
      <c r="V114" s="34">
        <v>1</v>
      </c>
      <c r="W114" s="34">
        <v>1</v>
      </c>
      <c r="X114" s="34">
        <v>1</v>
      </c>
      <c r="Y114" s="34">
        <v>1</v>
      </c>
      <c r="Z114" s="34">
        <v>1</v>
      </c>
      <c r="AA114" s="34">
        <v>1</v>
      </c>
      <c r="AB114" s="59"/>
      <c r="AC114" s="59"/>
      <c r="AD114" s="59"/>
      <c r="AE114" s="59"/>
      <c r="AF114" s="47"/>
      <c r="AG114" s="47"/>
      <c r="AH114" s="47"/>
      <c r="AI114" s="47"/>
      <c r="AJ114" s="47"/>
      <c r="AK114" s="47"/>
      <c r="AL114" s="10">
        <f t="shared" si="5"/>
        <v>14</v>
      </c>
      <c r="AM114" s="11">
        <v>32000</v>
      </c>
      <c r="AN114" s="12">
        <f t="shared" si="4"/>
        <v>448000</v>
      </c>
    </row>
    <row r="115" spans="1:40">
      <c r="A115" s="53" t="s">
        <v>561</v>
      </c>
      <c r="B115" s="32">
        <v>29</v>
      </c>
      <c r="C115" s="33" t="s">
        <v>303</v>
      </c>
      <c r="D115" s="33" t="s">
        <v>442</v>
      </c>
      <c r="E115" s="33" t="s">
        <v>536</v>
      </c>
      <c r="F115" s="32" t="s">
        <v>537</v>
      </c>
      <c r="G115" s="47"/>
      <c r="H115" s="47"/>
      <c r="I115" s="47"/>
      <c r="J115" s="47"/>
      <c r="K115" s="47"/>
      <c r="L115" s="47"/>
      <c r="M115" s="47"/>
      <c r="N115" s="34">
        <v>1</v>
      </c>
      <c r="O115" s="34">
        <v>1</v>
      </c>
      <c r="P115" s="34">
        <v>1</v>
      </c>
      <c r="Q115" s="34">
        <v>1</v>
      </c>
      <c r="R115" s="34">
        <v>1</v>
      </c>
      <c r="S115" s="34">
        <v>1</v>
      </c>
      <c r="T115" s="34">
        <v>1</v>
      </c>
      <c r="U115" s="34">
        <v>1</v>
      </c>
      <c r="V115" s="34">
        <v>1</v>
      </c>
      <c r="W115" s="34">
        <v>1</v>
      </c>
      <c r="X115" s="34">
        <v>1</v>
      </c>
      <c r="Y115" s="34">
        <v>1</v>
      </c>
      <c r="Z115" s="34">
        <v>1</v>
      </c>
      <c r="AA115" s="34">
        <v>1</v>
      </c>
      <c r="AB115" s="59"/>
      <c r="AC115" s="59"/>
      <c r="AD115" s="59"/>
      <c r="AE115" s="59"/>
      <c r="AF115" s="47"/>
      <c r="AG115" s="47"/>
      <c r="AH115" s="47"/>
      <c r="AI115" s="47"/>
      <c r="AJ115" s="47"/>
      <c r="AK115" s="47"/>
      <c r="AL115" s="10">
        <f t="shared" si="5"/>
        <v>14</v>
      </c>
      <c r="AM115" s="11">
        <v>32000</v>
      </c>
      <c r="AN115" s="12">
        <f t="shared" si="4"/>
        <v>448000</v>
      </c>
    </row>
    <row r="116" spans="1:40">
      <c r="A116" s="53" t="s">
        <v>561</v>
      </c>
      <c r="B116" s="32">
        <v>30</v>
      </c>
      <c r="C116" s="33" t="s">
        <v>613</v>
      </c>
      <c r="D116" s="33" t="s">
        <v>614</v>
      </c>
      <c r="E116" s="33" t="s">
        <v>615</v>
      </c>
      <c r="F116" s="32" t="s">
        <v>616</v>
      </c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34">
        <v>1</v>
      </c>
      <c r="R116" s="34">
        <v>1</v>
      </c>
      <c r="S116" s="34">
        <v>1</v>
      </c>
      <c r="T116" s="34">
        <v>1</v>
      </c>
      <c r="U116" s="34">
        <v>1</v>
      </c>
      <c r="V116" s="34">
        <v>1</v>
      </c>
      <c r="W116" s="34">
        <v>1</v>
      </c>
      <c r="X116" s="34">
        <v>1</v>
      </c>
      <c r="Y116" s="34">
        <v>1</v>
      </c>
      <c r="Z116" s="34">
        <v>1</v>
      </c>
      <c r="AA116" s="34">
        <v>1</v>
      </c>
      <c r="AB116" s="59"/>
      <c r="AC116" s="59"/>
      <c r="AD116" s="59"/>
      <c r="AE116" s="59"/>
      <c r="AF116" s="47"/>
      <c r="AG116" s="47"/>
      <c r="AH116" s="47"/>
      <c r="AI116" s="47"/>
      <c r="AJ116" s="47"/>
      <c r="AK116" s="47"/>
      <c r="AL116" s="10">
        <f t="shared" si="5"/>
        <v>11</v>
      </c>
      <c r="AM116" s="11">
        <v>32000</v>
      </c>
      <c r="AN116" s="12">
        <f t="shared" si="4"/>
        <v>352000</v>
      </c>
    </row>
    <row r="117" spans="1:40">
      <c r="A117" s="53" t="s">
        <v>561</v>
      </c>
      <c r="B117" s="32">
        <v>34</v>
      </c>
      <c r="C117" s="33" t="s">
        <v>421</v>
      </c>
      <c r="D117" s="33" t="s">
        <v>529</v>
      </c>
      <c r="E117" s="33" t="s">
        <v>15</v>
      </c>
      <c r="F117" s="32" t="s">
        <v>538</v>
      </c>
      <c r="G117" s="47"/>
      <c r="H117" s="47"/>
      <c r="I117" s="47"/>
      <c r="J117" s="47"/>
      <c r="K117" s="47"/>
      <c r="L117" s="47"/>
      <c r="M117" s="47"/>
      <c r="N117" s="34">
        <v>1</v>
      </c>
      <c r="O117" s="34">
        <v>1</v>
      </c>
      <c r="P117" s="34">
        <v>1</v>
      </c>
      <c r="Q117" s="34">
        <v>1</v>
      </c>
      <c r="R117" s="34">
        <v>1</v>
      </c>
      <c r="S117" s="34">
        <v>1</v>
      </c>
      <c r="T117" s="34">
        <v>1</v>
      </c>
      <c r="U117" s="34">
        <v>1</v>
      </c>
      <c r="V117" s="34">
        <v>1</v>
      </c>
      <c r="W117" s="34">
        <v>1</v>
      </c>
      <c r="X117" s="34">
        <v>1</v>
      </c>
      <c r="Y117" s="34">
        <v>1</v>
      </c>
      <c r="Z117" s="34">
        <v>1</v>
      </c>
      <c r="AA117" s="34">
        <v>1</v>
      </c>
      <c r="AB117" s="59"/>
      <c r="AC117" s="59"/>
      <c r="AD117" s="59"/>
      <c r="AE117" s="59"/>
      <c r="AF117" s="47"/>
      <c r="AG117" s="47"/>
      <c r="AH117" s="47"/>
      <c r="AI117" s="47"/>
      <c r="AJ117" s="47"/>
      <c r="AK117" s="47"/>
      <c r="AL117" s="10">
        <f t="shared" si="5"/>
        <v>14</v>
      </c>
      <c r="AM117" s="11">
        <v>32000</v>
      </c>
      <c r="AN117" s="12">
        <f t="shared" si="4"/>
        <v>448000</v>
      </c>
    </row>
    <row r="118" spans="1:40">
      <c r="A118" s="53" t="s">
        <v>561</v>
      </c>
      <c r="B118" s="32">
        <v>34</v>
      </c>
      <c r="C118" s="33" t="s">
        <v>539</v>
      </c>
      <c r="D118" s="33" t="s">
        <v>149</v>
      </c>
      <c r="E118" s="33" t="s">
        <v>289</v>
      </c>
      <c r="F118" s="32" t="s">
        <v>540</v>
      </c>
      <c r="G118" s="47"/>
      <c r="H118" s="47"/>
      <c r="I118" s="47"/>
      <c r="J118" s="47"/>
      <c r="K118" s="47"/>
      <c r="L118" s="47"/>
      <c r="M118" s="47"/>
      <c r="N118" s="34">
        <v>1</v>
      </c>
      <c r="O118" s="34">
        <v>1</v>
      </c>
      <c r="P118" s="34">
        <v>1</v>
      </c>
      <c r="Q118" s="34">
        <v>1</v>
      </c>
      <c r="R118" s="34">
        <v>1</v>
      </c>
      <c r="S118" s="34">
        <v>1</v>
      </c>
      <c r="T118" s="34">
        <v>1</v>
      </c>
      <c r="U118" s="34">
        <v>1</v>
      </c>
      <c r="V118" s="34">
        <v>1</v>
      </c>
      <c r="W118" s="34">
        <v>1</v>
      </c>
      <c r="X118" s="34">
        <v>1</v>
      </c>
      <c r="Y118" s="34">
        <v>1</v>
      </c>
      <c r="Z118" s="34">
        <v>1</v>
      </c>
      <c r="AA118" s="34">
        <v>1</v>
      </c>
      <c r="AB118" s="59"/>
      <c r="AC118" s="59"/>
      <c r="AD118" s="59"/>
      <c r="AE118" s="59"/>
      <c r="AF118" s="47"/>
      <c r="AG118" s="47"/>
      <c r="AH118" s="47"/>
      <c r="AI118" s="47"/>
      <c r="AJ118" s="47"/>
      <c r="AK118" s="47"/>
      <c r="AL118" s="10">
        <f t="shared" si="5"/>
        <v>14</v>
      </c>
      <c r="AM118" s="11">
        <v>32000</v>
      </c>
      <c r="AN118" s="12">
        <f t="shared" si="4"/>
        <v>448000</v>
      </c>
    </row>
    <row r="119" spans="1:40">
      <c r="A119" s="53" t="s">
        <v>561</v>
      </c>
      <c r="B119" s="32">
        <v>40</v>
      </c>
      <c r="C119" s="33" t="s">
        <v>562</v>
      </c>
      <c r="D119" s="33" t="s">
        <v>563</v>
      </c>
      <c r="E119" s="33" t="s">
        <v>564</v>
      </c>
      <c r="F119" s="32" t="s">
        <v>565</v>
      </c>
      <c r="G119" s="47"/>
      <c r="H119" s="47"/>
      <c r="I119" s="47"/>
      <c r="J119" s="47"/>
      <c r="K119" s="47"/>
      <c r="L119" s="47"/>
      <c r="M119" s="47"/>
      <c r="N119" s="34">
        <v>1</v>
      </c>
      <c r="O119" s="34">
        <v>1</v>
      </c>
      <c r="P119" s="34">
        <v>1</v>
      </c>
      <c r="Q119" s="34">
        <v>1</v>
      </c>
      <c r="R119" s="34">
        <v>1</v>
      </c>
      <c r="S119" s="34">
        <v>1</v>
      </c>
      <c r="T119" s="34">
        <v>1</v>
      </c>
      <c r="U119" s="34">
        <v>1</v>
      </c>
      <c r="V119" s="34">
        <v>1</v>
      </c>
      <c r="W119" s="34">
        <v>1</v>
      </c>
      <c r="X119" s="34">
        <v>1</v>
      </c>
      <c r="Y119" s="34">
        <v>1</v>
      </c>
      <c r="Z119" s="34">
        <v>1</v>
      </c>
      <c r="AA119" s="34">
        <v>1</v>
      </c>
      <c r="AB119" s="59"/>
      <c r="AC119" s="59"/>
      <c r="AD119" s="59"/>
      <c r="AE119" s="59"/>
      <c r="AF119" s="47"/>
      <c r="AG119" s="47"/>
      <c r="AH119" s="47"/>
      <c r="AI119" s="47"/>
      <c r="AJ119" s="47"/>
      <c r="AK119" s="47"/>
      <c r="AL119" s="10">
        <f t="shared" si="5"/>
        <v>14</v>
      </c>
      <c r="AM119" s="11">
        <v>32000</v>
      </c>
      <c r="AN119" s="12">
        <f t="shared" si="4"/>
        <v>448000</v>
      </c>
    </row>
    <row r="120" spans="1:40">
      <c r="A120" s="53" t="s">
        <v>561</v>
      </c>
      <c r="B120" s="32">
        <v>40</v>
      </c>
      <c r="C120" s="33" t="s">
        <v>566</v>
      </c>
      <c r="D120" s="33" t="s">
        <v>155</v>
      </c>
      <c r="E120" s="33" t="s">
        <v>286</v>
      </c>
      <c r="F120" s="32" t="s">
        <v>567</v>
      </c>
      <c r="G120" s="47"/>
      <c r="H120" s="47"/>
      <c r="I120" s="47"/>
      <c r="J120" s="47"/>
      <c r="K120" s="47"/>
      <c r="L120" s="47"/>
      <c r="M120" s="47"/>
      <c r="N120" s="34">
        <v>1</v>
      </c>
      <c r="O120" s="34">
        <v>1</v>
      </c>
      <c r="P120" s="34">
        <v>1</v>
      </c>
      <c r="Q120" s="34">
        <v>1</v>
      </c>
      <c r="R120" s="34">
        <v>1</v>
      </c>
      <c r="S120" s="34">
        <v>1</v>
      </c>
      <c r="T120" s="34">
        <v>1</v>
      </c>
      <c r="U120" s="34">
        <v>1</v>
      </c>
      <c r="V120" s="34">
        <v>1</v>
      </c>
      <c r="W120" s="34">
        <v>1</v>
      </c>
      <c r="X120" s="34">
        <v>1</v>
      </c>
      <c r="Y120" s="34">
        <v>1</v>
      </c>
      <c r="Z120" s="34">
        <v>1</v>
      </c>
      <c r="AA120" s="34">
        <v>1</v>
      </c>
      <c r="AB120" s="59"/>
      <c r="AC120" s="59"/>
      <c r="AD120" s="59"/>
      <c r="AE120" s="59"/>
      <c r="AF120" s="47"/>
      <c r="AG120" s="47"/>
      <c r="AH120" s="47"/>
      <c r="AI120" s="47"/>
      <c r="AJ120" s="47"/>
      <c r="AK120" s="47"/>
      <c r="AL120" s="10">
        <f t="shared" si="5"/>
        <v>14</v>
      </c>
      <c r="AM120" s="11">
        <v>32000</v>
      </c>
      <c r="AN120" s="12">
        <f t="shared" si="4"/>
        <v>448000</v>
      </c>
    </row>
    <row r="121" spans="1:40">
      <c r="A121" s="53" t="s">
        <v>561</v>
      </c>
      <c r="B121" s="32">
        <v>42</v>
      </c>
      <c r="C121" s="33" t="s">
        <v>541</v>
      </c>
      <c r="D121" s="33" t="s">
        <v>541</v>
      </c>
      <c r="E121" s="33" t="s">
        <v>542</v>
      </c>
      <c r="F121" s="32" t="s">
        <v>543</v>
      </c>
      <c r="G121" s="47"/>
      <c r="H121" s="47"/>
      <c r="I121" s="47"/>
      <c r="J121" s="47"/>
      <c r="K121" s="47"/>
      <c r="L121" s="47"/>
      <c r="M121" s="47"/>
      <c r="N121" s="34">
        <v>1</v>
      </c>
      <c r="O121" s="34">
        <v>1</v>
      </c>
      <c r="P121" s="34">
        <v>1</v>
      </c>
      <c r="Q121" s="34">
        <v>1</v>
      </c>
      <c r="R121" s="34">
        <v>1</v>
      </c>
      <c r="S121" s="34">
        <v>1</v>
      </c>
      <c r="T121" s="34">
        <v>1</v>
      </c>
      <c r="U121" s="34">
        <v>1</v>
      </c>
      <c r="V121" s="34">
        <v>1</v>
      </c>
      <c r="W121" s="34">
        <v>1</v>
      </c>
      <c r="X121" s="34">
        <v>1</v>
      </c>
      <c r="Y121" s="34">
        <v>1</v>
      </c>
      <c r="Z121" s="34">
        <v>1</v>
      </c>
      <c r="AA121" s="34">
        <v>1</v>
      </c>
      <c r="AB121" s="59"/>
      <c r="AC121" s="59"/>
      <c r="AD121" s="59"/>
      <c r="AE121" s="59"/>
      <c r="AF121" s="47"/>
      <c r="AG121" s="47"/>
      <c r="AH121" s="47"/>
      <c r="AI121" s="47"/>
      <c r="AJ121" s="47"/>
      <c r="AK121" s="47"/>
      <c r="AL121" s="10">
        <f t="shared" si="5"/>
        <v>14</v>
      </c>
      <c r="AM121" s="11">
        <v>32000</v>
      </c>
      <c r="AN121" s="12">
        <f t="shared" si="4"/>
        <v>448000</v>
      </c>
    </row>
    <row r="122" spans="1:40">
      <c r="A122" s="53" t="s">
        <v>561</v>
      </c>
      <c r="B122" s="32">
        <v>42</v>
      </c>
      <c r="C122" s="33" t="s">
        <v>544</v>
      </c>
      <c r="D122" s="33"/>
      <c r="E122" s="33" t="s">
        <v>545</v>
      </c>
      <c r="F122" s="32" t="s">
        <v>546</v>
      </c>
      <c r="G122" s="47"/>
      <c r="H122" s="47"/>
      <c r="I122" s="47"/>
      <c r="J122" s="47"/>
      <c r="K122" s="47"/>
      <c r="L122" s="47"/>
      <c r="M122" s="47"/>
      <c r="N122" s="34">
        <v>1</v>
      </c>
      <c r="O122" s="34">
        <v>1</v>
      </c>
      <c r="P122" s="34">
        <v>1</v>
      </c>
      <c r="Q122" s="34">
        <v>1</v>
      </c>
      <c r="R122" s="34">
        <v>1</v>
      </c>
      <c r="S122" s="34">
        <v>1</v>
      </c>
      <c r="T122" s="34">
        <v>1</v>
      </c>
      <c r="U122" s="34">
        <v>1</v>
      </c>
      <c r="V122" s="34">
        <v>1</v>
      </c>
      <c r="W122" s="34">
        <v>1</v>
      </c>
      <c r="X122" s="34">
        <v>1</v>
      </c>
      <c r="Y122" s="34">
        <v>1</v>
      </c>
      <c r="Z122" s="34">
        <v>1</v>
      </c>
      <c r="AA122" s="34">
        <v>1</v>
      </c>
      <c r="AB122" s="59"/>
      <c r="AC122" s="59"/>
      <c r="AD122" s="59"/>
      <c r="AE122" s="59"/>
      <c r="AF122" s="47"/>
      <c r="AG122" s="47"/>
      <c r="AH122" s="47"/>
      <c r="AI122" s="47"/>
      <c r="AJ122" s="47"/>
      <c r="AK122" s="47"/>
      <c r="AL122" s="10">
        <f t="shared" si="5"/>
        <v>14</v>
      </c>
      <c r="AM122" s="11">
        <v>32000</v>
      </c>
      <c r="AN122" s="12">
        <f t="shared" si="4"/>
        <v>448000</v>
      </c>
    </row>
    <row r="123" spans="1:40">
      <c r="A123" s="53" t="s">
        <v>561</v>
      </c>
      <c r="B123" s="32">
        <v>43</v>
      </c>
      <c r="C123" s="33" t="s">
        <v>568</v>
      </c>
      <c r="D123" s="33" t="s">
        <v>569</v>
      </c>
      <c r="E123" s="33" t="s">
        <v>570</v>
      </c>
      <c r="F123" s="32" t="s">
        <v>571</v>
      </c>
      <c r="G123" s="47"/>
      <c r="H123" s="47"/>
      <c r="I123" s="47"/>
      <c r="J123" s="47"/>
      <c r="K123" s="47"/>
      <c r="L123" s="47"/>
      <c r="M123" s="47"/>
      <c r="N123" s="34">
        <v>1</v>
      </c>
      <c r="O123" s="34">
        <v>1</v>
      </c>
      <c r="P123" s="34">
        <v>1</v>
      </c>
      <c r="Q123" s="34">
        <v>1</v>
      </c>
      <c r="R123" s="34">
        <v>1</v>
      </c>
      <c r="S123" s="34">
        <v>1</v>
      </c>
      <c r="T123" s="34">
        <v>1</v>
      </c>
      <c r="U123" s="34">
        <v>1</v>
      </c>
      <c r="V123" s="34">
        <v>1</v>
      </c>
      <c r="W123" s="34">
        <v>1</v>
      </c>
      <c r="X123" s="34">
        <v>1</v>
      </c>
      <c r="Y123" s="34">
        <v>1</v>
      </c>
      <c r="Z123" s="34">
        <v>1</v>
      </c>
      <c r="AA123" s="34">
        <v>1</v>
      </c>
      <c r="AB123" s="59"/>
      <c r="AC123" s="59"/>
      <c r="AD123" s="59"/>
      <c r="AE123" s="59"/>
      <c r="AF123" s="47"/>
      <c r="AG123" s="47"/>
      <c r="AH123" s="47"/>
      <c r="AI123" s="47"/>
      <c r="AJ123" s="47"/>
      <c r="AK123" s="47"/>
      <c r="AL123" s="10">
        <f t="shared" si="5"/>
        <v>14</v>
      </c>
      <c r="AM123" s="11">
        <v>32000</v>
      </c>
      <c r="AN123" s="12">
        <f t="shared" si="4"/>
        <v>448000</v>
      </c>
    </row>
    <row r="124" spans="1:40">
      <c r="A124" s="53" t="s">
        <v>561</v>
      </c>
      <c r="B124" s="32">
        <v>43</v>
      </c>
      <c r="C124" s="33" t="s">
        <v>572</v>
      </c>
      <c r="D124" s="33" t="s">
        <v>573</v>
      </c>
      <c r="E124" s="33" t="s">
        <v>574</v>
      </c>
      <c r="F124" s="32" t="s">
        <v>575</v>
      </c>
      <c r="G124" s="47"/>
      <c r="H124" s="47"/>
      <c r="I124" s="47"/>
      <c r="J124" s="47"/>
      <c r="K124" s="47"/>
      <c r="L124" s="47"/>
      <c r="M124" s="47"/>
      <c r="N124" s="34">
        <v>1</v>
      </c>
      <c r="O124" s="34">
        <v>1</v>
      </c>
      <c r="P124" s="34">
        <v>1</v>
      </c>
      <c r="Q124" s="34">
        <v>1</v>
      </c>
      <c r="R124" s="34">
        <v>1</v>
      </c>
      <c r="S124" s="34">
        <v>1</v>
      </c>
      <c r="T124" s="34">
        <v>1</v>
      </c>
      <c r="U124" s="34">
        <v>1</v>
      </c>
      <c r="V124" s="34">
        <v>1</v>
      </c>
      <c r="W124" s="34">
        <v>1</v>
      </c>
      <c r="X124" s="34">
        <v>1</v>
      </c>
      <c r="Y124" s="34">
        <v>1</v>
      </c>
      <c r="Z124" s="34">
        <v>1</v>
      </c>
      <c r="AA124" s="34">
        <v>1</v>
      </c>
      <c r="AB124" s="59"/>
      <c r="AC124" s="59"/>
      <c r="AD124" s="59"/>
      <c r="AE124" s="59"/>
      <c r="AF124" s="47"/>
      <c r="AG124" s="47"/>
      <c r="AH124" s="47"/>
      <c r="AI124" s="47"/>
      <c r="AJ124" s="47"/>
      <c r="AK124" s="47"/>
      <c r="AL124" s="10">
        <f t="shared" si="5"/>
        <v>14</v>
      </c>
      <c r="AM124" s="11">
        <v>32000</v>
      </c>
      <c r="AN124" s="12">
        <f t="shared" si="4"/>
        <v>448000</v>
      </c>
    </row>
    <row r="125" spans="1:40">
      <c r="A125" s="53" t="s">
        <v>561</v>
      </c>
      <c r="B125" s="32">
        <v>47</v>
      </c>
      <c r="C125" s="33" t="s">
        <v>576</v>
      </c>
      <c r="D125" s="33" t="s">
        <v>577</v>
      </c>
      <c r="E125" s="33" t="s">
        <v>578</v>
      </c>
      <c r="F125" s="32" t="s">
        <v>579</v>
      </c>
      <c r="G125" s="47"/>
      <c r="H125" s="47"/>
      <c r="I125" s="47"/>
      <c r="J125" s="47"/>
      <c r="K125" s="47"/>
      <c r="L125" s="47"/>
      <c r="M125" s="47"/>
      <c r="N125" s="34">
        <v>1</v>
      </c>
      <c r="O125" s="34">
        <v>1</v>
      </c>
      <c r="P125" s="34">
        <v>1</v>
      </c>
      <c r="Q125" s="34">
        <v>1</v>
      </c>
      <c r="R125" s="34">
        <v>1</v>
      </c>
      <c r="S125" s="34">
        <v>1</v>
      </c>
      <c r="T125" s="34">
        <v>1</v>
      </c>
      <c r="U125" s="34">
        <v>1</v>
      </c>
      <c r="V125" s="34">
        <v>1</v>
      </c>
      <c r="W125" s="34">
        <v>1</v>
      </c>
      <c r="X125" s="34">
        <v>1</v>
      </c>
      <c r="Y125" s="34">
        <v>1</v>
      </c>
      <c r="Z125" s="34">
        <v>1</v>
      </c>
      <c r="AA125" s="34">
        <v>1</v>
      </c>
      <c r="AB125" s="59"/>
      <c r="AC125" s="59"/>
      <c r="AD125" s="59"/>
      <c r="AE125" s="59"/>
      <c r="AF125" s="47"/>
      <c r="AG125" s="47"/>
      <c r="AH125" s="47"/>
      <c r="AI125" s="47"/>
      <c r="AJ125" s="47"/>
      <c r="AK125" s="47"/>
      <c r="AL125" s="10">
        <f t="shared" si="5"/>
        <v>14</v>
      </c>
      <c r="AM125" s="11">
        <v>32000</v>
      </c>
      <c r="AN125" s="12">
        <f t="shared" si="4"/>
        <v>448000</v>
      </c>
    </row>
    <row r="126" spans="1:40">
      <c r="A126" s="53" t="s">
        <v>561</v>
      </c>
      <c r="B126" s="32">
        <v>47</v>
      </c>
      <c r="C126" s="33" t="s">
        <v>580</v>
      </c>
      <c r="D126" s="33" t="s">
        <v>416</v>
      </c>
      <c r="E126" s="33" t="s">
        <v>581</v>
      </c>
      <c r="F126" s="32" t="s">
        <v>582</v>
      </c>
      <c r="G126" s="47"/>
      <c r="H126" s="47"/>
      <c r="I126" s="47"/>
      <c r="J126" s="47"/>
      <c r="K126" s="47"/>
      <c r="L126" s="47"/>
      <c r="M126" s="47"/>
      <c r="N126" s="34">
        <v>1</v>
      </c>
      <c r="O126" s="34">
        <v>1</v>
      </c>
      <c r="P126" s="34">
        <v>1</v>
      </c>
      <c r="Q126" s="34">
        <v>1</v>
      </c>
      <c r="R126" s="34">
        <v>1</v>
      </c>
      <c r="S126" s="34">
        <v>1</v>
      </c>
      <c r="T126" s="34">
        <v>1</v>
      </c>
      <c r="U126" s="34">
        <v>1</v>
      </c>
      <c r="V126" s="34">
        <v>1</v>
      </c>
      <c r="W126" s="34">
        <v>1</v>
      </c>
      <c r="X126" s="34">
        <v>1</v>
      </c>
      <c r="Y126" s="34">
        <v>1</v>
      </c>
      <c r="Z126" s="34">
        <v>1</v>
      </c>
      <c r="AA126" s="34">
        <v>1</v>
      </c>
      <c r="AB126" s="59"/>
      <c r="AC126" s="59"/>
      <c r="AD126" s="59"/>
      <c r="AE126" s="59"/>
      <c r="AF126" s="47"/>
      <c r="AG126" s="47"/>
      <c r="AH126" s="47"/>
      <c r="AI126" s="47"/>
      <c r="AJ126" s="47"/>
      <c r="AK126" s="47"/>
      <c r="AL126" s="10">
        <f t="shared" si="5"/>
        <v>14</v>
      </c>
      <c r="AM126" s="11">
        <v>32000</v>
      </c>
      <c r="AN126" s="12">
        <f t="shared" si="4"/>
        <v>448000</v>
      </c>
    </row>
    <row r="127" spans="1:40">
      <c r="A127" s="50" t="s">
        <v>98</v>
      </c>
      <c r="B127" s="32">
        <v>110</v>
      </c>
      <c r="C127" s="33" t="s">
        <v>362</v>
      </c>
      <c r="D127" s="33" t="s">
        <v>363</v>
      </c>
      <c r="E127" s="33" t="s">
        <v>361</v>
      </c>
      <c r="F127" s="32" t="s">
        <v>367</v>
      </c>
      <c r="G127" s="47"/>
      <c r="H127" s="47"/>
      <c r="I127" s="47"/>
      <c r="J127" s="47"/>
      <c r="K127" s="47"/>
      <c r="L127" s="47"/>
      <c r="M127" s="47"/>
      <c r="N127" s="34">
        <v>1</v>
      </c>
      <c r="O127" s="34">
        <v>1</v>
      </c>
      <c r="P127" s="34">
        <v>1</v>
      </c>
      <c r="Q127" s="34">
        <v>1</v>
      </c>
      <c r="R127" s="34">
        <v>1</v>
      </c>
      <c r="S127" s="34">
        <v>1</v>
      </c>
      <c r="T127" s="34">
        <v>1</v>
      </c>
      <c r="U127" s="34">
        <v>1</v>
      </c>
      <c r="V127" s="34">
        <v>1</v>
      </c>
      <c r="W127" s="34">
        <v>1</v>
      </c>
      <c r="X127" s="34">
        <v>1</v>
      </c>
      <c r="Y127" s="34">
        <v>1</v>
      </c>
      <c r="Z127" s="34">
        <v>1</v>
      </c>
      <c r="AA127" s="34">
        <v>1</v>
      </c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10">
        <f t="shared" si="3"/>
        <v>14</v>
      </c>
      <c r="AM127" s="11">
        <v>32000</v>
      </c>
      <c r="AN127" s="12">
        <f t="shared" si="4"/>
        <v>448000</v>
      </c>
    </row>
    <row r="128" spans="1:40">
      <c r="A128" s="50" t="s">
        <v>98</v>
      </c>
      <c r="B128" s="32">
        <v>110</v>
      </c>
      <c r="C128" s="33" t="s">
        <v>141</v>
      </c>
      <c r="D128" s="33" t="s">
        <v>364</v>
      </c>
      <c r="E128" s="33" t="s">
        <v>365</v>
      </c>
      <c r="F128" s="32" t="s">
        <v>366</v>
      </c>
      <c r="G128" s="47"/>
      <c r="H128" s="47"/>
      <c r="I128" s="47"/>
      <c r="J128" s="47"/>
      <c r="K128" s="47"/>
      <c r="L128" s="47"/>
      <c r="M128" s="47"/>
      <c r="N128" s="34">
        <v>1</v>
      </c>
      <c r="O128" s="34">
        <v>1</v>
      </c>
      <c r="P128" s="34">
        <v>1</v>
      </c>
      <c r="Q128" s="34">
        <v>1</v>
      </c>
      <c r="R128" s="34">
        <v>1</v>
      </c>
      <c r="S128" s="34">
        <v>1</v>
      </c>
      <c r="T128" s="34">
        <v>1</v>
      </c>
      <c r="U128" s="34">
        <v>1</v>
      </c>
      <c r="V128" s="34">
        <v>1</v>
      </c>
      <c r="W128" s="34">
        <v>1</v>
      </c>
      <c r="X128" s="34">
        <v>1</v>
      </c>
      <c r="Y128" s="34">
        <v>1</v>
      </c>
      <c r="Z128" s="34">
        <v>1</v>
      </c>
      <c r="AA128" s="34">
        <v>1</v>
      </c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10">
        <f t="shared" si="3"/>
        <v>14</v>
      </c>
      <c r="AM128" s="11">
        <v>32000</v>
      </c>
      <c r="AN128" s="12">
        <f t="shared" si="4"/>
        <v>448000</v>
      </c>
    </row>
    <row r="129" spans="1:40">
      <c r="A129" s="50" t="s">
        <v>98</v>
      </c>
      <c r="B129" s="32">
        <v>111</v>
      </c>
      <c r="C129" s="33" t="s">
        <v>67</v>
      </c>
      <c r="D129" s="33" t="s">
        <v>373</v>
      </c>
      <c r="E129" s="33" t="s">
        <v>374</v>
      </c>
      <c r="F129" s="32" t="s">
        <v>390</v>
      </c>
      <c r="G129" s="47"/>
      <c r="H129" s="47"/>
      <c r="I129" s="47"/>
      <c r="J129" s="47"/>
      <c r="K129" s="47"/>
      <c r="L129" s="47"/>
      <c r="M129" s="47"/>
      <c r="N129" s="34">
        <v>1</v>
      </c>
      <c r="O129" s="34">
        <v>1</v>
      </c>
      <c r="P129" s="34">
        <v>1</v>
      </c>
      <c r="Q129" s="34">
        <v>1</v>
      </c>
      <c r="R129" s="34">
        <v>1</v>
      </c>
      <c r="S129" s="34">
        <v>1</v>
      </c>
      <c r="T129" s="34">
        <v>1</v>
      </c>
      <c r="U129" s="34">
        <v>1</v>
      </c>
      <c r="V129" s="34">
        <v>1</v>
      </c>
      <c r="W129" s="34">
        <v>1</v>
      </c>
      <c r="X129" s="34">
        <v>1</v>
      </c>
      <c r="Y129" s="34">
        <v>1</v>
      </c>
      <c r="Z129" s="34">
        <v>1</v>
      </c>
      <c r="AA129" s="34">
        <v>1</v>
      </c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10">
        <f t="shared" si="3"/>
        <v>14</v>
      </c>
      <c r="AM129" s="11">
        <v>32000</v>
      </c>
      <c r="AN129" s="12">
        <f t="shared" si="4"/>
        <v>448000</v>
      </c>
    </row>
    <row r="130" spans="1:40">
      <c r="A130" s="50" t="s">
        <v>98</v>
      </c>
      <c r="B130" s="32">
        <v>111</v>
      </c>
      <c r="C130" s="33" t="s">
        <v>375</v>
      </c>
      <c r="D130" s="33" t="s">
        <v>376</v>
      </c>
      <c r="E130" s="33" t="s">
        <v>374</v>
      </c>
      <c r="F130" s="32" t="s">
        <v>389</v>
      </c>
      <c r="G130" s="47"/>
      <c r="H130" s="47"/>
      <c r="I130" s="47"/>
      <c r="J130" s="47"/>
      <c r="K130" s="47"/>
      <c r="L130" s="47"/>
      <c r="M130" s="47"/>
      <c r="N130" s="34">
        <v>1</v>
      </c>
      <c r="O130" s="34">
        <v>1</v>
      </c>
      <c r="P130" s="34">
        <v>1</v>
      </c>
      <c r="Q130" s="34">
        <v>1</v>
      </c>
      <c r="R130" s="34">
        <v>1</v>
      </c>
      <c r="S130" s="34">
        <v>1</v>
      </c>
      <c r="T130" s="34">
        <v>1</v>
      </c>
      <c r="U130" s="34">
        <v>1</v>
      </c>
      <c r="V130" s="34">
        <v>1</v>
      </c>
      <c r="W130" s="34">
        <v>1</v>
      </c>
      <c r="X130" s="34">
        <v>1</v>
      </c>
      <c r="Y130" s="34">
        <v>1</v>
      </c>
      <c r="Z130" s="34">
        <v>1</v>
      </c>
      <c r="AA130" s="34">
        <v>1</v>
      </c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10">
        <f t="shared" si="3"/>
        <v>14</v>
      </c>
      <c r="AM130" s="11">
        <v>32000</v>
      </c>
      <c r="AN130" s="12">
        <f t="shared" si="4"/>
        <v>448000</v>
      </c>
    </row>
    <row r="131" spans="1:40">
      <c r="A131" s="50" t="s">
        <v>98</v>
      </c>
      <c r="B131" s="32">
        <v>113</v>
      </c>
      <c r="C131" s="33" t="s">
        <v>238</v>
      </c>
      <c r="D131" s="33" t="s">
        <v>193</v>
      </c>
      <c r="E131" s="33" t="s">
        <v>30</v>
      </c>
      <c r="F131" s="32" t="s">
        <v>408</v>
      </c>
      <c r="G131" s="47"/>
      <c r="H131" s="47"/>
      <c r="I131" s="47"/>
      <c r="J131" s="47"/>
      <c r="K131" s="47"/>
      <c r="L131" s="47"/>
      <c r="M131" s="47"/>
      <c r="N131" s="34">
        <v>1</v>
      </c>
      <c r="O131" s="34">
        <v>1</v>
      </c>
      <c r="P131" s="34">
        <v>1</v>
      </c>
      <c r="Q131" s="34">
        <v>1</v>
      </c>
      <c r="R131" s="34">
        <v>1</v>
      </c>
      <c r="S131" s="34">
        <v>1</v>
      </c>
      <c r="T131" s="34">
        <v>1</v>
      </c>
      <c r="U131" s="34">
        <v>1</v>
      </c>
      <c r="V131" s="34">
        <v>1</v>
      </c>
      <c r="W131" s="34">
        <v>1</v>
      </c>
      <c r="X131" s="34">
        <v>1</v>
      </c>
      <c r="Y131" s="34">
        <v>1</v>
      </c>
      <c r="Z131" s="34">
        <v>1</v>
      </c>
      <c r="AA131" s="34">
        <v>1</v>
      </c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10">
        <f t="shared" si="3"/>
        <v>14</v>
      </c>
      <c r="AM131" s="11">
        <v>32000</v>
      </c>
      <c r="AN131" s="12">
        <f t="shared" si="4"/>
        <v>448000</v>
      </c>
    </row>
    <row r="132" spans="1:40">
      <c r="A132" s="50" t="s">
        <v>98</v>
      </c>
      <c r="B132" s="32">
        <v>113</v>
      </c>
      <c r="C132" s="33" t="s">
        <v>405</v>
      </c>
      <c r="D132" s="33" t="s">
        <v>21</v>
      </c>
      <c r="E132" s="33" t="s">
        <v>406</v>
      </c>
      <c r="F132" s="32" t="s">
        <v>407</v>
      </c>
      <c r="G132" s="47"/>
      <c r="H132" s="47"/>
      <c r="I132" s="47"/>
      <c r="J132" s="47"/>
      <c r="K132" s="47"/>
      <c r="L132" s="47"/>
      <c r="M132" s="47"/>
      <c r="N132" s="34">
        <v>1</v>
      </c>
      <c r="O132" s="34">
        <v>1</v>
      </c>
      <c r="P132" s="34">
        <v>1</v>
      </c>
      <c r="Q132" s="34">
        <v>1</v>
      </c>
      <c r="R132" s="34">
        <v>1</v>
      </c>
      <c r="S132" s="34">
        <v>1</v>
      </c>
      <c r="T132" s="34">
        <v>1</v>
      </c>
      <c r="U132" s="34">
        <v>1</v>
      </c>
      <c r="V132" s="34">
        <v>1</v>
      </c>
      <c r="W132" s="34">
        <v>1</v>
      </c>
      <c r="X132" s="34">
        <v>1</v>
      </c>
      <c r="Y132" s="34">
        <v>1</v>
      </c>
      <c r="Z132" s="34">
        <v>1</v>
      </c>
      <c r="AA132" s="34">
        <v>1</v>
      </c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10">
        <f t="shared" si="3"/>
        <v>14</v>
      </c>
      <c r="AM132" s="11">
        <v>32000</v>
      </c>
      <c r="AN132" s="12">
        <f t="shared" si="4"/>
        <v>448000</v>
      </c>
    </row>
    <row r="133" spans="1:40">
      <c r="A133" s="50" t="s">
        <v>98</v>
      </c>
      <c r="B133" s="32">
        <v>114</v>
      </c>
      <c r="C133" s="33" t="s">
        <v>378</v>
      </c>
      <c r="D133" s="33" t="s">
        <v>379</v>
      </c>
      <c r="E133" s="33" t="s">
        <v>68</v>
      </c>
      <c r="F133" s="32" t="s">
        <v>387</v>
      </c>
      <c r="G133" s="47"/>
      <c r="H133" s="47"/>
      <c r="I133" s="47"/>
      <c r="J133" s="47"/>
      <c r="K133" s="47"/>
      <c r="L133" s="47"/>
      <c r="M133" s="47"/>
      <c r="N133" s="34">
        <v>1</v>
      </c>
      <c r="O133" s="34">
        <v>1</v>
      </c>
      <c r="P133" s="34">
        <v>1</v>
      </c>
      <c r="Q133" s="34">
        <v>1</v>
      </c>
      <c r="R133" s="34">
        <v>1</v>
      </c>
      <c r="S133" s="34">
        <v>1</v>
      </c>
      <c r="T133" s="34">
        <v>1</v>
      </c>
      <c r="U133" s="34">
        <v>1</v>
      </c>
      <c r="V133" s="34">
        <v>1</v>
      </c>
      <c r="W133" s="34">
        <v>1</v>
      </c>
      <c r="X133" s="34">
        <v>1</v>
      </c>
      <c r="Y133" s="34">
        <v>1</v>
      </c>
      <c r="Z133" s="34">
        <v>1</v>
      </c>
      <c r="AA133" s="34">
        <v>1</v>
      </c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10">
        <f t="shared" si="3"/>
        <v>14</v>
      </c>
      <c r="AM133" s="11">
        <v>32000</v>
      </c>
      <c r="AN133" s="12">
        <f t="shared" si="4"/>
        <v>448000</v>
      </c>
    </row>
    <row r="134" spans="1:40">
      <c r="A134" s="50" t="s">
        <v>98</v>
      </c>
      <c r="B134" s="32">
        <v>114</v>
      </c>
      <c r="C134" s="33" t="s">
        <v>131</v>
      </c>
      <c r="D134" s="33" t="s">
        <v>380</v>
      </c>
      <c r="E134" s="33" t="s">
        <v>65</v>
      </c>
      <c r="F134" s="32" t="s">
        <v>386</v>
      </c>
      <c r="G134" s="47"/>
      <c r="H134" s="47"/>
      <c r="I134" s="47"/>
      <c r="J134" s="47"/>
      <c r="K134" s="47"/>
      <c r="L134" s="47"/>
      <c r="M134" s="47"/>
      <c r="N134" s="34">
        <v>1</v>
      </c>
      <c r="O134" s="34">
        <v>1</v>
      </c>
      <c r="P134" s="34">
        <v>1</v>
      </c>
      <c r="Q134" s="34">
        <v>1</v>
      </c>
      <c r="R134" s="34">
        <v>1</v>
      </c>
      <c r="S134" s="34">
        <v>1</v>
      </c>
      <c r="T134" s="34">
        <v>1</v>
      </c>
      <c r="U134" s="34">
        <v>1</v>
      </c>
      <c r="V134" s="34">
        <v>1</v>
      </c>
      <c r="W134" s="34">
        <v>1</v>
      </c>
      <c r="X134" s="34">
        <v>1</v>
      </c>
      <c r="Y134" s="34">
        <v>1</v>
      </c>
      <c r="Z134" s="34">
        <v>1</v>
      </c>
      <c r="AA134" s="34">
        <v>1</v>
      </c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10">
        <f t="shared" si="3"/>
        <v>14</v>
      </c>
      <c r="AM134" s="11">
        <v>32000</v>
      </c>
      <c r="AN134" s="12">
        <f t="shared" si="4"/>
        <v>448000</v>
      </c>
    </row>
    <row r="135" spans="1:40">
      <c r="A135" s="50" t="s">
        <v>98</v>
      </c>
      <c r="B135" s="32">
        <v>115</v>
      </c>
      <c r="C135" s="33" t="s">
        <v>149</v>
      </c>
      <c r="D135" s="33" t="s">
        <v>378</v>
      </c>
      <c r="E135" s="33" t="s">
        <v>43</v>
      </c>
      <c r="F135" s="32" t="s">
        <v>385</v>
      </c>
      <c r="G135" s="47"/>
      <c r="H135" s="47"/>
      <c r="I135" s="47"/>
      <c r="J135" s="47"/>
      <c r="K135" s="47"/>
      <c r="L135" s="47"/>
      <c r="M135" s="47"/>
      <c r="N135" s="34">
        <v>1</v>
      </c>
      <c r="O135" s="34">
        <v>1</v>
      </c>
      <c r="P135" s="34">
        <v>1</v>
      </c>
      <c r="Q135" s="34">
        <v>1</v>
      </c>
      <c r="R135" s="34">
        <v>1</v>
      </c>
      <c r="S135" s="34">
        <v>1</v>
      </c>
      <c r="T135" s="34">
        <v>1</v>
      </c>
      <c r="U135" s="34">
        <v>1</v>
      </c>
      <c r="V135" s="34">
        <v>1</v>
      </c>
      <c r="W135" s="34">
        <v>1</v>
      </c>
      <c r="X135" s="34">
        <v>1</v>
      </c>
      <c r="Y135" s="34">
        <v>1</v>
      </c>
      <c r="Z135" s="34">
        <v>1</v>
      </c>
      <c r="AA135" s="34">
        <v>1</v>
      </c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10">
        <f t="shared" si="3"/>
        <v>14</v>
      </c>
      <c r="AM135" s="11">
        <v>32000</v>
      </c>
      <c r="AN135" s="12">
        <f t="shared" si="4"/>
        <v>448000</v>
      </c>
    </row>
    <row r="136" spans="1:40">
      <c r="A136" s="50" t="s">
        <v>98</v>
      </c>
      <c r="B136" s="32">
        <v>115</v>
      </c>
      <c r="C136" s="33" t="s">
        <v>381</v>
      </c>
      <c r="D136" s="33" t="s">
        <v>382</v>
      </c>
      <c r="E136" s="33" t="s">
        <v>383</v>
      </c>
      <c r="F136" s="32" t="s">
        <v>384</v>
      </c>
      <c r="G136" s="47"/>
      <c r="H136" s="47"/>
      <c r="I136" s="47"/>
      <c r="J136" s="47"/>
      <c r="K136" s="47"/>
      <c r="L136" s="47"/>
      <c r="M136" s="47"/>
      <c r="N136" s="34">
        <v>1</v>
      </c>
      <c r="O136" s="34">
        <v>1</v>
      </c>
      <c r="P136" s="34">
        <v>1</v>
      </c>
      <c r="Q136" s="34">
        <v>1</v>
      </c>
      <c r="R136" s="34">
        <v>1</v>
      </c>
      <c r="S136" s="34">
        <v>1</v>
      </c>
      <c r="T136" s="34">
        <v>1</v>
      </c>
      <c r="U136" s="34">
        <v>1</v>
      </c>
      <c r="V136" s="34">
        <v>1</v>
      </c>
      <c r="W136" s="34">
        <v>1</v>
      </c>
      <c r="X136" s="34">
        <v>1</v>
      </c>
      <c r="Y136" s="34">
        <v>1</v>
      </c>
      <c r="Z136" s="34">
        <v>1</v>
      </c>
      <c r="AA136" s="34">
        <v>1</v>
      </c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10">
        <f t="shared" si="3"/>
        <v>14</v>
      </c>
      <c r="AM136" s="11">
        <v>32000</v>
      </c>
      <c r="AN136" s="12">
        <f t="shared" si="4"/>
        <v>448000</v>
      </c>
    </row>
    <row r="137" spans="1:40">
      <c r="A137" s="50" t="s">
        <v>98</v>
      </c>
      <c r="B137" s="32">
        <v>120</v>
      </c>
      <c r="C137" s="33" t="s">
        <v>403</v>
      </c>
      <c r="D137" s="33" t="s">
        <v>281</v>
      </c>
      <c r="E137" s="33" t="s">
        <v>328</v>
      </c>
      <c r="F137" s="32" t="s">
        <v>410</v>
      </c>
      <c r="G137" s="47"/>
      <c r="H137" s="47"/>
      <c r="I137" s="47"/>
      <c r="J137" s="47"/>
      <c r="K137" s="47"/>
      <c r="L137" s="47"/>
      <c r="M137" s="47"/>
      <c r="N137" s="34">
        <v>1</v>
      </c>
      <c r="O137" s="34">
        <v>1</v>
      </c>
      <c r="P137" s="34">
        <v>1</v>
      </c>
      <c r="Q137" s="34">
        <v>1</v>
      </c>
      <c r="R137" s="34">
        <v>1</v>
      </c>
      <c r="S137" s="34">
        <v>1</v>
      </c>
      <c r="T137" s="34">
        <v>1</v>
      </c>
      <c r="U137" s="34">
        <v>1</v>
      </c>
      <c r="V137" s="34">
        <v>1</v>
      </c>
      <c r="W137" s="34">
        <v>1</v>
      </c>
      <c r="X137" s="34">
        <v>1</v>
      </c>
      <c r="Y137" s="34">
        <v>1</v>
      </c>
      <c r="Z137" s="34">
        <v>1</v>
      </c>
      <c r="AA137" s="34">
        <v>1</v>
      </c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10">
        <f t="shared" si="3"/>
        <v>14</v>
      </c>
      <c r="AM137" s="11">
        <v>32000</v>
      </c>
      <c r="AN137" s="12">
        <f t="shared" si="4"/>
        <v>448000</v>
      </c>
    </row>
    <row r="138" spans="1:40">
      <c r="A138" s="50" t="s">
        <v>98</v>
      </c>
      <c r="B138" s="32">
        <v>120</v>
      </c>
      <c r="C138" s="33" t="s">
        <v>404</v>
      </c>
      <c r="D138" s="33" t="s">
        <v>70</v>
      </c>
      <c r="E138" s="33" t="s">
        <v>108</v>
      </c>
      <c r="F138" s="32" t="s">
        <v>409</v>
      </c>
      <c r="G138" s="47"/>
      <c r="H138" s="47"/>
      <c r="I138" s="47"/>
      <c r="J138" s="47"/>
      <c r="K138" s="47"/>
      <c r="L138" s="47"/>
      <c r="M138" s="47"/>
      <c r="N138" s="34">
        <v>1</v>
      </c>
      <c r="O138" s="34">
        <v>1</v>
      </c>
      <c r="P138" s="34">
        <v>1</v>
      </c>
      <c r="Q138" s="34">
        <v>1</v>
      </c>
      <c r="R138" s="34">
        <v>1</v>
      </c>
      <c r="S138" s="34">
        <v>1</v>
      </c>
      <c r="T138" s="34">
        <v>1</v>
      </c>
      <c r="U138" s="34">
        <v>1</v>
      </c>
      <c r="V138" s="34">
        <v>1</v>
      </c>
      <c r="W138" s="34">
        <v>1</v>
      </c>
      <c r="X138" s="34">
        <v>1</v>
      </c>
      <c r="Y138" s="34">
        <v>1</v>
      </c>
      <c r="Z138" s="34">
        <v>1</v>
      </c>
      <c r="AA138" s="34">
        <v>1</v>
      </c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10">
        <f t="shared" si="3"/>
        <v>14</v>
      </c>
      <c r="AM138" s="11">
        <v>32000</v>
      </c>
      <c r="AN138" s="12">
        <f t="shared" si="4"/>
        <v>448000</v>
      </c>
    </row>
    <row r="139" spans="1:40">
      <c r="A139" s="50" t="s">
        <v>98</v>
      </c>
      <c r="B139" s="32">
        <v>73</v>
      </c>
      <c r="C139" s="33" t="s">
        <v>60</v>
      </c>
      <c r="D139" s="33" t="s">
        <v>440</v>
      </c>
      <c r="E139" s="33" t="s">
        <v>61</v>
      </c>
      <c r="F139" s="32" t="s">
        <v>62</v>
      </c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34">
        <v>1</v>
      </c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10">
        <f t="shared" si="3"/>
        <v>1</v>
      </c>
      <c r="AM139" s="11">
        <v>32000</v>
      </c>
      <c r="AN139" s="12">
        <f t="shared" ref="AN139:AN154" si="6">AM139*AL139</f>
        <v>32000</v>
      </c>
    </row>
    <row r="140" spans="1:40">
      <c r="A140" s="50" t="s">
        <v>98</v>
      </c>
      <c r="B140" s="32">
        <v>71</v>
      </c>
      <c r="C140" s="33" t="s">
        <v>28</v>
      </c>
      <c r="D140" s="33" t="s">
        <v>441</v>
      </c>
      <c r="E140" s="33" t="s">
        <v>63</v>
      </c>
      <c r="F140" s="32" t="s">
        <v>64</v>
      </c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34">
        <v>1</v>
      </c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10">
        <f t="shared" si="3"/>
        <v>1</v>
      </c>
      <c r="AM140" s="11">
        <v>32000</v>
      </c>
      <c r="AN140" s="12">
        <f t="shared" si="6"/>
        <v>32000</v>
      </c>
    </row>
    <row r="141" spans="1:40">
      <c r="A141" s="50" t="s">
        <v>98</v>
      </c>
      <c r="B141" s="32">
        <v>9</v>
      </c>
      <c r="C141" s="33" t="s">
        <v>74</v>
      </c>
      <c r="D141" s="33" t="s">
        <v>442</v>
      </c>
      <c r="E141" s="33" t="s">
        <v>75</v>
      </c>
      <c r="F141" s="32" t="s">
        <v>76</v>
      </c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34">
        <v>1</v>
      </c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10">
        <f t="shared" si="3"/>
        <v>1</v>
      </c>
      <c r="AM141" s="11">
        <v>32000</v>
      </c>
      <c r="AN141" s="12">
        <f t="shared" si="6"/>
        <v>32000</v>
      </c>
    </row>
    <row r="142" spans="1:40">
      <c r="A142" s="50" t="s">
        <v>98</v>
      </c>
      <c r="B142" s="32">
        <v>69</v>
      </c>
      <c r="C142" s="33" t="s">
        <v>435</v>
      </c>
      <c r="D142" s="33" t="s">
        <v>443</v>
      </c>
      <c r="E142" s="33" t="s">
        <v>65</v>
      </c>
      <c r="F142" s="32" t="s">
        <v>432</v>
      </c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34">
        <v>1</v>
      </c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10">
        <f t="shared" si="3"/>
        <v>1</v>
      </c>
      <c r="AM142" s="11">
        <v>32000</v>
      </c>
      <c r="AN142" s="12">
        <f t="shared" si="6"/>
        <v>32000</v>
      </c>
    </row>
    <row r="143" spans="1:40">
      <c r="A143" s="50" t="s">
        <v>98</v>
      </c>
      <c r="B143" s="32">
        <v>71</v>
      </c>
      <c r="C143" s="33" t="s">
        <v>436</v>
      </c>
      <c r="D143" s="33" t="s">
        <v>444</v>
      </c>
      <c r="E143" s="33" t="s">
        <v>26</v>
      </c>
      <c r="F143" s="32" t="s">
        <v>433</v>
      </c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34">
        <v>1</v>
      </c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10">
        <f t="shared" si="3"/>
        <v>1</v>
      </c>
      <c r="AM143" s="11">
        <v>32000</v>
      </c>
      <c r="AN143" s="12">
        <f t="shared" si="6"/>
        <v>32000</v>
      </c>
    </row>
    <row r="144" spans="1:40">
      <c r="A144" s="50" t="s">
        <v>98</v>
      </c>
      <c r="B144" s="32">
        <v>73</v>
      </c>
      <c r="C144" s="33" t="s">
        <v>67</v>
      </c>
      <c r="D144" s="33" t="s">
        <v>445</v>
      </c>
      <c r="E144" s="33" t="s">
        <v>68</v>
      </c>
      <c r="F144" s="32" t="s">
        <v>69</v>
      </c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34">
        <v>1</v>
      </c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10">
        <f t="shared" si="3"/>
        <v>1</v>
      </c>
      <c r="AM144" s="11">
        <v>32000</v>
      </c>
      <c r="AN144" s="12">
        <f t="shared" si="6"/>
        <v>32000</v>
      </c>
    </row>
    <row r="145" spans="1:40">
      <c r="A145" s="50" t="s">
        <v>98</v>
      </c>
      <c r="B145" s="32">
        <v>69</v>
      </c>
      <c r="C145" s="33" t="s">
        <v>438</v>
      </c>
      <c r="D145" s="33" t="s">
        <v>446</v>
      </c>
      <c r="E145" s="33" t="s">
        <v>437</v>
      </c>
      <c r="F145" s="32" t="s">
        <v>434</v>
      </c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34">
        <v>1</v>
      </c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10">
        <f t="shared" si="3"/>
        <v>1</v>
      </c>
      <c r="AM145" s="11">
        <v>32000</v>
      </c>
      <c r="AN145" s="12">
        <f t="shared" si="6"/>
        <v>32000</v>
      </c>
    </row>
    <row r="146" spans="1:40">
      <c r="A146" s="50" t="s">
        <v>98</v>
      </c>
      <c r="B146" s="32">
        <v>77</v>
      </c>
      <c r="C146" s="33" t="s">
        <v>51</v>
      </c>
      <c r="D146" s="33" t="s">
        <v>52</v>
      </c>
      <c r="E146" s="33" t="s">
        <v>53</v>
      </c>
      <c r="F146" s="32" t="s">
        <v>54</v>
      </c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34">
        <v>1</v>
      </c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10">
        <f t="shared" si="3"/>
        <v>1</v>
      </c>
      <c r="AM146" s="11">
        <v>32000</v>
      </c>
      <c r="AN146" s="12">
        <f t="shared" si="6"/>
        <v>32000</v>
      </c>
    </row>
    <row r="147" spans="1:40">
      <c r="A147" s="50" t="s">
        <v>98</v>
      </c>
      <c r="B147" s="32">
        <v>9</v>
      </c>
      <c r="C147" s="33" t="s">
        <v>439</v>
      </c>
      <c r="D147" s="33" t="s">
        <v>14</v>
      </c>
      <c r="E147" s="33" t="s">
        <v>40</v>
      </c>
      <c r="F147" s="32" t="s">
        <v>41</v>
      </c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34">
        <v>1</v>
      </c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10">
        <f t="shared" si="3"/>
        <v>1</v>
      </c>
      <c r="AM147" s="11">
        <v>32000</v>
      </c>
      <c r="AN147" s="12">
        <f t="shared" si="6"/>
        <v>32000</v>
      </c>
    </row>
    <row r="148" spans="1:40">
      <c r="A148" s="50" t="s">
        <v>98</v>
      </c>
      <c r="B148" s="32">
        <v>18</v>
      </c>
      <c r="C148" s="33" t="s">
        <v>303</v>
      </c>
      <c r="D148" s="33" t="s">
        <v>447</v>
      </c>
      <c r="E148" s="33" t="s">
        <v>22</v>
      </c>
      <c r="F148" s="32" t="s">
        <v>461</v>
      </c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34">
        <v>1</v>
      </c>
      <c r="AA148" s="34">
        <v>1</v>
      </c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10">
        <f t="shared" si="3"/>
        <v>2</v>
      </c>
      <c r="AM148" s="11">
        <v>32000</v>
      </c>
      <c r="AN148" s="12">
        <f t="shared" si="6"/>
        <v>64000</v>
      </c>
    </row>
    <row r="149" spans="1:40">
      <c r="A149" s="50" t="s">
        <v>98</v>
      </c>
      <c r="B149" s="32">
        <v>18</v>
      </c>
      <c r="C149" s="33" t="s">
        <v>16</v>
      </c>
      <c r="D149" s="33" t="s">
        <v>448</v>
      </c>
      <c r="E149" s="33" t="s">
        <v>242</v>
      </c>
      <c r="F149" s="32" t="s">
        <v>460</v>
      </c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34">
        <v>1</v>
      </c>
      <c r="AA149" s="34">
        <v>1</v>
      </c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10">
        <f t="shared" si="3"/>
        <v>2</v>
      </c>
      <c r="AM149" s="11">
        <v>32000</v>
      </c>
      <c r="AN149" s="12">
        <f t="shared" si="6"/>
        <v>64000</v>
      </c>
    </row>
    <row r="150" spans="1:40">
      <c r="A150" s="50" t="s">
        <v>98</v>
      </c>
      <c r="B150" s="32">
        <v>101</v>
      </c>
      <c r="C150" s="33" t="s">
        <v>363</v>
      </c>
      <c r="D150" s="33" t="s">
        <v>303</v>
      </c>
      <c r="E150" s="33" t="s">
        <v>449</v>
      </c>
      <c r="F150" s="32" t="s">
        <v>459</v>
      </c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34">
        <v>1</v>
      </c>
      <c r="AA150" s="34">
        <v>1</v>
      </c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10">
        <f t="shared" si="3"/>
        <v>2</v>
      </c>
      <c r="AM150" s="11">
        <v>32000</v>
      </c>
      <c r="AN150" s="12">
        <f t="shared" si="6"/>
        <v>64000</v>
      </c>
    </row>
    <row r="151" spans="1:40">
      <c r="A151" s="50" t="s">
        <v>98</v>
      </c>
      <c r="B151" s="32">
        <v>101</v>
      </c>
      <c r="C151" s="33" t="s">
        <v>450</v>
      </c>
      <c r="D151" s="33" t="s">
        <v>397</v>
      </c>
      <c r="E151" s="33" t="s">
        <v>451</v>
      </c>
      <c r="F151" s="32" t="s">
        <v>458</v>
      </c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34">
        <v>1</v>
      </c>
      <c r="AA151" s="34">
        <v>1</v>
      </c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10">
        <f t="shared" si="3"/>
        <v>2</v>
      </c>
      <c r="AM151" s="11">
        <v>32000</v>
      </c>
      <c r="AN151" s="12">
        <f t="shared" si="6"/>
        <v>64000</v>
      </c>
    </row>
    <row r="152" spans="1:40">
      <c r="A152" s="50" t="s">
        <v>98</v>
      </c>
      <c r="B152" s="32">
        <v>13</v>
      </c>
      <c r="C152" s="33" t="s">
        <v>346</v>
      </c>
      <c r="D152" s="33" t="s">
        <v>378</v>
      </c>
      <c r="E152" s="33" t="s">
        <v>452</v>
      </c>
      <c r="F152" s="32" t="s">
        <v>457</v>
      </c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34">
        <v>1</v>
      </c>
      <c r="AA152" s="34">
        <v>1</v>
      </c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10">
        <f t="shared" si="3"/>
        <v>2</v>
      </c>
      <c r="AM152" s="11">
        <v>32000</v>
      </c>
      <c r="AN152" s="12">
        <f t="shared" si="6"/>
        <v>64000</v>
      </c>
    </row>
    <row r="153" spans="1:40">
      <c r="A153" s="50" t="s">
        <v>98</v>
      </c>
      <c r="B153" s="32">
        <v>13</v>
      </c>
      <c r="C153" s="33" t="s">
        <v>281</v>
      </c>
      <c r="D153" s="33" t="s">
        <v>281</v>
      </c>
      <c r="E153" s="33" t="s">
        <v>242</v>
      </c>
      <c r="F153" s="32" t="s">
        <v>456</v>
      </c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34">
        <v>1</v>
      </c>
      <c r="AA153" s="34">
        <v>1</v>
      </c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10">
        <f t="shared" si="3"/>
        <v>2</v>
      </c>
      <c r="AM153" s="11">
        <v>32000</v>
      </c>
      <c r="AN153" s="12">
        <f t="shared" si="6"/>
        <v>64000</v>
      </c>
    </row>
    <row r="154" spans="1:40">
      <c r="A154" s="50" t="s">
        <v>98</v>
      </c>
      <c r="B154" s="32">
        <v>15</v>
      </c>
      <c r="C154" s="33" t="s">
        <v>453</v>
      </c>
      <c r="D154" s="33" t="s">
        <v>453</v>
      </c>
      <c r="E154" s="33" t="s">
        <v>454</v>
      </c>
      <c r="F154" s="32" t="s">
        <v>455</v>
      </c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34">
        <v>1</v>
      </c>
      <c r="AA154" s="34">
        <v>1</v>
      </c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10">
        <f t="shared" si="3"/>
        <v>2</v>
      </c>
      <c r="AM154" s="11">
        <v>32000</v>
      </c>
      <c r="AN154" s="12">
        <f t="shared" si="6"/>
        <v>64000</v>
      </c>
    </row>
    <row r="155" spans="1:40">
      <c r="A155" s="50" t="s">
        <v>98</v>
      </c>
      <c r="B155" s="32">
        <v>69</v>
      </c>
      <c r="C155" s="33" t="s">
        <v>462</v>
      </c>
      <c r="D155" s="33" t="s">
        <v>463</v>
      </c>
      <c r="E155" s="33" t="s">
        <v>26</v>
      </c>
      <c r="F155" s="32" t="s">
        <v>464</v>
      </c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34">
        <v>1</v>
      </c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10">
        <f t="shared" si="3"/>
        <v>1</v>
      </c>
      <c r="AM155" s="11">
        <v>32000</v>
      </c>
      <c r="AN155" s="12">
        <f t="shared" ref="AN155:AN186" si="7">AM155*AL155</f>
        <v>32000</v>
      </c>
    </row>
    <row r="156" spans="1:40">
      <c r="A156" s="50" t="s">
        <v>98</v>
      </c>
      <c r="B156" s="32">
        <v>69</v>
      </c>
      <c r="C156" s="33" t="s">
        <v>462</v>
      </c>
      <c r="D156" s="33" t="s">
        <v>463</v>
      </c>
      <c r="E156" s="33" t="s">
        <v>465</v>
      </c>
      <c r="F156" s="32" t="s">
        <v>466</v>
      </c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34">
        <v>1</v>
      </c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10">
        <f t="shared" si="3"/>
        <v>1</v>
      </c>
      <c r="AM156" s="11">
        <v>32000</v>
      </c>
      <c r="AN156" s="12">
        <f t="shared" si="7"/>
        <v>32000</v>
      </c>
    </row>
    <row r="157" spans="1:40">
      <c r="A157" s="50" t="s">
        <v>98</v>
      </c>
      <c r="B157" s="32">
        <v>96</v>
      </c>
      <c r="C157" s="33" t="s">
        <v>467</v>
      </c>
      <c r="D157" s="33" t="s">
        <v>468</v>
      </c>
      <c r="E157" s="33" t="s">
        <v>469</v>
      </c>
      <c r="F157" s="32" t="s">
        <v>470</v>
      </c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34">
        <v>1</v>
      </c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10">
        <f t="shared" ref="AL157:AL197" si="8">SUM(G157:AK157)</f>
        <v>1</v>
      </c>
      <c r="AM157" s="11">
        <v>32000</v>
      </c>
      <c r="AN157" s="12">
        <f t="shared" si="7"/>
        <v>32000</v>
      </c>
    </row>
    <row r="158" spans="1:40">
      <c r="A158" s="50" t="s">
        <v>98</v>
      </c>
      <c r="B158" s="32">
        <v>96</v>
      </c>
      <c r="C158" s="33" t="s">
        <v>471</v>
      </c>
      <c r="D158" s="33" t="s">
        <v>404</v>
      </c>
      <c r="E158" s="33" t="s">
        <v>347</v>
      </c>
      <c r="F158" s="32" t="s">
        <v>472</v>
      </c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34">
        <v>1</v>
      </c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10">
        <f t="shared" si="8"/>
        <v>1</v>
      </c>
      <c r="AM158" s="11">
        <v>32000</v>
      </c>
      <c r="AN158" s="12">
        <f t="shared" si="7"/>
        <v>32000</v>
      </c>
    </row>
    <row r="159" spans="1:40">
      <c r="A159" s="50" t="s">
        <v>98</v>
      </c>
      <c r="B159" s="32">
        <v>84</v>
      </c>
      <c r="C159" s="33" t="s">
        <v>261</v>
      </c>
      <c r="D159" s="33" t="s">
        <v>473</v>
      </c>
      <c r="E159" s="33" t="s">
        <v>15</v>
      </c>
      <c r="F159" s="32" t="s">
        <v>474</v>
      </c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34">
        <v>1</v>
      </c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10">
        <f t="shared" si="8"/>
        <v>1</v>
      </c>
      <c r="AM159" s="11">
        <v>32000</v>
      </c>
      <c r="AN159" s="12">
        <f t="shared" si="7"/>
        <v>32000</v>
      </c>
    </row>
    <row r="160" spans="1:40">
      <c r="A160" s="50" t="s">
        <v>98</v>
      </c>
      <c r="B160" s="32">
        <v>84</v>
      </c>
      <c r="C160" s="33" t="s">
        <v>475</v>
      </c>
      <c r="D160" s="33" t="s">
        <v>391</v>
      </c>
      <c r="E160" s="33" t="s">
        <v>392</v>
      </c>
      <c r="F160" s="32" t="s">
        <v>402</v>
      </c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34">
        <v>1</v>
      </c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10">
        <f t="shared" si="8"/>
        <v>1</v>
      </c>
      <c r="AM160" s="11">
        <v>32000</v>
      </c>
      <c r="AN160" s="12">
        <f t="shared" si="7"/>
        <v>32000</v>
      </c>
    </row>
    <row r="161" spans="1:40">
      <c r="A161" s="50" t="s">
        <v>98</v>
      </c>
      <c r="B161" s="32">
        <v>43</v>
      </c>
      <c r="C161" s="33" t="s">
        <v>476</v>
      </c>
      <c r="D161" s="33" t="s">
        <v>477</v>
      </c>
      <c r="E161" s="33" t="s">
        <v>276</v>
      </c>
      <c r="F161" s="32" t="s">
        <v>478</v>
      </c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34">
        <v>1</v>
      </c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10">
        <f t="shared" si="8"/>
        <v>1</v>
      </c>
      <c r="AM161" s="11">
        <v>32000</v>
      </c>
      <c r="AN161" s="12">
        <f t="shared" si="7"/>
        <v>32000</v>
      </c>
    </row>
    <row r="162" spans="1:40">
      <c r="A162" s="50" t="s">
        <v>98</v>
      </c>
      <c r="B162" s="32">
        <v>43</v>
      </c>
      <c r="C162" s="33" t="s">
        <v>149</v>
      </c>
      <c r="D162" s="33" t="s">
        <v>479</v>
      </c>
      <c r="E162" s="33" t="s">
        <v>480</v>
      </c>
      <c r="F162" s="32" t="s">
        <v>481</v>
      </c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34">
        <v>1</v>
      </c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10">
        <f t="shared" si="8"/>
        <v>1</v>
      </c>
      <c r="AM162" s="11">
        <v>32000</v>
      </c>
      <c r="AN162" s="12">
        <f t="shared" si="7"/>
        <v>32000</v>
      </c>
    </row>
    <row r="163" spans="1:40">
      <c r="A163" s="50" t="s">
        <v>98</v>
      </c>
      <c r="B163" s="32">
        <v>9</v>
      </c>
      <c r="C163" s="33" t="s">
        <v>265</v>
      </c>
      <c r="D163" s="33" t="s">
        <v>106</v>
      </c>
      <c r="E163" s="33" t="s">
        <v>23</v>
      </c>
      <c r="F163" s="32" t="s">
        <v>267</v>
      </c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34">
        <v>1</v>
      </c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10">
        <f t="shared" si="8"/>
        <v>1</v>
      </c>
      <c r="AM163" s="11">
        <v>32000</v>
      </c>
      <c r="AN163" s="12">
        <f t="shared" si="7"/>
        <v>32000</v>
      </c>
    </row>
    <row r="164" spans="1:40">
      <c r="A164" s="50" t="s">
        <v>98</v>
      </c>
      <c r="B164" s="32">
        <v>10</v>
      </c>
      <c r="C164" s="33" t="s">
        <v>482</v>
      </c>
      <c r="D164" s="33" t="s">
        <v>52</v>
      </c>
      <c r="E164" s="33" t="s">
        <v>24</v>
      </c>
      <c r="F164" s="32" t="s">
        <v>140</v>
      </c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34">
        <v>1</v>
      </c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10">
        <f t="shared" si="8"/>
        <v>1</v>
      </c>
      <c r="AM164" s="11">
        <v>32000</v>
      </c>
      <c r="AN164" s="12">
        <f t="shared" si="7"/>
        <v>32000</v>
      </c>
    </row>
    <row r="165" spans="1:40">
      <c r="A165" s="50" t="s">
        <v>98</v>
      </c>
      <c r="B165" s="32">
        <v>20</v>
      </c>
      <c r="C165" s="33" t="s">
        <v>137</v>
      </c>
      <c r="D165" s="33" t="s">
        <v>138</v>
      </c>
      <c r="E165" s="33" t="s">
        <v>11</v>
      </c>
      <c r="F165" s="32" t="s">
        <v>483</v>
      </c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34">
        <v>1</v>
      </c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10">
        <f t="shared" si="8"/>
        <v>1</v>
      </c>
      <c r="AM165" s="11">
        <v>32000</v>
      </c>
      <c r="AN165" s="12">
        <f t="shared" si="7"/>
        <v>32000</v>
      </c>
    </row>
    <row r="166" spans="1:40">
      <c r="A166" s="50" t="s">
        <v>98</v>
      </c>
      <c r="B166" s="32">
        <v>26</v>
      </c>
      <c r="C166" s="33" t="s">
        <v>116</v>
      </c>
      <c r="D166" s="33" t="s">
        <v>117</v>
      </c>
      <c r="E166" s="33" t="s">
        <v>108</v>
      </c>
      <c r="F166" s="32" t="s">
        <v>118</v>
      </c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34">
        <v>1</v>
      </c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10">
        <f t="shared" si="8"/>
        <v>1</v>
      </c>
      <c r="AM166" s="11">
        <v>32000</v>
      </c>
      <c r="AN166" s="12">
        <f t="shared" si="7"/>
        <v>32000</v>
      </c>
    </row>
    <row r="167" spans="1:40">
      <c r="A167" s="50" t="s">
        <v>98</v>
      </c>
      <c r="B167" s="32">
        <v>26</v>
      </c>
      <c r="C167" s="33" t="s">
        <v>25</v>
      </c>
      <c r="D167" s="33" t="s">
        <v>119</v>
      </c>
      <c r="E167" s="33" t="s">
        <v>120</v>
      </c>
      <c r="F167" s="32" t="s">
        <v>121</v>
      </c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34">
        <v>1</v>
      </c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10">
        <f t="shared" si="8"/>
        <v>1</v>
      </c>
      <c r="AM167" s="11">
        <v>32000</v>
      </c>
      <c r="AN167" s="12">
        <f t="shared" si="7"/>
        <v>32000</v>
      </c>
    </row>
    <row r="168" spans="1:40">
      <c r="A168" s="50" t="s">
        <v>98</v>
      </c>
      <c r="B168" s="32">
        <v>27</v>
      </c>
      <c r="C168" s="33" t="s">
        <v>107</v>
      </c>
      <c r="D168" s="33" t="s">
        <v>21</v>
      </c>
      <c r="E168" s="33" t="s">
        <v>108</v>
      </c>
      <c r="F168" s="32" t="s">
        <v>109</v>
      </c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34">
        <v>1</v>
      </c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10">
        <f t="shared" si="8"/>
        <v>1</v>
      </c>
      <c r="AM168" s="11">
        <v>32000</v>
      </c>
      <c r="AN168" s="12">
        <f t="shared" si="7"/>
        <v>32000</v>
      </c>
    </row>
    <row r="169" spans="1:40">
      <c r="A169" s="50" t="s">
        <v>98</v>
      </c>
      <c r="B169" s="32">
        <v>27</v>
      </c>
      <c r="C169" s="33" t="s">
        <v>111</v>
      </c>
      <c r="D169" s="33" t="s">
        <v>112</v>
      </c>
      <c r="E169" s="33" t="s">
        <v>104</v>
      </c>
      <c r="F169" s="32" t="s">
        <v>113</v>
      </c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34">
        <v>1</v>
      </c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10">
        <f t="shared" si="8"/>
        <v>1</v>
      </c>
      <c r="AM169" s="11">
        <v>32000</v>
      </c>
      <c r="AN169" s="12">
        <f t="shared" si="7"/>
        <v>32000</v>
      </c>
    </row>
    <row r="170" spans="1:40">
      <c r="A170" s="50" t="s">
        <v>98</v>
      </c>
      <c r="B170" s="32">
        <v>29</v>
      </c>
      <c r="C170" s="33" t="s">
        <v>484</v>
      </c>
      <c r="D170" s="33" t="s">
        <v>485</v>
      </c>
      <c r="E170" s="33" t="s">
        <v>286</v>
      </c>
      <c r="F170" s="32" t="s">
        <v>287</v>
      </c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34">
        <v>1</v>
      </c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10">
        <f t="shared" si="8"/>
        <v>1</v>
      </c>
      <c r="AM170" s="11">
        <v>32000</v>
      </c>
      <c r="AN170" s="12">
        <f t="shared" si="7"/>
        <v>32000</v>
      </c>
    </row>
    <row r="171" spans="1:40">
      <c r="A171" s="50" t="s">
        <v>98</v>
      </c>
      <c r="B171" s="32">
        <v>29</v>
      </c>
      <c r="C171" s="33" t="s">
        <v>486</v>
      </c>
      <c r="D171" s="33" t="s">
        <v>346</v>
      </c>
      <c r="E171" s="33" t="s">
        <v>347</v>
      </c>
      <c r="F171" s="32" t="s">
        <v>348</v>
      </c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34">
        <v>1</v>
      </c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10">
        <f t="shared" si="8"/>
        <v>1</v>
      </c>
      <c r="AM171" s="11">
        <v>32000</v>
      </c>
      <c r="AN171" s="12">
        <f t="shared" si="7"/>
        <v>32000</v>
      </c>
    </row>
    <row r="172" spans="1:40">
      <c r="A172" s="50" t="s">
        <v>98</v>
      </c>
      <c r="B172" s="32">
        <v>41</v>
      </c>
      <c r="C172" s="33" t="s">
        <v>487</v>
      </c>
      <c r="D172" s="33" t="s">
        <v>21</v>
      </c>
      <c r="E172" s="33" t="s">
        <v>259</v>
      </c>
      <c r="F172" s="32" t="s">
        <v>260</v>
      </c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34">
        <v>1</v>
      </c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10">
        <f t="shared" si="8"/>
        <v>1</v>
      </c>
      <c r="AM172" s="11">
        <v>32000</v>
      </c>
      <c r="AN172" s="12">
        <f t="shared" si="7"/>
        <v>32000</v>
      </c>
    </row>
    <row r="173" spans="1:40">
      <c r="A173" s="50" t="s">
        <v>98</v>
      </c>
      <c r="B173" s="32">
        <v>41</v>
      </c>
      <c r="C173" s="33" t="s">
        <v>488</v>
      </c>
      <c r="D173" s="33" t="s">
        <v>350</v>
      </c>
      <c r="E173" s="33" t="s">
        <v>9</v>
      </c>
      <c r="F173" s="32" t="s">
        <v>351</v>
      </c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34">
        <v>1</v>
      </c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10">
        <f t="shared" si="8"/>
        <v>1</v>
      </c>
      <c r="AM173" s="11">
        <v>32000</v>
      </c>
      <c r="AN173" s="12">
        <f t="shared" si="7"/>
        <v>32000</v>
      </c>
    </row>
    <row r="174" spans="1:40">
      <c r="A174" s="50" t="s">
        <v>98</v>
      </c>
      <c r="B174" s="32">
        <v>9</v>
      </c>
      <c r="C174" s="33" t="s">
        <v>149</v>
      </c>
      <c r="D174" s="33" t="s">
        <v>241</v>
      </c>
      <c r="E174" s="33" t="s">
        <v>242</v>
      </c>
      <c r="F174" s="32" t="s">
        <v>243</v>
      </c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34">
        <v>1</v>
      </c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10">
        <f t="shared" si="8"/>
        <v>1</v>
      </c>
      <c r="AM174" s="11">
        <v>32000</v>
      </c>
      <c r="AN174" s="12">
        <f t="shared" si="7"/>
        <v>32000</v>
      </c>
    </row>
    <row r="175" spans="1:40">
      <c r="A175" s="50" t="s">
        <v>98</v>
      </c>
      <c r="B175" s="32">
        <v>20</v>
      </c>
      <c r="C175" s="33" t="s">
        <v>134</v>
      </c>
      <c r="D175" s="33" t="s">
        <v>135</v>
      </c>
      <c r="E175" s="33" t="s">
        <v>11</v>
      </c>
      <c r="F175" s="32" t="s">
        <v>136</v>
      </c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34">
        <v>1</v>
      </c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10">
        <f t="shared" si="8"/>
        <v>1</v>
      </c>
      <c r="AM175" s="11">
        <v>32000</v>
      </c>
      <c r="AN175" s="12">
        <f t="shared" si="7"/>
        <v>32000</v>
      </c>
    </row>
    <row r="176" spans="1:40">
      <c r="A176" s="50" t="s">
        <v>98</v>
      </c>
      <c r="B176" s="32">
        <v>3</v>
      </c>
      <c r="C176" s="33" t="s">
        <v>126</v>
      </c>
      <c r="D176" s="33" t="s">
        <v>127</v>
      </c>
      <c r="E176" s="33" t="s">
        <v>128</v>
      </c>
      <c r="F176" s="32" t="s">
        <v>489</v>
      </c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34">
        <v>1</v>
      </c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10">
        <f t="shared" si="8"/>
        <v>1</v>
      </c>
      <c r="AM176" s="11">
        <v>32000</v>
      </c>
      <c r="AN176" s="12">
        <f t="shared" si="7"/>
        <v>32000</v>
      </c>
    </row>
    <row r="177" spans="1:40">
      <c r="A177" s="50" t="s">
        <v>98</v>
      </c>
      <c r="B177" s="32">
        <v>3</v>
      </c>
      <c r="C177" s="33" t="s">
        <v>130</v>
      </c>
      <c r="D177" s="33" t="s">
        <v>131</v>
      </c>
      <c r="E177" s="33" t="s">
        <v>22</v>
      </c>
      <c r="F177" s="32" t="s">
        <v>133</v>
      </c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34">
        <v>1</v>
      </c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10">
        <f t="shared" si="8"/>
        <v>1</v>
      </c>
      <c r="AM177" s="11">
        <v>32000</v>
      </c>
      <c r="AN177" s="12">
        <f t="shared" si="7"/>
        <v>32000</v>
      </c>
    </row>
    <row r="178" spans="1:40">
      <c r="A178" s="50" t="s">
        <v>98</v>
      </c>
      <c r="B178" s="32">
        <v>117</v>
      </c>
      <c r="C178" s="33" t="s">
        <v>144</v>
      </c>
      <c r="D178" s="33" t="s">
        <v>145</v>
      </c>
      <c r="E178" s="33" t="s">
        <v>146</v>
      </c>
      <c r="F178" s="32" t="s">
        <v>147</v>
      </c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34">
        <v>1</v>
      </c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10">
        <f t="shared" si="8"/>
        <v>1</v>
      </c>
      <c r="AM178" s="11">
        <v>32000</v>
      </c>
      <c r="AN178" s="12">
        <f t="shared" si="7"/>
        <v>32000</v>
      </c>
    </row>
    <row r="179" spans="1:40">
      <c r="A179" s="50" t="s">
        <v>98</v>
      </c>
      <c r="B179" s="32">
        <v>117</v>
      </c>
      <c r="C179" s="33" t="s">
        <v>490</v>
      </c>
      <c r="D179" s="33" t="s">
        <v>149</v>
      </c>
      <c r="E179" s="33" t="s">
        <v>27</v>
      </c>
      <c r="F179" s="32" t="s">
        <v>150</v>
      </c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34">
        <v>1</v>
      </c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10">
        <f t="shared" si="8"/>
        <v>1</v>
      </c>
      <c r="AM179" s="11">
        <v>32000</v>
      </c>
      <c r="AN179" s="12">
        <f t="shared" si="7"/>
        <v>32000</v>
      </c>
    </row>
    <row r="180" spans="1:40">
      <c r="A180" s="50" t="s">
        <v>98</v>
      </c>
      <c r="B180" s="32">
        <v>10</v>
      </c>
      <c r="C180" s="33" t="s">
        <v>141</v>
      </c>
      <c r="D180" s="33" t="s">
        <v>141</v>
      </c>
      <c r="E180" s="33" t="s">
        <v>142</v>
      </c>
      <c r="F180" s="32" t="s">
        <v>143</v>
      </c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34">
        <v>1</v>
      </c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10">
        <f t="shared" si="8"/>
        <v>1</v>
      </c>
      <c r="AM180" s="11">
        <v>32000</v>
      </c>
      <c r="AN180" s="12">
        <f t="shared" si="7"/>
        <v>32000</v>
      </c>
    </row>
    <row r="181" spans="1:40">
      <c r="A181" s="50" t="s">
        <v>98</v>
      </c>
      <c r="B181" s="32">
        <v>44</v>
      </c>
      <c r="C181" s="33" t="s">
        <v>20</v>
      </c>
      <c r="D181" s="33" t="s">
        <v>122</v>
      </c>
      <c r="E181" s="33" t="s">
        <v>15</v>
      </c>
      <c r="F181" s="32" t="s">
        <v>123</v>
      </c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34">
        <v>1</v>
      </c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10">
        <f t="shared" si="8"/>
        <v>1</v>
      </c>
      <c r="AM181" s="11">
        <v>32000</v>
      </c>
      <c r="AN181" s="12">
        <f t="shared" si="7"/>
        <v>32000</v>
      </c>
    </row>
    <row r="182" spans="1:40">
      <c r="A182" s="50" t="s">
        <v>98</v>
      </c>
      <c r="B182" s="32">
        <v>11</v>
      </c>
      <c r="C182" s="33" t="s">
        <v>488</v>
      </c>
      <c r="D182" s="33" t="s">
        <v>491</v>
      </c>
      <c r="E182" s="33" t="s">
        <v>236</v>
      </c>
      <c r="F182" s="32" t="s">
        <v>492</v>
      </c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34">
        <v>1</v>
      </c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10">
        <f t="shared" si="8"/>
        <v>1</v>
      </c>
      <c r="AM182" s="11">
        <v>32000</v>
      </c>
      <c r="AN182" s="12">
        <f t="shared" si="7"/>
        <v>32000</v>
      </c>
    </row>
    <row r="183" spans="1:40">
      <c r="A183" s="50" t="s">
        <v>98</v>
      </c>
      <c r="B183" s="32">
        <v>120</v>
      </c>
      <c r="C183" s="33" t="s">
        <v>493</v>
      </c>
      <c r="D183" s="33" t="s">
        <v>493</v>
      </c>
      <c r="E183" s="33" t="s">
        <v>494</v>
      </c>
      <c r="F183" s="32" t="s">
        <v>495</v>
      </c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34">
        <v>1</v>
      </c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10">
        <f t="shared" si="8"/>
        <v>1</v>
      </c>
      <c r="AM183" s="11">
        <v>32000</v>
      </c>
      <c r="AN183" s="12">
        <f t="shared" si="7"/>
        <v>32000</v>
      </c>
    </row>
    <row r="184" spans="1:40">
      <c r="A184" s="50" t="s">
        <v>98</v>
      </c>
      <c r="B184" s="32">
        <v>102</v>
      </c>
      <c r="C184" s="33" t="s">
        <v>333</v>
      </c>
      <c r="D184" s="33" t="s">
        <v>12</v>
      </c>
      <c r="E184" s="33" t="s">
        <v>496</v>
      </c>
      <c r="F184" s="32" t="s">
        <v>497</v>
      </c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34">
        <v>1</v>
      </c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10">
        <f t="shared" si="8"/>
        <v>1</v>
      </c>
      <c r="AM184" s="11">
        <v>32000</v>
      </c>
      <c r="AN184" s="12">
        <f t="shared" si="7"/>
        <v>32000</v>
      </c>
    </row>
    <row r="185" spans="1:40">
      <c r="A185" s="50" t="s">
        <v>98</v>
      </c>
      <c r="B185" s="32">
        <v>102</v>
      </c>
      <c r="C185" s="33" t="s">
        <v>149</v>
      </c>
      <c r="D185" s="33" t="s">
        <v>19</v>
      </c>
      <c r="E185" s="33" t="s">
        <v>498</v>
      </c>
      <c r="F185" s="32" t="s">
        <v>499</v>
      </c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34">
        <v>1</v>
      </c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10">
        <f t="shared" si="8"/>
        <v>1</v>
      </c>
      <c r="AM185" s="11">
        <v>32000</v>
      </c>
      <c r="AN185" s="12">
        <f t="shared" si="7"/>
        <v>32000</v>
      </c>
    </row>
    <row r="186" spans="1:40">
      <c r="A186" s="50" t="s">
        <v>98</v>
      </c>
      <c r="B186" s="32">
        <v>91</v>
      </c>
      <c r="C186" s="33" t="s">
        <v>360</v>
      </c>
      <c r="D186" s="33" t="s">
        <v>12</v>
      </c>
      <c r="E186" s="33" t="s">
        <v>15</v>
      </c>
      <c r="F186" s="32" t="s">
        <v>500</v>
      </c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34">
        <v>1</v>
      </c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10">
        <f t="shared" si="8"/>
        <v>1</v>
      </c>
      <c r="AM186" s="11">
        <v>32000</v>
      </c>
      <c r="AN186" s="12">
        <f t="shared" si="7"/>
        <v>32000</v>
      </c>
    </row>
    <row r="187" spans="1:40">
      <c r="A187" s="50" t="s">
        <v>98</v>
      </c>
      <c r="B187" s="32">
        <v>48</v>
      </c>
      <c r="C187" s="33" t="s">
        <v>501</v>
      </c>
      <c r="D187" s="33" t="s">
        <v>360</v>
      </c>
      <c r="E187" s="33" t="s">
        <v>502</v>
      </c>
      <c r="F187" s="32" t="s">
        <v>503</v>
      </c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34">
        <v>1</v>
      </c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10">
        <f t="shared" si="8"/>
        <v>1</v>
      </c>
      <c r="AM187" s="11">
        <v>32000</v>
      </c>
      <c r="AN187" s="12">
        <f>AM187*AL187</f>
        <v>32000</v>
      </c>
    </row>
    <row r="188" spans="1:40">
      <c r="A188" s="50" t="s">
        <v>98</v>
      </c>
      <c r="B188" s="32">
        <v>90</v>
      </c>
      <c r="C188" s="33" t="s">
        <v>504</v>
      </c>
      <c r="D188" s="33" t="s">
        <v>505</v>
      </c>
      <c r="E188" s="33" t="s">
        <v>15</v>
      </c>
      <c r="F188" s="32" t="s">
        <v>506</v>
      </c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34">
        <v>1</v>
      </c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10">
        <f t="shared" si="8"/>
        <v>1</v>
      </c>
      <c r="AM188" s="11">
        <v>32000</v>
      </c>
      <c r="AN188" s="12">
        <f>AM188*AL188</f>
        <v>32000</v>
      </c>
    </row>
    <row r="189" spans="1:40">
      <c r="A189" s="50" t="s">
        <v>98</v>
      </c>
      <c r="B189" s="32">
        <v>61</v>
      </c>
      <c r="C189" s="33" t="s">
        <v>507</v>
      </c>
      <c r="D189" s="33" t="s">
        <v>508</v>
      </c>
      <c r="E189" s="33" t="s">
        <v>146</v>
      </c>
      <c r="F189" s="32" t="s">
        <v>509</v>
      </c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34">
        <v>1</v>
      </c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10">
        <f t="shared" si="8"/>
        <v>1</v>
      </c>
      <c r="AM189" s="11">
        <v>32000</v>
      </c>
      <c r="AN189" s="12">
        <f>AM189*AL189</f>
        <v>32000</v>
      </c>
    </row>
    <row r="190" spans="1:40">
      <c r="A190" s="50" t="s">
        <v>98</v>
      </c>
      <c r="B190" s="32">
        <v>3</v>
      </c>
      <c r="C190" s="33" t="s">
        <v>82</v>
      </c>
      <c r="D190" s="33" t="s">
        <v>19</v>
      </c>
      <c r="E190" s="33" t="s">
        <v>83</v>
      </c>
      <c r="F190" s="32" t="s">
        <v>84</v>
      </c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34">
        <v>1</v>
      </c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10">
        <f t="shared" si="8"/>
        <v>1</v>
      </c>
      <c r="AM190" s="11">
        <v>32000</v>
      </c>
      <c r="AN190" s="12">
        <f t="shared" ref="AN190:AN197" si="9">AM190*AL190</f>
        <v>32000</v>
      </c>
    </row>
    <row r="191" spans="1:40">
      <c r="A191" s="50" t="s">
        <v>98</v>
      </c>
      <c r="B191" s="32">
        <v>3</v>
      </c>
      <c r="C191" s="33" t="s">
        <v>8</v>
      </c>
      <c r="D191" s="33" t="s">
        <v>80</v>
      </c>
      <c r="E191" s="33" t="s">
        <v>63</v>
      </c>
      <c r="F191" s="32" t="s">
        <v>81</v>
      </c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34">
        <v>1</v>
      </c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10">
        <f t="shared" si="8"/>
        <v>1</v>
      </c>
      <c r="AM191" s="11">
        <v>32000</v>
      </c>
      <c r="AN191" s="12">
        <f t="shared" si="9"/>
        <v>32000</v>
      </c>
    </row>
    <row r="192" spans="1:40">
      <c r="A192" s="50" t="s">
        <v>98</v>
      </c>
      <c r="B192" s="32">
        <v>14</v>
      </c>
      <c r="C192" s="33" t="s">
        <v>86</v>
      </c>
      <c r="D192" s="33" t="s">
        <v>510</v>
      </c>
      <c r="E192" s="33" t="s">
        <v>87</v>
      </c>
      <c r="F192" s="32" t="s">
        <v>88</v>
      </c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34">
        <v>1</v>
      </c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10">
        <f t="shared" si="8"/>
        <v>1</v>
      </c>
      <c r="AM192" s="11">
        <v>32000</v>
      </c>
      <c r="AN192" s="12">
        <f t="shared" si="9"/>
        <v>32000</v>
      </c>
    </row>
    <row r="193" spans="1:40">
      <c r="A193" s="50" t="s">
        <v>98</v>
      </c>
      <c r="B193" s="32">
        <v>14</v>
      </c>
      <c r="C193" s="33" t="s">
        <v>77</v>
      </c>
      <c r="D193" s="33" t="s">
        <v>274</v>
      </c>
      <c r="E193" s="33" t="s">
        <v>78</v>
      </c>
      <c r="F193" s="32" t="s">
        <v>79</v>
      </c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34">
        <v>1</v>
      </c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10">
        <f t="shared" si="8"/>
        <v>1</v>
      </c>
      <c r="AM193" s="11">
        <v>32000</v>
      </c>
      <c r="AN193" s="12">
        <f t="shared" si="9"/>
        <v>32000</v>
      </c>
    </row>
    <row r="194" spans="1:40">
      <c r="A194" s="50" t="s">
        <v>98</v>
      </c>
      <c r="B194" s="32">
        <v>100</v>
      </c>
      <c r="C194" s="33" t="s">
        <v>91</v>
      </c>
      <c r="D194" s="33" t="s">
        <v>153</v>
      </c>
      <c r="E194" s="33" t="s">
        <v>92</v>
      </c>
      <c r="F194" s="32" t="s">
        <v>93</v>
      </c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34">
        <v>1</v>
      </c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10">
        <f t="shared" si="8"/>
        <v>1</v>
      </c>
      <c r="AM194" s="11">
        <v>32000</v>
      </c>
      <c r="AN194" s="12">
        <f t="shared" si="9"/>
        <v>32000</v>
      </c>
    </row>
    <row r="195" spans="1:40">
      <c r="A195" s="50" t="s">
        <v>98</v>
      </c>
      <c r="B195" s="32">
        <v>100</v>
      </c>
      <c r="C195" s="33" t="s">
        <v>28</v>
      </c>
      <c r="D195" s="33" t="s">
        <v>154</v>
      </c>
      <c r="E195" s="33" t="s">
        <v>65</v>
      </c>
      <c r="F195" s="32" t="s">
        <v>66</v>
      </c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34">
        <v>1</v>
      </c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10">
        <f t="shared" si="8"/>
        <v>1</v>
      </c>
      <c r="AM195" s="11">
        <v>32000</v>
      </c>
      <c r="AN195" s="12">
        <f t="shared" si="9"/>
        <v>32000</v>
      </c>
    </row>
    <row r="196" spans="1:40">
      <c r="A196" s="50" t="s">
        <v>98</v>
      </c>
      <c r="B196" s="32">
        <v>104</v>
      </c>
      <c r="C196" s="33" t="s">
        <v>511</v>
      </c>
      <c r="D196" s="33" t="s">
        <v>512</v>
      </c>
      <c r="E196" s="33" t="s">
        <v>513</v>
      </c>
      <c r="F196" s="32" t="s">
        <v>516</v>
      </c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34">
        <v>1</v>
      </c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10">
        <f t="shared" si="8"/>
        <v>1</v>
      </c>
      <c r="AM196" s="11">
        <v>32000</v>
      </c>
      <c r="AN196" s="12">
        <f t="shared" si="9"/>
        <v>32000</v>
      </c>
    </row>
    <row r="197" spans="1:40" ht="13.5" thickBot="1">
      <c r="A197" s="55" t="s">
        <v>98</v>
      </c>
      <c r="B197" s="38">
        <v>104</v>
      </c>
      <c r="C197" s="39" t="s">
        <v>71</v>
      </c>
      <c r="D197" s="39" t="s">
        <v>514</v>
      </c>
      <c r="E197" s="39" t="s">
        <v>515</v>
      </c>
      <c r="F197" s="38" t="s">
        <v>73</v>
      </c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40">
        <v>1</v>
      </c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13">
        <f t="shared" si="8"/>
        <v>1</v>
      </c>
      <c r="AM197" s="14">
        <v>32000</v>
      </c>
      <c r="AN197" s="14">
        <f t="shared" si="9"/>
        <v>32000</v>
      </c>
    </row>
    <row r="198" spans="1:40">
      <c r="A198" s="50" t="s">
        <v>98</v>
      </c>
      <c r="B198" s="32">
        <v>2</v>
      </c>
      <c r="C198" s="33" t="s">
        <v>766</v>
      </c>
      <c r="D198" s="33" t="s">
        <v>295</v>
      </c>
      <c r="E198" s="33" t="s">
        <v>176</v>
      </c>
      <c r="F198" s="32" t="s">
        <v>830</v>
      </c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34">
        <v>1</v>
      </c>
      <c r="AC198" s="34">
        <v>1</v>
      </c>
      <c r="AD198" s="34">
        <v>1</v>
      </c>
      <c r="AE198" s="34">
        <v>1</v>
      </c>
      <c r="AF198" s="34">
        <v>1</v>
      </c>
      <c r="AG198" s="34">
        <v>1</v>
      </c>
      <c r="AH198" s="34">
        <v>1</v>
      </c>
      <c r="AI198" s="34">
        <v>1</v>
      </c>
      <c r="AJ198" s="34">
        <v>1</v>
      </c>
      <c r="AK198" s="34">
        <v>1</v>
      </c>
      <c r="AL198" s="43">
        <f t="shared" ref="AL198:AL261" si="10">SUM(G198:AK198)</f>
        <v>10</v>
      </c>
      <c r="AM198" s="11">
        <v>32000</v>
      </c>
      <c r="AN198" s="11">
        <f t="shared" ref="AN198:AN261" si="11">AM198*AL198</f>
        <v>320000</v>
      </c>
    </row>
    <row r="199" spans="1:40">
      <c r="A199" s="50" t="s">
        <v>98</v>
      </c>
      <c r="B199" s="32">
        <v>2</v>
      </c>
      <c r="C199" s="33" t="s">
        <v>866</v>
      </c>
      <c r="D199" s="33" t="s">
        <v>867</v>
      </c>
      <c r="E199" s="33" t="s">
        <v>865</v>
      </c>
      <c r="F199" s="32" t="s">
        <v>831</v>
      </c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34">
        <v>1</v>
      </c>
      <c r="AC199" s="34">
        <v>1</v>
      </c>
      <c r="AD199" s="34">
        <v>1</v>
      </c>
      <c r="AE199" s="34">
        <v>1</v>
      </c>
      <c r="AF199" s="34">
        <v>1</v>
      </c>
      <c r="AG199" s="34">
        <v>1</v>
      </c>
      <c r="AH199" s="34">
        <v>1</v>
      </c>
      <c r="AI199" s="34">
        <v>1</v>
      </c>
      <c r="AJ199" s="34">
        <v>1</v>
      </c>
      <c r="AK199" s="34">
        <v>1</v>
      </c>
      <c r="AL199" s="10">
        <f t="shared" si="10"/>
        <v>10</v>
      </c>
      <c r="AM199" s="11">
        <v>32000</v>
      </c>
      <c r="AN199" s="12">
        <f t="shared" si="11"/>
        <v>320000</v>
      </c>
    </row>
    <row r="200" spans="1:40">
      <c r="A200" s="50" t="s">
        <v>98</v>
      </c>
      <c r="B200" s="32">
        <v>3</v>
      </c>
      <c r="C200" s="33" t="s">
        <v>126</v>
      </c>
      <c r="D200" s="33" t="s">
        <v>127</v>
      </c>
      <c r="E200" s="33" t="s">
        <v>128</v>
      </c>
      <c r="F200" s="32" t="s">
        <v>489</v>
      </c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34">
        <v>1</v>
      </c>
      <c r="AC200" s="34">
        <v>1</v>
      </c>
      <c r="AD200" s="34">
        <v>1</v>
      </c>
      <c r="AE200" s="34">
        <v>1</v>
      </c>
      <c r="AF200" s="34">
        <v>1</v>
      </c>
      <c r="AG200" s="34">
        <v>1</v>
      </c>
      <c r="AH200" s="47"/>
      <c r="AI200" s="47"/>
      <c r="AJ200" s="47"/>
      <c r="AK200" s="47"/>
      <c r="AL200" s="10">
        <f t="shared" si="10"/>
        <v>6</v>
      </c>
      <c r="AM200" s="11">
        <v>32000</v>
      </c>
      <c r="AN200" s="12">
        <f t="shared" si="11"/>
        <v>192000</v>
      </c>
    </row>
    <row r="201" spans="1:40">
      <c r="A201" s="50" t="s">
        <v>98</v>
      </c>
      <c r="B201" s="32">
        <v>3</v>
      </c>
      <c r="C201" s="33" t="s">
        <v>130</v>
      </c>
      <c r="D201" s="33" t="s">
        <v>131</v>
      </c>
      <c r="E201" s="33" t="s">
        <v>22</v>
      </c>
      <c r="F201" s="32" t="s">
        <v>133</v>
      </c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34">
        <v>1</v>
      </c>
      <c r="AC201" s="34">
        <v>1</v>
      </c>
      <c r="AD201" s="34">
        <v>1</v>
      </c>
      <c r="AE201" s="34">
        <v>1</v>
      </c>
      <c r="AF201" s="34">
        <v>1</v>
      </c>
      <c r="AG201" s="34">
        <v>1</v>
      </c>
      <c r="AH201" s="34">
        <v>1</v>
      </c>
      <c r="AI201" s="34">
        <v>1</v>
      </c>
      <c r="AJ201" s="34">
        <v>1</v>
      </c>
      <c r="AK201" s="34">
        <v>1</v>
      </c>
      <c r="AL201" s="10">
        <f t="shared" si="10"/>
        <v>10</v>
      </c>
      <c r="AM201" s="11">
        <v>32000</v>
      </c>
      <c r="AN201" s="12">
        <f t="shared" si="11"/>
        <v>320000</v>
      </c>
    </row>
    <row r="202" spans="1:40">
      <c r="A202" s="50" t="s">
        <v>98</v>
      </c>
      <c r="B202" s="32">
        <v>3</v>
      </c>
      <c r="C202" s="33" t="s">
        <v>391</v>
      </c>
      <c r="D202" s="33" t="s">
        <v>949</v>
      </c>
      <c r="E202" s="33" t="s">
        <v>310</v>
      </c>
      <c r="F202" s="32" t="s">
        <v>952</v>
      </c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34">
        <v>1</v>
      </c>
      <c r="AI202" s="34">
        <v>1</v>
      </c>
      <c r="AJ202" s="34">
        <v>1</v>
      </c>
      <c r="AK202" s="34">
        <v>1</v>
      </c>
      <c r="AL202" s="10">
        <f t="shared" si="10"/>
        <v>4</v>
      </c>
      <c r="AM202" s="11">
        <v>32000</v>
      </c>
      <c r="AN202" s="12">
        <f t="shared" si="11"/>
        <v>128000</v>
      </c>
    </row>
    <row r="203" spans="1:40">
      <c r="A203" s="50" t="s">
        <v>98</v>
      </c>
      <c r="B203" s="32">
        <v>5</v>
      </c>
      <c r="C203" s="33" t="s">
        <v>275</v>
      </c>
      <c r="D203" s="33" t="s">
        <v>275</v>
      </c>
      <c r="E203" s="33" t="s">
        <v>9</v>
      </c>
      <c r="F203" s="32" t="s">
        <v>624</v>
      </c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34">
        <v>1</v>
      </c>
      <c r="AC203" s="34">
        <v>1</v>
      </c>
      <c r="AD203" s="34">
        <v>1</v>
      </c>
      <c r="AE203" s="34">
        <v>1</v>
      </c>
      <c r="AF203" s="34">
        <v>1</v>
      </c>
      <c r="AG203" s="34">
        <v>1</v>
      </c>
      <c r="AH203" s="34">
        <v>1</v>
      </c>
      <c r="AI203" s="34">
        <v>1</v>
      </c>
      <c r="AJ203" s="34">
        <v>1</v>
      </c>
      <c r="AK203" s="34">
        <v>1</v>
      </c>
      <c r="AL203" s="10">
        <f t="shared" si="10"/>
        <v>10</v>
      </c>
      <c r="AM203" s="11">
        <v>32000</v>
      </c>
      <c r="AN203" s="12">
        <f t="shared" si="11"/>
        <v>320000</v>
      </c>
    </row>
    <row r="204" spans="1:40">
      <c r="A204" s="50" t="s">
        <v>98</v>
      </c>
      <c r="B204" s="32">
        <v>5</v>
      </c>
      <c r="C204" s="33" t="s">
        <v>625</v>
      </c>
      <c r="D204" s="33" t="s">
        <v>403</v>
      </c>
      <c r="E204" s="33" t="s">
        <v>212</v>
      </c>
      <c r="F204" s="32" t="s">
        <v>626</v>
      </c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34">
        <v>1</v>
      </c>
      <c r="AC204" s="34">
        <v>1</v>
      </c>
      <c r="AD204" s="34">
        <v>1</v>
      </c>
      <c r="AE204" s="34">
        <v>1</v>
      </c>
      <c r="AF204" s="34">
        <v>1</v>
      </c>
      <c r="AG204" s="34">
        <v>1</v>
      </c>
      <c r="AH204" s="34">
        <v>1</v>
      </c>
      <c r="AI204" s="34">
        <v>1</v>
      </c>
      <c r="AJ204" s="34">
        <v>1</v>
      </c>
      <c r="AK204" s="34">
        <v>1</v>
      </c>
      <c r="AL204" s="10">
        <f t="shared" si="10"/>
        <v>10</v>
      </c>
      <c r="AM204" s="11">
        <v>32000</v>
      </c>
      <c r="AN204" s="12">
        <f t="shared" si="11"/>
        <v>320000</v>
      </c>
    </row>
    <row r="205" spans="1:40">
      <c r="A205" s="50" t="s">
        <v>98</v>
      </c>
      <c r="B205" s="32">
        <v>6</v>
      </c>
      <c r="C205" s="33" t="s">
        <v>577</v>
      </c>
      <c r="D205" s="33" t="s">
        <v>627</v>
      </c>
      <c r="E205" s="33" t="s">
        <v>628</v>
      </c>
      <c r="F205" s="32" t="s">
        <v>629</v>
      </c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34">
        <v>1</v>
      </c>
      <c r="AC205" s="34">
        <v>1</v>
      </c>
      <c r="AD205" s="34">
        <v>1</v>
      </c>
      <c r="AE205" s="34">
        <v>1</v>
      </c>
      <c r="AF205" s="34">
        <v>1</v>
      </c>
      <c r="AG205" s="34">
        <v>1</v>
      </c>
      <c r="AH205" s="34">
        <v>1</v>
      </c>
      <c r="AI205" s="34">
        <v>1</v>
      </c>
      <c r="AJ205" s="34">
        <v>1</v>
      </c>
      <c r="AK205" s="34">
        <v>1</v>
      </c>
      <c r="AL205" s="10">
        <f t="shared" si="10"/>
        <v>10</v>
      </c>
      <c r="AM205" s="11">
        <v>32000</v>
      </c>
      <c r="AN205" s="12">
        <f t="shared" si="11"/>
        <v>320000</v>
      </c>
    </row>
    <row r="206" spans="1:40">
      <c r="A206" s="50" t="s">
        <v>98</v>
      </c>
      <c r="B206" s="32">
        <v>9</v>
      </c>
      <c r="C206" s="33" t="s">
        <v>265</v>
      </c>
      <c r="D206" s="33" t="s">
        <v>106</v>
      </c>
      <c r="E206" s="33" t="s">
        <v>23</v>
      </c>
      <c r="F206" s="32" t="s">
        <v>267</v>
      </c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34">
        <v>1</v>
      </c>
      <c r="AC206" s="34">
        <v>1</v>
      </c>
      <c r="AD206" s="47"/>
      <c r="AE206" s="47"/>
      <c r="AF206" s="47"/>
      <c r="AG206" s="47"/>
      <c r="AH206" s="47"/>
      <c r="AI206" s="47"/>
      <c r="AJ206" s="47"/>
      <c r="AK206" s="47"/>
      <c r="AL206" s="10">
        <f t="shared" si="10"/>
        <v>2</v>
      </c>
      <c r="AM206" s="11">
        <v>32000</v>
      </c>
      <c r="AN206" s="12">
        <f t="shared" si="11"/>
        <v>64000</v>
      </c>
    </row>
    <row r="207" spans="1:40">
      <c r="A207" s="50" t="s">
        <v>98</v>
      </c>
      <c r="B207" s="32">
        <v>9</v>
      </c>
      <c r="C207" s="33" t="s">
        <v>149</v>
      </c>
      <c r="D207" s="33" t="s">
        <v>241</v>
      </c>
      <c r="E207" s="33" t="s">
        <v>242</v>
      </c>
      <c r="F207" s="32" t="s">
        <v>243</v>
      </c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34">
        <v>1</v>
      </c>
      <c r="AC207" s="34">
        <v>1</v>
      </c>
      <c r="AD207" s="34">
        <v>1</v>
      </c>
      <c r="AE207" s="34">
        <v>1</v>
      </c>
      <c r="AF207" s="34">
        <v>1</v>
      </c>
      <c r="AG207" s="34">
        <v>1</v>
      </c>
      <c r="AH207" s="34">
        <v>1</v>
      </c>
      <c r="AI207" s="34">
        <v>1</v>
      </c>
      <c r="AJ207" s="34">
        <v>1</v>
      </c>
      <c r="AK207" s="34">
        <v>1</v>
      </c>
      <c r="AL207" s="10">
        <f t="shared" si="10"/>
        <v>10</v>
      </c>
      <c r="AM207" s="11">
        <v>32000</v>
      </c>
      <c r="AN207" s="12">
        <f t="shared" si="11"/>
        <v>320000</v>
      </c>
    </row>
    <row r="208" spans="1:40">
      <c r="A208" s="50" t="s">
        <v>98</v>
      </c>
      <c r="B208" s="32">
        <v>9</v>
      </c>
      <c r="C208" s="33" t="s">
        <v>840</v>
      </c>
      <c r="D208" s="33" t="s">
        <v>86</v>
      </c>
      <c r="E208" s="33" t="s">
        <v>839</v>
      </c>
      <c r="F208" s="32" t="s">
        <v>810</v>
      </c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34">
        <v>1</v>
      </c>
      <c r="AE208" s="34">
        <v>1</v>
      </c>
      <c r="AF208" s="34">
        <v>1</v>
      </c>
      <c r="AG208" s="34">
        <v>1</v>
      </c>
      <c r="AH208" s="34">
        <v>1</v>
      </c>
      <c r="AI208" s="34">
        <v>1</v>
      </c>
      <c r="AJ208" s="34">
        <v>1</v>
      </c>
      <c r="AK208" s="34">
        <v>1</v>
      </c>
      <c r="AL208" s="10">
        <f t="shared" si="10"/>
        <v>8</v>
      </c>
      <c r="AM208" s="11">
        <v>32000</v>
      </c>
      <c r="AN208" s="12">
        <f t="shared" si="11"/>
        <v>256000</v>
      </c>
    </row>
    <row r="209" spans="1:40">
      <c r="A209" s="50" t="s">
        <v>98</v>
      </c>
      <c r="B209" s="32">
        <v>10</v>
      </c>
      <c r="C209" s="33" t="s">
        <v>482</v>
      </c>
      <c r="D209" s="33" t="s">
        <v>52</v>
      </c>
      <c r="E209" s="33" t="s">
        <v>24</v>
      </c>
      <c r="F209" s="32" t="s">
        <v>140</v>
      </c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34">
        <v>1</v>
      </c>
      <c r="AC209" s="34">
        <v>1</v>
      </c>
      <c r="AD209" s="34">
        <v>1</v>
      </c>
      <c r="AE209" s="34">
        <v>1</v>
      </c>
      <c r="AF209" s="34">
        <v>1</v>
      </c>
      <c r="AG209" s="34">
        <v>1</v>
      </c>
      <c r="AH209" s="34">
        <v>1</v>
      </c>
      <c r="AI209" s="34">
        <v>1</v>
      </c>
      <c r="AJ209" s="34">
        <v>1</v>
      </c>
      <c r="AK209" s="34">
        <v>1</v>
      </c>
      <c r="AL209" s="10">
        <f t="shared" si="10"/>
        <v>10</v>
      </c>
      <c r="AM209" s="11">
        <v>32000</v>
      </c>
      <c r="AN209" s="12">
        <f t="shared" si="11"/>
        <v>320000</v>
      </c>
    </row>
    <row r="210" spans="1:40">
      <c r="A210" s="50" t="s">
        <v>98</v>
      </c>
      <c r="B210" s="32">
        <v>10</v>
      </c>
      <c r="C210" s="33" t="s">
        <v>141</v>
      </c>
      <c r="D210" s="33" t="s">
        <v>141</v>
      </c>
      <c r="E210" s="33" t="s">
        <v>142</v>
      </c>
      <c r="F210" s="32" t="s">
        <v>143</v>
      </c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34">
        <v>1</v>
      </c>
      <c r="AC210" s="34">
        <v>1</v>
      </c>
      <c r="AD210" s="34">
        <v>1</v>
      </c>
      <c r="AE210" s="34">
        <v>1</v>
      </c>
      <c r="AF210" s="34">
        <v>1</v>
      </c>
      <c r="AG210" s="34">
        <v>1</v>
      </c>
      <c r="AH210" s="34">
        <v>1</v>
      </c>
      <c r="AI210" s="34">
        <v>1</v>
      </c>
      <c r="AJ210" s="34">
        <v>1</v>
      </c>
      <c r="AK210" s="34">
        <v>1</v>
      </c>
      <c r="AL210" s="10">
        <f t="shared" si="10"/>
        <v>10</v>
      </c>
      <c r="AM210" s="11">
        <v>32000</v>
      </c>
      <c r="AN210" s="12">
        <f t="shared" si="11"/>
        <v>320000</v>
      </c>
    </row>
    <row r="211" spans="1:40">
      <c r="A211" s="50" t="s">
        <v>98</v>
      </c>
      <c r="B211" s="32">
        <v>11</v>
      </c>
      <c r="C211" s="33" t="s">
        <v>488</v>
      </c>
      <c r="D211" s="33" t="s">
        <v>491</v>
      </c>
      <c r="E211" s="33" t="s">
        <v>236</v>
      </c>
      <c r="F211" s="32" t="s">
        <v>492</v>
      </c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34">
        <v>1</v>
      </c>
      <c r="AC211" s="34">
        <v>1</v>
      </c>
      <c r="AD211" s="34">
        <v>1</v>
      </c>
      <c r="AE211" s="34">
        <v>1</v>
      </c>
      <c r="AF211" s="34">
        <v>1</v>
      </c>
      <c r="AG211" s="34">
        <v>1</v>
      </c>
      <c r="AH211" s="34">
        <v>1</v>
      </c>
      <c r="AI211" s="34">
        <v>1</v>
      </c>
      <c r="AJ211" s="34">
        <v>1</v>
      </c>
      <c r="AK211" s="34">
        <v>1</v>
      </c>
      <c r="AL211" s="10">
        <f t="shared" si="10"/>
        <v>10</v>
      </c>
      <c r="AM211" s="11">
        <v>32000</v>
      </c>
      <c r="AN211" s="12">
        <f t="shared" si="11"/>
        <v>320000</v>
      </c>
    </row>
    <row r="212" spans="1:40" ht="13.5" customHeight="1">
      <c r="A212" s="50" t="s">
        <v>98</v>
      </c>
      <c r="B212" s="32">
        <v>11</v>
      </c>
      <c r="C212" s="33" t="s">
        <v>397</v>
      </c>
      <c r="D212" s="33" t="s">
        <v>397</v>
      </c>
      <c r="E212" s="33" t="s">
        <v>422</v>
      </c>
      <c r="F212" s="32" t="s">
        <v>780</v>
      </c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34">
        <v>1</v>
      </c>
      <c r="AC212" s="34">
        <v>1</v>
      </c>
      <c r="AD212" s="34">
        <v>1</v>
      </c>
      <c r="AE212" s="34">
        <v>1</v>
      </c>
      <c r="AF212" s="34">
        <v>1</v>
      </c>
      <c r="AG212" s="34">
        <v>1</v>
      </c>
      <c r="AH212" s="34">
        <v>1</v>
      </c>
      <c r="AI212" s="34">
        <v>1</v>
      </c>
      <c r="AJ212" s="34">
        <v>1</v>
      </c>
      <c r="AK212" s="34">
        <v>1</v>
      </c>
      <c r="AL212" s="10">
        <f t="shared" si="10"/>
        <v>10</v>
      </c>
      <c r="AM212" s="11">
        <v>32000</v>
      </c>
      <c r="AN212" s="12">
        <f t="shared" si="11"/>
        <v>320000</v>
      </c>
    </row>
    <row r="213" spans="1:40">
      <c r="A213" s="50" t="s">
        <v>98</v>
      </c>
      <c r="B213" s="32">
        <v>13</v>
      </c>
      <c r="C213" s="33" t="s">
        <v>346</v>
      </c>
      <c r="D213" s="33" t="s">
        <v>378</v>
      </c>
      <c r="E213" s="33" t="s">
        <v>452</v>
      </c>
      <c r="F213" s="32" t="s">
        <v>457</v>
      </c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34">
        <v>1</v>
      </c>
      <c r="AC213" s="34">
        <v>1</v>
      </c>
      <c r="AD213" s="34">
        <v>1</v>
      </c>
      <c r="AE213" s="34">
        <v>1</v>
      </c>
      <c r="AF213" s="34">
        <v>1</v>
      </c>
      <c r="AG213" s="34">
        <v>1</v>
      </c>
      <c r="AH213" s="47"/>
      <c r="AI213" s="47"/>
      <c r="AJ213" s="47"/>
      <c r="AK213" s="47"/>
      <c r="AL213" s="10">
        <f t="shared" si="10"/>
        <v>6</v>
      </c>
      <c r="AM213" s="11">
        <v>32000</v>
      </c>
      <c r="AN213" s="12">
        <f t="shared" si="11"/>
        <v>192000</v>
      </c>
    </row>
    <row r="214" spans="1:40">
      <c r="A214" s="50" t="s">
        <v>98</v>
      </c>
      <c r="B214" s="32">
        <v>13</v>
      </c>
      <c r="C214" s="33" t="s">
        <v>281</v>
      </c>
      <c r="D214" s="33" t="s">
        <v>281</v>
      </c>
      <c r="E214" s="33" t="s">
        <v>242</v>
      </c>
      <c r="F214" s="32" t="s">
        <v>456</v>
      </c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34">
        <v>1</v>
      </c>
      <c r="AC214" s="34">
        <v>1</v>
      </c>
      <c r="AD214" s="34">
        <v>1</v>
      </c>
      <c r="AE214" s="34">
        <v>1</v>
      </c>
      <c r="AF214" s="34">
        <v>1</v>
      </c>
      <c r="AG214" s="34">
        <v>1</v>
      </c>
      <c r="AH214" s="47"/>
      <c r="AI214" s="47"/>
      <c r="AJ214" s="47"/>
      <c r="AK214" s="47"/>
      <c r="AL214" s="10">
        <f t="shared" si="10"/>
        <v>6</v>
      </c>
      <c r="AM214" s="11">
        <v>32000</v>
      </c>
      <c r="AN214" s="12">
        <f t="shared" si="11"/>
        <v>192000</v>
      </c>
    </row>
    <row r="215" spans="1:40">
      <c r="A215" s="50" t="s">
        <v>98</v>
      </c>
      <c r="B215" s="32">
        <v>13</v>
      </c>
      <c r="C215" s="33" t="s">
        <v>964</v>
      </c>
      <c r="D215" s="33" t="s">
        <v>197</v>
      </c>
      <c r="E215" s="33" t="s">
        <v>965</v>
      </c>
      <c r="F215" s="32" t="s">
        <v>967</v>
      </c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34">
        <v>1</v>
      </c>
      <c r="AI215" s="34">
        <v>1</v>
      </c>
      <c r="AJ215" s="34">
        <v>1</v>
      </c>
      <c r="AK215" s="34">
        <v>1</v>
      </c>
      <c r="AL215" s="10">
        <f t="shared" si="10"/>
        <v>4</v>
      </c>
      <c r="AM215" s="11">
        <v>32000</v>
      </c>
      <c r="AN215" s="12">
        <f t="shared" si="11"/>
        <v>128000</v>
      </c>
    </row>
    <row r="216" spans="1:40">
      <c r="A216" s="50" t="s">
        <v>98</v>
      </c>
      <c r="B216" s="32">
        <v>13</v>
      </c>
      <c r="C216" s="33" t="s">
        <v>749</v>
      </c>
      <c r="D216" s="33" t="s">
        <v>555</v>
      </c>
      <c r="E216" s="33" t="s">
        <v>259</v>
      </c>
      <c r="F216" s="32" t="s">
        <v>966</v>
      </c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34">
        <v>1</v>
      </c>
      <c r="AI216" s="34">
        <v>1</v>
      </c>
      <c r="AJ216" s="34">
        <v>1</v>
      </c>
      <c r="AK216" s="34">
        <v>1</v>
      </c>
      <c r="AL216" s="10">
        <f t="shared" si="10"/>
        <v>4</v>
      </c>
      <c r="AM216" s="11">
        <v>32000</v>
      </c>
      <c r="AN216" s="12">
        <f t="shared" si="11"/>
        <v>128000</v>
      </c>
    </row>
    <row r="217" spans="1:40">
      <c r="A217" s="50" t="s">
        <v>98</v>
      </c>
      <c r="B217" s="32">
        <v>14</v>
      </c>
      <c r="C217" s="33" t="s">
        <v>77</v>
      </c>
      <c r="D217" s="33" t="s">
        <v>274</v>
      </c>
      <c r="E217" s="33" t="s">
        <v>78</v>
      </c>
      <c r="F217" s="32" t="s">
        <v>79</v>
      </c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34">
        <v>1</v>
      </c>
      <c r="AH217" s="47"/>
      <c r="AI217" s="47"/>
      <c r="AJ217" s="47"/>
      <c r="AK217" s="47"/>
      <c r="AL217" s="10">
        <f t="shared" si="10"/>
        <v>1</v>
      </c>
      <c r="AM217" s="11">
        <v>32000</v>
      </c>
      <c r="AN217" s="12">
        <f t="shared" si="11"/>
        <v>32000</v>
      </c>
    </row>
    <row r="218" spans="1:40">
      <c r="A218" s="50" t="s">
        <v>98</v>
      </c>
      <c r="B218" s="32">
        <v>14</v>
      </c>
      <c r="C218" s="33" t="s">
        <v>71</v>
      </c>
      <c r="D218" s="33" t="s">
        <v>514</v>
      </c>
      <c r="E218" s="33" t="s">
        <v>515</v>
      </c>
      <c r="F218" s="32" t="s">
        <v>73</v>
      </c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34">
        <v>1</v>
      </c>
      <c r="AH218" s="47"/>
      <c r="AI218" s="47"/>
      <c r="AJ218" s="47"/>
      <c r="AK218" s="47"/>
      <c r="AL218" s="10">
        <f t="shared" si="10"/>
        <v>1</v>
      </c>
      <c r="AM218" s="11">
        <v>32000</v>
      </c>
      <c r="AN218" s="12">
        <f t="shared" si="11"/>
        <v>32000</v>
      </c>
    </row>
    <row r="219" spans="1:40">
      <c r="A219" s="50" t="s">
        <v>98</v>
      </c>
      <c r="B219" s="32">
        <v>15</v>
      </c>
      <c r="C219" s="33" t="s">
        <v>630</v>
      </c>
      <c r="D219" s="33" t="s">
        <v>631</v>
      </c>
      <c r="E219" s="33" t="s">
        <v>632</v>
      </c>
      <c r="F219" s="32" t="s">
        <v>633</v>
      </c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34">
        <v>1</v>
      </c>
      <c r="AC219" s="34">
        <v>1</v>
      </c>
      <c r="AD219" s="34">
        <v>1</v>
      </c>
      <c r="AE219" s="34">
        <v>1</v>
      </c>
      <c r="AF219" s="34">
        <v>1</v>
      </c>
      <c r="AG219" s="34">
        <v>1</v>
      </c>
      <c r="AH219" s="34">
        <v>1</v>
      </c>
      <c r="AI219" s="34">
        <v>1</v>
      </c>
      <c r="AJ219" s="34">
        <v>1</v>
      </c>
      <c r="AK219" s="34">
        <v>1</v>
      </c>
      <c r="AL219" s="10">
        <f t="shared" si="10"/>
        <v>10</v>
      </c>
      <c r="AM219" s="11">
        <v>32000</v>
      </c>
      <c r="AN219" s="12">
        <f t="shared" si="11"/>
        <v>320000</v>
      </c>
    </row>
    <row r="220" spans="1:40">
      <c r="A220" s="50" t="s">
        <v>98</v>
      </c>
      <c r="B220" s="32">
        <v>15</v>
      </c>
      <c r="C220" s="33" t="s">
        <v>453</v>
      </c>
      <c r="D220" s="33" t="s">
        <v>453</v>
      </c>
      <c r="E220" s="33" t="s">
        <v>454</v>
      </c>
      <c r="F220" s="32" t="s">
        <v>455</v>
      </c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34">
        <v>1</v>
      </c>
      <c r="AC220" s="34">
        <v>1</v>
      </c>
      <c r="AD220" s="34">
        <v>1</v>
      </c>
      <c r="AE220" s="34">
        <v>1</v>
      </c>
      <c r="AF220" s="34">
        <v>1</v>
      </c>
      <c r="AG220" s="34">
        <v>1</v>
      </c>
      <c r="AH220" s="34">
        <v>1</v>
      </c>
      <c r="AI220" s="34">
        <v>1</v>
      </c>
      <c r="AJ220" s="34">
        <v>1</v>
      </c>
      <c r="AK220" s="34">
        <v>1</v>
      </c>
      <c r="AL220" s="10">
        <f t="shared" si="10"/>
        <v>10</v>
      </c>
      <c r="AM220" s="11">
        <v>32000</v>
      </c>
      <c r="AN220" s="12">
        <f t="shared" si="11"/>
        <v>320000</v>
      </c>
    </row>
    <row r="221" spans="1:40">
      <c r="A221" s="50" t="s">
        <v>98</v>
      </c>
      <c r="B221" s="32">
        <v>16</v>
      </c>
      <c r="C221" s="33" t="s">
        <v>859</v>
      </c>
      <c r="D221" s="33" t="s">
        <v>860</v>
      </c>
      <c r="E221" s="33" t="s">
        <v>9</v>
      </c>
      <c r="F221" s="32" t="s">
        <v>825</v>
      </c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34">
        <v>1</v>
      </c>
      <c r="AC221" s="34">
        <v>1</v>
      </c>
      <c r="AD221" s="34">
        <v>1</v>
      </c>
      <c r="AE221" s="34">
        <v>1</v>
      </c>
      <c r="AF221" s="34">
        <v>1</v>
      </c>
      <c r="AG221" s="34">
        <v>1</v>
      </c>
      <c r="AH221" s="34">
        <v>1</v>
      </c>
      <c r="AI221" s="34">
        <v>1</v>
      </c>
      <c r="AJ221" s="34">
        <v>1</v>
      </c>
      <c r="AK221" s="34">
        <v>1</v>
      </c>
      <c r="AL221" s="10">
        <f t="shared" si="10"/>
        <v>10</v>
      </c>
      <c r="AM221" s="11">
        <v>32000</v>
      </c>
      <c r="AN221" s="12">
        <f t="shared" si="11"/>
        <v>320000</v>
      </c>
    </row>
    <row r="222" spans="1:40">
      <c r="A222" s="50" t="s">
        <v>98</v>
      </c>
      <c r="B222" s="32">
        <v>16</v>
      </c>
      <c r="C222" s="33" t="s">
        <v>13</v>
      </c>
      <c r="D222" s="33" t="s">
        <v>238</v>
      </c>
      <c r="E222" s="33" t="s">
        <v>242</v>
      </c>
      <c r="F222" s="32" t="s">
        <v>832</v>
      </c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34">
        <v>1</v>
      </c>
      <c r="AC222" s="34">
        <v>1</v>
      </c>
      <c r="AD222" s="34">
        <v>1</v>
      </c>
      <c r="AE222" s="34">
        <v>1</v>
      </c>
      <c r="AF222" s="34">
        <v>1</v>
      </c>
      <c r="AG222" s="34">
        <v>1</v>
      </c>
      <c r="AH222" s="34">
        <v>1</v>
      </c>
      <c r="AI222" s="34">
        <v>1</v>
      </c>
      <c r="AJ222" s="34">
        <v>1</v>
      </c>
      <c r="AK222" s="34">
        <v>1</v>
      </c>
      <c r="AL222" s="10">
        <f t="shared" si="10"/>
        <v>10</v>
      </c>
      <c r="AM222" s="11">
        <v>32000</v>
      </c>
      <c r="AN222" s="12">
        <f t="shared" si="11"/>
        <v>320000</v>
      </c>
    </row>
    <row r="223" spans="1:40">
      <c r="A223" s="50" t="s">
        <v>98</v>
      </c>
      <c r="B223" s="32">
        <v>17</v>
      </c>
      <c r="C223" s="33" t="s">
        <v>740</v>
      </c>
      <c r="D223" s="33" t="s">
        <v>103</v>
      </c>
      <c r="E223" s="33" t="s">
        <v>449</v>
      </c>
      <c r="F223" s="32" t="s">
        <v>741</v>
      </c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34">
        <v>1</v>
      </c>
      <c r="AC223" s="34">
        <v>1</v>
      </c>
      <c r="AD223" s="34">
        <v>1</v>
      </c>
      <c r="AE223" s="34">
        <v>1</v>
      </c>
      <c r="AF223" s="34">
        <v>1</v>
      </c>
      <c r="AG223" s="34">
        <v>1</v>
      </c>
      <c r="AH223" s="34">
        <v>1</v>
      </c>
      <c r="AI223" s="34">
        <v>1</v>
      </c>
      <c r="AJ223" s="34">
        <v>1</v>
      </c>
      <c r="AK223" s="34">
        <v>1</v>
      </c>
      <c r="AL223" s="10">
        <f t="shared" si="10"/>
        <v>10</v>
      </c>
      <c r="AM223" s="11">
        <v>32000</v>
      </c>
      <c r="AN223" s="12">
        <f t="shared" si="11"/>
        <v>320000</v>
      </c>
    </row>
    <row r="224" spans="1:40">
      <c r="A224" s="50" t="s">
        <v>98</v>
      </c>
      <c r="B224" s="32">
        <v>18</v>
      </c>
      <c r="C224" s="33" t="s">
        <v>303</v>
      </c>
      <c r="D224" s="33" t="s">
        <v>447</v>
      </c>
      <c r="E224" s="33" t="s">
        <v>22</v>
      </c>
      <c r="F224" s="32" t="s">
        <v>461</v>
      </c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34">
        <v>1</v>
      </c>
      <c r="AC224" s="34">
        <v>1</v>
      </c>
      <c r="AD224" s="34">
        <v>1</v>
      </c>
      <c r="AE224" s="34">
        <v>1</v>
      </c>
      <c r="AF224" s="34">
        <v>1</v>
      </c>
      <c r="AG224" s="34">
        <v>1</v>
      </c>
      <c r="AH224" s="34">
        <v>1</v>
      </c>
      <c r="AI224" s="34">
        <v>1</v>
      </c>
      <c r="AJ224" s="34">
        <v>1</v>
      </c>
      <c r="AK224" s="34">
        <v>1</v>
      </c>
      <c r="AL224" s="10">
        <f t="shared" si="10"/>
        <v>10</v>
      </c>
      <c r="AM224" s="11">
        <v>32000</v>
      </c>
      <c r="AN224" s="12">
        <f t="shared" si="11"/>
        <v>320000</v>
      </c>
    </row>
    <row r="225" spans="1:40">
      <c r="A225" s="50" t="s">
        <v>98</v>
      </c>
      <c r="B225" s="32">
        <v>18</v>
      </c>
      <c r="C225" s="33" t="s">
        <v>16</v>
      </c>
      <c r="D225" s="33" t="s">
        <v>448</v>
      </c>
      <c r="E225" s="33" t="s">
        <v>242</v>
      </c>
      <c r="F225" s="32" t="s">
        <v>460</v>
      </c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34">
        <v>1</v>
      </c>
      <c r="AC225" s="34">
        <v>1</v>
      </c>
      <c r="AD225" s="34">
        <v>1</v>
      </c>
      <c r="AE225" s="34">
        <v>1</v>
      </c>
      <c r="AF225" s="34">
        <v>1</v>
      </c>
      <c r="AG225" s="34">
        <v>1</v>
      </c>
      <c r="AH225" s="34">
        <v>1</v>
      </c>
      <c r="AI225" s="34">
        <v>1</v>
      </c>
      <c r="AJ225" s="34">
        <v>1</v>
      </c>
      <c r="AK225" s="34">
        <v>1</v>
      </c>
      <c r="AL225" s="10">
        <f t="shared" si="10"/>
        <v>10</v>
      </c>
      <c r="AM225" s="11">
        <v>32000</v>
      </c>
      <c r="AN225" s="12">
        <f t="shared" si="11"/>
        <v>320000</v>
      </c>
    </row>
    <row r="226" spans="1:40">
      <c r="A226" s="50" t="s">
        <v>98</v>
      </c>
      <c r="B226" s="32">
        <v>19</v>
      </c>
      <c r="C226" s="33" t="s">
        <v>948</v>
      </c>
      <c r="D226" s="33" t="s">
        <v>848</v>
      </c>
      <c r="E226" s="33" t="s">
        <v>847</v>
      </c>
      <c r="F226" s="32" t="s">
        <v>816</v>
      </c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34">
        <v>1</v>
      </c>
      <c r="AC226" s="34">
        <v>1</v>
      </c>
      <c r="AD226" s="34">
        <v>1</v>
      </c>
      <c r="AE226" s="34">
        <v>1</v>
      </c>
      <c r="AF226" s="34">
        <v>1</v>
      </c>
      <c r="AG226" s="34">
        <v>1</v>
      </c>
      <c r="AH226" s="34">
        <v>1</v>
      </c>
      <c r="AI226" s="34">
        <v>1</v>
      </c>
      <c r="AJ226" s="34">
        <v>1</v>
      </c>
      <c r="AK226" s="34">
        <v>1</v>
      </c>
      <c r="AL226" s="10">
        <f t="shared" si="10"/>
        <v>10</v>
      </c>
      <c r="AM226" s="11">
        <v>32000</v>
      </c>
      <c r="AN226" s="12">
        <f t="shared" si="11"/>
        <v>320000</v>
      </c>
    </row>
    <row r="227" spans="1:40">
      <c r="A227" s="50" t="s">
        <v>98</v>
      </c>
      <c r="B227" s="32">
        <v>19</v>
      </c>
      <c r="C227" s="33" t="s">
        <v>852</v>
      </c>
      <c r="D227" s="33" t="s">
        <v>738</v>
      </c>
      <c r="E227" s="33" t="s">
        <v>43</v>
      </c>
      <c r="F227" s="32" t="s">
        <v>819</v>
      </c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34">
        <v>1</v>
      </c>
      <c r="AC227" s="34">
        <v>1</v>
      </c>
      <c r="AD227" s="34">
        <v>1</v>
      </c>
      <c r="AE227" s="34">
        <v>1</v>
      </c>
      <c r="AF227" s="34">
        <v>1</v>
      </c>
      <c r="AG227" s="34">
        <v>1</v>
      </c>
      <c r="AH227" s="34">
        <v>1</v>
      </c>
      <c r="AI227" s="34">
        <v>1</v>
      </c>
      <c r="AJ227" s="34">
        <v>1</v>
      </c>
      <c r="AK227" s="34">
        <v>1</v>
      </c>
      <c r="AL227" s="10">
        <f t="shared" si="10"/>
        <v>10</v>
      </c>
      <c r="AM227" s="11">
        <v>32000</v>
      </c>
      <c r="AN227" s="12">
        <f t="shared" si="11"/>
        <v>320000</v>
      </c>
    </row>
    <row r="228" spans="1:40">
      <c r="A228" s="50" t="s">
        <v>98</v>
      </c>
      <c r="B228" s="32">
        <v>20</v>
      </c>
      <c r="C228" s="33" t="s">
        <v>137</v>
      </c>
      <c r="D228" s="33" t="s">
        <v>138</v>
      </c>
      <c r="E228" s="33" t="s">
        <v>11</v>
      </c>
      <c r="F228" s="32" t="s">
        <v>483</v>
      </c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34">
        <v>1</v>
      </c>
      <c r="AC228" s="34">
        <v>1</v>
      </c>
      <c r="AD228" s="34">
        <v>1</v>
      </c>
      <c r="AE228" s="34">
        <v>1</v>
      </c>
      <c r="AF228" s="34">
        <v>1</v>
      </c>
      <c r="AG228" s="34">
        <v>1</v>
      </c>
      <c r="AH228" s="34">
        <v>1</v>
      </c>
      <c r="AI228" s="34">
        <v>1</v>
      </c>
      <c r="AJ228" s="34">
        <v>1</v>
      </c>
      <c r="AK228" s="34">
        <v>1</v>
      </c>
      <c r="AL228" s="10">
        <f t="shared" si="10"/>
        <v>10</v>
      </c>
      <c r="AM228" s="11">
        <v>32000</v>
      </c>
      <c r="AN228" s="12">
        <f t="shared" si="11"/>
        <v>320000</v>
      </c>
    </row>
    <row r="229" spans="1:40">
      <c r="A229" s="50" t="s">
        <v>98</v>
      </c>
      <c r="B229" s="32">
        <v>20</v>
      </c>
      <c r="C229" s="33" t="s">
        <v>134</v>
      </c>
      <c r="D229" s="33" t="s">
        <v>135</v>
      </c>
      <c r="E229" s="33" t="s">
        <v>11</v>
      </c>
      <c r="F229" s="32" t="s">
        <v>136</v>
      </c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34">
        <v>1</v>
      </c>
      <c r="AC229" s="34">
        <v>1</v>
      </c>
      <c r="AD229" s="34">
        <v>1</v>
      </c>
      <c r="AE229" s="34">
        <v>1</v>
      </c>
      <c r="AF229" s="34">
        <v>1</v>
      </c>
      <c r="AG229" s="34">
        <v>1</v>
      </c>
      <c r="AH229" s="34">
        <v>1</v>
      </c>
      <c r="AI229" s="34">
        <v>1</v>
      </c>
      <c r="AJ229" s="34">
        <v>1</v>
      </c>
      <c r="AK229" s="34">
        <v>1</v>
      </c>
      <c r="AL229" s="10">
        <f t="shared" si="10"/>
        <v>10</v>
      </c>
      <c r="AM229" s="11">
        <v>32000</v>
      </c>
      <c r="AN229" s="12">
        <f t="shared" si="11"/>
        <v>320000</v>
      </c>
    </row>
    <row r="230" spans="1:40">
      <c r="A230" s="50" t="s">
        <v>98</v>
      </c>
      <c r="B230" s="32">
        <v>21</v>
      </c>
      <c r="C230" s="33" t="s">
        <v>295</v>
      </c>
      <c r="D230" s="33" t="s">
        <v>863</v>
      </c>
      <c r="E230" s="33" t="s">
        <v>43</v>
      </c>
      <c r="F230" s="32" t="s">
        <v>827</v>
      </c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34">
        <v>1</v>
      </c>
      <c r="AC230" s="34">
        <v>1</v>
      </c>
      <c r="AD230" s="34">
        <v>1</v>
      </c>
      <c r="AE230" s="34">
        <v>1</v>
      </c>
      <c r="AF230" s="34">
        <v>1</v>
      </c>
      <c r="AG230" s="34">
        <v>1</v>
      </c>
      <c r="AH230" s="34">
        <v>1</v>
      </c>
      <c r="AI230" s="34">
        <v>1</v>
      </c>
      <c r="AJ230" s="34">
        <v>1</v>
      </c>
      <c r="AK230" s="34">
        <v>1</v>
      </c>
      <c r="AL230" s="10">
        <f t="shared" si="10"/>
        <v>10</v>
      </c>
      <c r="AM230" s="11">
        <v>32000</v>
      </c>
      <c r="AN230" s="12">
        <f t="shared" si="11"/>
        <v>320000</v>
      </c>
    </row>
    <row r="231" spans="1:40">
      <c r="A231" s="50" t="s">
        <v>98</v>
      </c>
      <c r="B231" s="32">
        <v>21</v>
      </c>
      <c r="C231" s="33" t="s">
        <v>102</v>
      </c>
      <c r="D231" s="33" t="s">
        <v>103</v>
      </c>
      <c r="E231" s="33" t="s">
        <v>104</v>
      </c>
      <c r="F231" s="32" t="s">
        <v>105</v>
      </c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34">
        <v>1</v>
      </c>
      <c r="AC231" s="34">
        <v>1</v>
      </c>
      <c r="AD231" s="34">
        <v>1</v>
      </c>
      <c r="AE231" s="34">
        <v>1</v>
      </c>
      <c r="AF231" s="34">
        <v>1</v>
      </c>
      <c r="AG231" s="34">
        <v>1</v>
      </c>
      <c r="AH231" s="34">
        <v>1</v>
      </c>
      <c r="AI231" s="34">
        <v>1</v>
      </c>
      <c r="AJ231" s="34">
        <v>1</v>
      </c>
      <c r="AK231" s="34">
        <v>1</v>
      </c>
      <c r="AL231" s="10">
        <f t="shared" si="10"/>
        <v>10</v>
      </c>
      <c r="AM231" s="11">
        <v>32000</v>
      </c>
      <c r="AN231" s="12">
        <f t="shared" si="11"/>
        <v>320000</v>
      </c>
    </row>
    <row r="232" spans="1:40">
      <c r="A232" s="50" t="s">
        <v>98</v>
      </c>
      <c r="B232" s="32">
        <v>22</v>
      </c>
      <c r="C232" s="33" t="s">
        <v>10</v>
      </c>
      <c r="D232" s="33" t="s">
        <v>634</v>
      </c>
      <c r="E232" s="33" t="s">
        <v>259</v>
      </c>
      <c r="F232" s="32" t="s">
        <v>635</v>
      </c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34">
        <v>1</v>
      </c>
      <c r="AC232" s="34">
        <v>1</v>
      </c>
      <c r="AD232" s="34">
        <v>1</v>
      </c>
      <c r="AE232" s="34">
        <v>1</v>
      </c>
      <c r="AF232" s="34">
        <v>1</v>
      </c>
      <c r="AG232" s="34">
        <v>1</v>
      </c>
      <c r="AH232" s="34">
        <v>1</v>
      </c>
      <c r="AI232" s="34">
        <v>1</v>
      </c>
      <c r="AJ232" s="34">
        <v>1</v>
      </c>
      <c r="AK232" s="34">
        <v>1</v>
      </c>
      <c r="AL232" s="10">
        <f t="shared" si="10"/>
        <v>10</v>
      </c>
      <c r="AM232" s="11">
        <v>32000</v>
      </c>
      <c r="AN232" s="12">
        <f t="shared" si="11"/>
        <v>320000</v>
      </c>
    </row>
    <row r="233" spans="1:40">
      <c r="A233" s="50" t="s">
        <v>98</v>
      </c>
      <c r="B233" s="32">
        <v>22</v>
      </c>
      <c r="C233" s="33" t="s">
        <v>636</v>
      </c>
      <c r="D233" s="33" t="s">
        <v>522</v>
      </c>
      <c r="E233" s="33" t="s">
        <v>289</v>
      </c>
      <c r="F233" s="32" t="s">
        <v>637</v>
      </c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34">
        <v>1</v>
      </c>
      <c r="AC233" s="34">
        <v>1</v>
      </c>
      <c r="AD233" s="34">
        <v>1</v>
      </c>
      <c r="AE233" s="34">
        <v>1</v>
      </c>
      <c r="AF233" s="34">
        <v>1</v>
      </c>
      <c r="AG233" s="34">
        <v>1</v>
      </c>
      <c r="AH233" s="34">
        <v>1</v>
      </c>
      <c r="AI233" s="34">
        <v>1</v>
      </c>
      <c r="AJ233" s="34">
        <v>1</v>
      </c>
      <c r="AK233" s="34">
        <v>1</v>
      </c>
      <c r="AL233" s="10">
        <f t="shared" si="10"/>
        <v>10</v>
      </c>
      <c r="AM233" s="11">
        <v>32000</v>
      </c>
      <c r="AN233" s="12">
        <f t="shared" si="11"/>
        <v>320000</v>
      </c>
    </row>
    <row r="234" spans="1:40">
      <c r="A234" s="50" t="s">
        <v>98</v>
      </c>
      <c r="B234" s="32">
        <v>24</v>
      </c>
      <c r="C234" s="33" t="s">
        <v>638</v>
      </c>
      <c r="D234" s="33" t="s">
        <v>639</v>
      </c>
      <c r="E234" s="33" t="s">
        <v>92</v>
      </c>
      <c r="F234" s="32" t="s">
        <v>640</v>
      </c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34">
        <v>1</v>
      </c>
      <c r="AC234" s="34">
        <v>1</v>
      </c>
      <c r="AD234" s="34">
        <v>1</v>
      </c>
      <c r="AE234" s="34">
        <v>1</v>
      </c>
      <c r="AF234" s="34">
        <v>1</v>
      </c>
      <c r="AG234" s="34">
        <v>1</v>
      </c>
      <c r="AH234" s="34">
        <v>1</v>
      </c>
      <c r="AI234" s="47"/>
      <c r="AJ234" s="47"/>
      <c r="AK234" s="47"/>
      <c r="AL234" s="10">
        <f t="shared" si="10"/>
        <v>7</v>
      </c>
      <c r="AM234" s="11">
        <v>32000</v>
      </c>
      <c r="AN234" s="12">
        <f t="shared" si="11"/>
        <v>224000</v>
      </c>
    </row>
    <row r="235" spans="1:40">
      <c r="A235" s="50" t="s">
        <v>98</v>
      </c>
      <c r="B235" s="32">
        <v>24</v>
      </c>
      <c r="C235" s="33" t="s">
        <v>641</v>
      </c>
      <c r="D235" s="33" t="s">
        <v>473</v>
      </c>
      <c r="E235" s="33" t="s">
        <v>104</v>
      </c>
      <c r="F235" s="32" t="s">
        <v>642</v>
      </c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34">
        <v>1</v>
      </c>
      <c r="AC235" s="34">
        <v>1</v>
      </c>
      <c r="AD235" s="34">
        <v>1</v>
      </c>
      <c r="AE235" s="34">
        <v>1</v>
      </c>
      <c r="AF235" s="34">
        <v>1</v>
      </c>
      <c r="AG235" s="34">
        <v>1</v>
      </c>
      <c r="AH235" s="34">
        <v>1</v>
      </c>
      <c r="AI235" s="34">
        <v>1</v>
      </c>
      <c r="AJ235" s="34">
        <v>1</v>
      </c>
      <c r="AK235" s="34">
        <v>1</v>
      </c>
      <c r="AL235" s="10">
        <f t="shared" si="10"/>
        <v>10</v>
      </c>
      <c r="AM235" s="11">
        <v>32000</v>
      </c>
      <c r="AN235" s="12">
        <f t="shared" si="11"/>
        <v>320000</v>
      </c>
    </row>
    <row r="236" spans="1:40">
      <c r="A236" s="50" t="s">
        <v>98</v>
      </c>
      <c r="B236" s="32">
        <v>24</v>
      </c>
      <c r="C236" s="33" t="s">
        <v>975</v>
      </c>
      <c r="D236" s="33" t="s">
        <v>555</v>
      </c>
      <c r="E236" s="33" t="s">
        <v>26</v>
      </c>
      <c r="F236" s="32" t="s">
        <v>988</v>
      </c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34">
        <v>1</v>
      </c>
      <c r="AJ236" s="34">
        <v>1</v>
      </c>
      <c r="AK236" s="34">
        <v>1</v>
      </c>
      <c r="AL236" s="10">
        <f t="shared" si="10"/>
        <v>3</v>
      </c>
      <c r="AM236" s="11">
        <v>32000</v>
      </c>
      <c r="AN236" s="12">
        <f t="shared" si="11"/>
        <v>96000</v>
      </c>
    </row>
    <row r="237" spans="1:40">
      <c r="A237" s="50" t="s">
        <v>98</v>
      </c>
      <c r="B237" s="32">
        <v>26</v>
      </c>
      <c r="C237" s="33" t="s">
        <v>116</v>
      </c>
      <c r="D237" s="33" t="s">
        <v>117</v>
      </c>
      <c r="E237" s="33" t="s">
        <v>108</v>
      </c>
      <c r="F237" s="32" t="s">
        <v>118</v>
      </c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34">
        <v>1</v>
      </c>
      <c r="AC237" s="34">
        <v>1</v>
      </c>
      <c r="AD237" s="34">
        <v>1</v>
      </c>
      <c r="AE237" s="34">
        <v>1</v>
      </c>
      <c r="AF237" s="34">
        <v>1</v>
      </c>
      <c r="AG237" s="34">
        <v>1</v>
      </c>
      <c r="AH237" s="34">
        <v>1</v>
      </c>
      <c r="AI237" s="34">
        <v>1</v>
      </c>
      <c r="AJ237" s="34">
        <v>1</v>
      </c>
      <c r="AK237" s="34">
        <v>1</v>
      </c>
      <c r="AL237" s="10">
        <f t="shared" si="10"/>
        <v>10</v>
      </c>
      <c r="AM237" s="11">
        <v>32000</v>
      </c>
      <c r="AN237" s="12">
        <f t="shared" si="11"/>
        <v>320000</v>
      </c>
    </row>
    <row r="238" spans="1:40">
      <c r="A238" s="50" t="s">
        <v>98</v>
      </c>
      <c r="B238" s="32">
        <v>26</v>
      </c>
      <c r="C238" s="33" t="s">
        <v>25</v>
      </c>
      <c r="D238" s="33" t="s">
        <v>119</v>
      </c>
      <c r="E238" s="33" t="s">
        <v>120</v>
      </c>
      <c r="F238" s="32" t="s">
        <v>121</v>
      </c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34">
        <v>1</v>
      </c>
      <c r="AC238" s="34">
        <v>1</v>
      </c>
      <c r="AD238" s="47"/>
      <c r="AE238" s="47"/>
      <c r="AF238" s="47"/>
      <c r="AG238" s="47"/>
      <c r="AH238" s="47"/>
      <c r="AI238" s="47"/>
      <c r="AJ238" s="47"/>
      <c r="AK238" s="47"/>
      <c r="AL238" s="10">
        <f t="shared" si="10"/>
        <v>2</v>
      </c>
      <c r="AM238" s="11">
        <v>32000</v>
      </c>
      <c r="AN238" s="12">
        <f t="shared" si="11"/>
        <v>64000</v>
      </c>
    </row>
    <row r="239" spans="1:40">
      <c r="A239" s="50" t="s">
        <v>98</v>
      </c>
      <c r="B239" s="32">
        <v>26</v>
      </c>
      <c r="C239" s="33" t="s">
        <v>197</v>
      </c>
      <c r="D239" s="33" t="s">
        <v>846</v>
      </c>
      <c r="E239" s="33" t="s">
        <v>845</v>
      </c>
      <c r="F239" s="32" t="s">
        <v>815</v>
      </c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34">
        <v>1</v>
      </c>
      <c r="AE239" s="34">
        <v>1</v>
      </c>
      <c r="AF239" s="34">
        <v>1</v>
      </c>
      <c r="AG239" s="34">
        <v>1</v>
      </c>
      <c r="AH239" s="34">
        <v>1</v>
      </c>
      <c r="AI239" s="34">
        <v>1</v>
      </c>
      <c r="AJ239" s="34">
        <v>1</v>
      </c>
      <c r="AK239" s="34">
        <v>1</v>
      </c>
      <c r="AL239" s="10">
        <f t="shared" si="10"/>
        <v>8</v>
      </c>
      <c r="AM239" s="11">
        <v>32000</v>
      </c>
      <c r="AN239" s="12">
        <f t="shared" si="11"/>
        <v>256000</v>
      </c>
    </row>
    <row r="240" spans="1:40">
      <c r="A240" s="50" t="s">
        <v>98</v>
      </c>
      <c r="B240" s="32">
        <v>27</v>
      </c>
      <c r="C240" s="33" t="s">
        <v>107</v>
      </c>
      <c r="D240" s="33" t="s">
        <v>21</v>
      </c>
      <c r="E240" s="33" t="s">
        <v>108</v>
      </c>
      <c r="F240" s="32" t="s">
        <v>109</v>
      </c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34">
        <v>1</v>
      </c>
      <c r="AC240" s="34">
        <v>1</v>
      </c>
      <c r="AD240" s="47"/>
      <c r="AE240" s="47"/>
      <c r="AF240" s="47"/>
      <c r="AG240" s="47"/>
      <c r="AH240" s="47"/>
      <c r="AI240" s="47"/>
      <c r="AJ240" s="47"/>
      <c r="AK240" s="47"/>
      <c r="AL240" s="10">
        <f t="shared" si="10"/>
        <v>2</v>
      </c>
      <c r="AM240" s="11">
        <v>32000</v>
      </c>
      <c r="AN240" s="12">
        <f t="shared" si="11"/>
        <v>64000</v>
      </c>
    </row>
    <row r="241" spans="1:40">
      <c r="A241" s="50" t="s">
        <v>98</v>
      </c>
      <c r="B241" s="32">
        <v>27</v>
      </c>
      <c r="C241" s="33" t="s">
        <v>111</v>
      </c>
      <c r="D241" s="33" t="s">
        <v>112</v>
      </c>
      <c r="E241" s="33" t="s">
        <v>104</v>
      </c>
      <c r="F241" s="32" t="s">
        <v>113</v>
      </c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34">
        <v>1</v>
      </c>
      <c r="AC241" s="34">
        <v>1</v>
      </c>
      <c r="AD241" s="47"/>
      <c r="AE241" s="47"/>
      <c r="AF241" s="47"/>
      <c r="AG241" s="47"/>
      <c r="AH241" s="47"/>
      <c r="AI241" s="47"/>
      <c r="AJ241" s="47"/>
      <c r="AK241" s="47"/>
      <c r="AL241" s="10">
        <f t="shared" si="10"/>
        <v>2</v>
      </c>
      <c r="AM241" s="11">
        <v>32000</v>
      </c>
      <c r="AN241" s="12">
        <f t="shared" si="11"/>
        <v>64000</v>
      </c>
    </row>
    <row r="242" spans="1:40">
      <c r="A242" s="50" t="s">
        <v>98</v>
      </c>
      <c r="B242" s="32">
        <v>27</v>
      </c>
      <c r="C242" s="33" t="s">
        <v>841</v>
      </c>
      <c r="D242" s="33" t="s">
        <v>555</v>
      </c>
      <c r="E242" s="33" t="s">
        <v>310</v>
      </c>
      <c r="F242" s="32" t="s">
        <v>811</v>
      </c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34">
        <v>1</v>
      </c>
      <c r="AE242" s="34">
        <v>1</v>
      </c>
      <c r="AF242" s="34">
        <v>1</v>
      </c>
      <c r="AG242" s="34">
        <v>1</v>
      </c>
      <c r="AH242" s="34">
        <v>1</v>
      </c>
      <c r="AI242" s="34">
        <v>1</v>
      </c>
      <c r="AJ242" s="34">
        <v>1</v>
      </c>
      <c r="AK242" s="34">
        <v>1</v>
      </c>
      <c r="AL242" s="10">
        <f t="shared" si="10"/>
        <v>8</v>
      </c>
      <c r="AM242" s="11">
        <v>32000</v>
      </c>
      <c r="AN242" s="12">
        <f t="shared" si="11"/>
        <v>256000</v>
      </c>
    </row>
    <row r="243" spans="1:40">
      <c r="A243" s="50" t="s">
        <v>98</v>
      </c>
      <c r="B243" s="32">
        <v>27</v>
      </c>
      <c r="C243" s="33" t="s">
        <v>841</v>
      </c>
      <c r="D243" s="33" t="s">
        <v>864</v>
      </c>
      <c r="E243" s="33" t="s">
        <v>212</v>
      </c>
      <c r="F243" s="32" t="s">
        <v>828</v>
      </c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34">
        <v>1</v>
      </c>
      <c r="AE243" s="34">
        <v>1</v>
      </c>
      <c r="AF243" s="34">
        <v>1</v>
      </c>
      <c r="AG243" s="34">
        <v>1</v>
      </c>
      <c r="AH243" s="34">
        <v>1</v>
      </c>
      <c r="AI243" s="34">
        <v>1</v>
      </c>
      <c r="AJ243" s="34">
        <v>1</v>
      </c>
      <c r="AK243" s="34">
        <v>1</v>
      </c>
      <c r="AL243" s="10">
        <f t="shared" si="10"/>
        <v>8</v>
      </c>
      <c r="AM243" s="11">
        <v>32000</v>
      </c>
      <c r="AN243" s="12">
        <f t="shared" si="11"/>
        <v>256000</v>
      </c>
    </row>
    <row r="244" spans="1:40">
      <c r="A244" s="50" t="s">
        <v>98</v>
      </c>
      <c r="B244" s="32">
        <v>28</v>
      </c>
      <c r="C244" s="33" t="s">
        <v>91</v>
      </c>
      <c r="D244" s="33" t="s">
        <v>153</v>
      </c>
      <c r="E244" s="33" t="s">
        <v>92</v>
      </c>
      <c r="F244" s="32" t="s">
        <v>93</v>
      </c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34">
        <v>1</v>
      </c>
      <c r="AH244" s="47"/>
      <c r="AI244" s="47"/>
      <c r="AJ244" s="47"/>
      <c r="AK244" s="47"/>
      <c r="AL244" s="10">
        <f t="shared" si="10"/>
        <v>1</v>
      </c>
      <c r="AM244" s="11">
        <v>32000</v>
      </c>
      <c r="AN244" s="12">
        <f t="shared" si="11"/>
        <v>32000</v>
      </c>
    </row>
    <row r="245" spans="1:40">
      <c r="A245" s="50" t="s">
        <v>98</v>
      </c>
      <c r="B245" s="32">
        <v>28</v>
      </c>
      <c r="C245" s="33" t="s">
        <v>28</v>
      </c>
      <c r="D245" s="33" t="s">
        <v>154</v>
      </c>
      <c r="E245" s="33" t="s">
        <v>65</v>
      </c>
      <c r="F245" s="32" t="s">
        <v>66</v>
      </c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34">
        <v>1</v>
      </c>
      <c r="AH245" s="47"/>
      <c r="AI245" s="47"/>
      <c r="AJ245" s="47"/>
      <c r="AK245" s="47"/>
      <c r="AL245" s="10">
        <f t="shared" si="10"/>
        <v>1</v>
      </c>
      <c r="AM245" s="11">
        <v>32000</v>
      </c>
      <c r="AN245" s="12">
        <f t="shared" si="11"/>
        <v>32000</v>
      </c>
    </row>
    <row r="246" spans="1:40">
      <c r="A246" s="50" t="s">
        <v>98</v>
      </c>
      <c r="B246" s="32">
        <v>28</v>
      </c>
      <c r="C246" s="33" t="s">
        <v>960</v>
      </c>
      <c r="D246" s="33" t="s">
        <v>103</v>
      </c>
      <c r="E246" s="33" t="s">
        <v>124</v>
      </c>
      <c r="F246" s="32" t="s">
        <v>970</v>
      </c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34">
        <v>1</v>
      </c>
      <c r="AI246" s="34">
        <v>1</v>
      </c>
      <c r="AJ246" s="34">
        <v>1</v>
      </c>
      <c r="AK246" s="34">
        <v>1</v>
      </c>
      <c r="AL246" s="10">
        <f t="shared" si="10"/>
        <v>4</v>
      </c>
      <c r="AM246" s="11">
        <v>32000</v>
      </c>
      <c r="AN246" s="12">
        <f t="shared" si="11"/>
        <v>128000</v>
      </c>
    </row>
    <row r="247" spans="1:40">
      <c r="A247" s="50" t="s">
        <v>98</v>
      </c>
      <c r="B247" s="32">
        <v>28</v>
      </c>
      <c r="C247" s="33" t="s">
        <v>268</v>
      </c>
      <c r="D247" s="33" t="s">
        <v>963</v>
      </c>
      <c r="E247" s="33" t="s">
        <v>849</v>
      </c>
      <c r="F247" s="32" t="s">
        <v>968</v>
      </c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34">
        <v>1</v>
      </c>
      <c r="AI247" s="34">
        <v>1</v>
      </c>
      <c r="AJ247" s="34">
        <v>1</v>
      </c>
      <c r="AK247" s="34">
        <v>1</v>
      </c>
      <c r="AL247" s="10">
        <f t="shared" si="10"/>
        <v>4</v>
      </c>
      <c r="AM247" s="11">
        <v>32000</v>
      </c>
      <c r="AN247" s="12">
        <f t="shared" si="11"/>
        <v>128000</v>
      </c>
    </row>
    <row r="248" spans="1:40">
      <c r="A248" s="50" t="s">
        <v>98</v>
      </c>
      <c r="B248" s="32">
        <v>29</v>
      </c>
      <c r="C248" s="33" t="s">
        <v>484</v>
      </c>
      <c r="D248" s="33" t="s">
        <v>485</v>
      </c>
      <c r="E248" s="33" t="s">
        <v>286</v>
      </c>
      <c r="F248" s="32" t="s">
        <v>287</v>
      </c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34">
        <v>1</v>
      </c>
      <c r="AC248" s="34">
        <v>1</v>
      </c>
      <c r="AD248" s="34">
        <v>1</v>
      </c>
      <c r="AE248" s="34">
        <v>1</v>
      </c>
      <c r="AF248" s="34">
        <v>1</v>
      </c>
      <c r="AG248" s="34">
        <v>1</v>
      </c>
      <c r="AH248" s="34">
        <v>1</v>
      </c>
      <c r="AI248" s="34">
        <v>1</v>
      </c>
      <c r="AJ248" s="34">
        <v>1</v>
      </c>
      <c r="AK248" s="34">
        <v>1</v>
      </c>
      <c r="AL248" s="10">
        <f t="shared" si="10"/>
        <v>10</v>
      </c>
      <c r="AM248" s="11">
        <v>32000</v>
      </c>
      <c r="AN248" s="12">
        <f t="shared" si="11"/>
        <v>320000</v>
      </c>
    </row>
    <row r="249" spans="1:40">
      <c r="A249" s="50" t="s">
        <v>98</v>
      </c>
      <c r="B249" s="32">
        <v>29</v>
      </c>
      <c r="C249" s="33" t="s">
        <v>486</v>
      </c>
      <c r="D249" s="33" t="s">
        <v>346</v>
      </c>
      <c r="E249" s="33" t="s">
        <v>347</v>
      </c>
      <c r="F249" s="32" t="s">
        <v>348</v>
      </c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34">
        <v>1</v>
      </c>
      <c r="AC249" s="34">
        <v>1</v>
      </c>
      <c r="AD249" s="34">
        <v>1</v>
      </c>
      <c r="AE249" s="34">
        <v>1</v>
      </c>
      <c r="AF249" s="34">
        <v>1</v>
      </c>
      <c r="AG249" s="34">
        <v>1</v>
      </c>
      <c r="AH249" s="34">
        <v>1</v>
      </c>
      <c r="AI249" s="34">
        <v>1</v>
      </c>
      <c r="AJ249" s="34">
        <v>1</v>
      </c>
      <c r="AK249" s="34">
        <v>1</v>
      </c>
      <c r="AL249" s="10">
        <f t="shared" si="10"/>
        <v>10</v>
      </c>
      <c r="AM249" s="11">
        <v>32000</v>
      </c>
      <c r="AN249" s="12">
        <f t="shared" si="11"/>
        <v>320000</v>
      </c>
    </row>
    <row r="250" spans="1:40">
      <c r="A250" s="50" t="s">
        <v>98</v>
      </c>
      <c r="B250" s="32">
        <v>30</v>
      </c>
      <c r="C250" s="33" t="s">
        <v>643</v>
      </c>
      <c r="D250" s="33" t="s">
        <v>644</v>
      </c>
      <c r="E250" s="33" t="s">
        <v>108</v>
      </c>
      <c r="F250" s="32" t="s">
        <v>645</v>
      </c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34">
        <v>1</v>
      </c>
      <c r="AC250" s="34">
        <v>1</v>
      </c>
      <c r="AD250" s="34">
        <v>1</v>
      </c>
      <c r="AE250" s="34">
        <v>1</v>
      </c>
      <c r="AF250" s="34">
        <v>1</v>
      </c>
      <c r="AG250" s="34">
        <v>1</v>
      </c>
      <c r="AH250" s="34">
        <v>1</v>
      </c>
      <c r="AI250" s="34">
        <v>1</v>
      </c>
      <c r="AJ250" s="34">
        <v>1</v>
      </c>
      <c r="AK250" s="34">
        <v>1</v>
      </c>
      <c r="AL250" s="10">
        <f t="shared" si="10"/>
        <v>10</v>
      </c>
      <c r="AM250" s="11">
        <v>32000</v>
      </c>
      <c r="AN250" s="12">
        <f t="shared" si="11"/>
        <v>320000</v>
      </c>
    </row>
    <row r="251" spans="1:40">
      <c r="A251" s="50" t="s">
        <v>98</v>
      </c>
      <c r="B251" s="32">
        <v>30</v>
      </c>
      <c r="C251" s="33" t="s">
        <v>646</v>
      </c>
      <c r="D251" s="33" t="s">
        <v>647</v>
      </c>
      <c r="E251" s="33" t="s">
        <v>212</v>
      </c>
      <c r="F251" s="32" t="s">
        <v>648</v>
      </c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34">
        <v>1</v>
      </c>
      <c r="AC251" s="34">
        <v>1</v>
      </c>
      <c r="AD251" s="34">
        <v>1</v>
      </c>
      <c r="AE251" s="34">
        <v>1</v>
      </c>
      <c r="AF251" s="34">
        <v>1</v>
      </c>
      <c r="AG251" s="34">
        <v>1</v>
      </c>
      <c r="AH251" s="34">
        <v>1</v>
      </c>
      <c r="AI251" s="34">
        <v>1</v>
      </c>
      <c r="AJ251" s="34">
        <v>1</v>
      </c>
      <c r="AK251" s="34">
        <v>1</v>
      </c>
      <c r="AL251" s="10">
        <f t="shared" si="10"/>
        <v>10</v>
      </c>
      <c r="AM251" s="11">
        <v>32000</v>
      </c>
      <c r="AN251" s="12">
        <f t="shared" si="11"/>
        <v>320000</v>
      </c>
    </row>
    <row r="252" spans="1:40">
      <c r="A252" s="50" t="s">
        <v>98</v>
      </c>
      <c r="B252" s="32">
        <v>32</v>
      </c>
      <c r="C252" s="33" t="s">
        <v>929</v>
      </c>
      <c r="D252" s="33" t="s">
        <v>519</v>
      </c>
      <c r="E252" s="33" t="s">
        <v>30</v>
      </c>
      <c r="F252" s="32" t="s">
        <v>936</v>
      </c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34">
        <v>1</v>
      </c>
      <c r="AC252" s="34">
        <v>1</v>
      </c>
      <c r="AD252" s="34">
        <v>1</v>
      </c>
      <c r="AE252" s="34">
        <v>1</v>
      </c>
      <c r="AF252" s="34">
        <v>1</v>
      </c>
      <c r="AG252" s="34">
        <v>1</v>
      </c>
      <c r="AH252" s="34">
        <v>1</v>
      </c>
      <c r="AI252" s="34">
        <v>1</v>
      </c>
      <c r="AJ252" s="34">
        <v>1</v>
      </c>
      <c r="AK252" s="34">
        <v>1</v>
      </c>
      <c r="AL252" s="10">
        <f t="shared" si="10"/>
        <v>10</v>
      </c>
      <c r="AM252" s="11">
        <v>32000</v>
      </c>
      <c r="AN252" s="12">
        <f t="shared" si="11"/>
        <v>320000</v>
      </c>
    </row>
    <row r="253" spans="1:40">
      <c r="A253" s="50" t="s">
        <v>98</v>
      </c>
      <c r="B253" s="32">
        <v>32</v>
      </c>
      <c r="C253" s="33" t="s">
        <v>166</v>
      </c>
      <c r="D253" s="33" t="s">
        <v>67</v>
      </c>
      <c r="E253" s="33" t="s">
        <v>465</v>
      </c>
      <c r="F253" s="32" t="s">
        <v>935</v>
      </c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34">
        <v>1</v>
      </c>
      <c r="AC253" s="34">
        <v>1</v>
      </c>
      <c r="AD253" s="34">
        <v>1</v>
      </c>
      <c r="AE253" s="34">
        <v>1</v>
      </c>
      <c r="AF253" s="34">
        <v>1</v>
      </c>
      <c r="AG253" s="34">
        <v>1</v>
      </c>
      <c r="AH253" s="34">
        <v>1</v>
      </c>
      <c r="AI253" s="34">
        <v>1</v>
      </c>
      <c r="AJ253" s="34">
        <v>1</v>
      </c>
      <c r="AK253" s="34">
        <v>1</v>
      </c>
      <c r="AL253" s="10">
        <f t="shared" si="10"/>
        <v>10</v>
      </c>
      <c r="AM253" s="11">
        <v>32000</v>
      </c>
      <c r="AN253" s="12">
        <f t="shared" si="11"/>
        <v>320000</v>
      </c>
    </row>
    <row r="254" spans="1:40">
      <c r="A254" s="50" t="s">
        <v>98</v>
      </c>
      <c r="B254" s="32">
        <v>33</v>
      </c>
      <c r="C254" s="33" t="s">
        <v>620</v>
      </c>
      <c r="D254" s="33" t="s">
        <v>835</v>
      </c>
      <c r="E254" s="33" t="s">
        <v>239</v>
      </c>
      <c r="F254" s="32" t="s">
        <v>807</v>
      </c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34">
        <v>1</v>
      </c>
      <c r="AC254" s="34">
        <v>1</v>
      </c>
      <c r="AD254" s="34">
        <v>1</v>
      </c>
      <c r="AE254" s="34">
        <v>1</v>
      </c>
      <c r="AF254" s="34">
        <v>1</v>
      </c>
      <c r="AG254" s="34">
        <v>1</v>
      </c>
      <c r="AH254" s="34">
        <v>1</v>
      </c>
      <c r="AI254" s="34">
        <v>1</v>
      </c>
      <c r="AJ254" s="34">
        <v>1</v>
      </c>
      <c r="AK254" s="34">
        <v>1</v>
      </c>
      <c r="AL254" s="10">
        <f t="shared" si="10"/>
        <v>10</v>
      </c>
      <c r="AM254" s="11">
        <v>32000</v>
      </c>
      <c r="AN254" s="12">
        <f t="shared" si="11"/>
        <v>320000</v>
      </c>
    </row>
    <row r="255" spans="1:40">
      <c r="A255" s="50" t="s">
        <v>98</v>
      </c>
      <c r="B255" s="32">
        <v>33</v>
      </c>
      <c r="C255" s="33" t="s">
        <v>843</v>
      </c>
      <c r="D255" s="33" t="s">
        <v>531</v>
      </c>
      <c r="E255" s="33" t="s">
        <v>26</v>
      </c>
      <c r="F255" s="32" t="s">
        <v>813</v>
      </c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34">
        <v>1</v>
      </c>
      <c r="AC255" s="34">
        <v>1</v>
      </c>
      <c r="AD255" s="34">
        <v>1</v>
      </c>
      <c r="AE255" s="34">
        <v>1</v>
      </c>
      <c r="AF255" s="34">
        <v>1</v>
      </c>
      <c r="AG255" s="34">
        <v>1</v>
      </c>
      <c r="AH255" s="34">
        <v>1</v>
      </c>
      <c r="AI255" s="34">
        <v>1</v>
      </c>
      <c r="AJ255" s="34">
        <v>1</v>
      </c>
      <c r="AK255" s="34">
        <v>1</v>
      </c>
      <c r="AL255" s="10">
        <f t="shared" si="10"/>
        <v>10</v>
      </c>
      <c r="AM255" s="11">
        <v>32000</v>
      </c>
      <c r="AN255" s="12">
        <f t="shared" si="11"/>
        <v>320000</v>
      </c>
    </row>
    <row r="256" spans="1:40">
      <c r="A256" s="50" t="s">
        <v>98</v>
      </c>
      <c r="B256" s="32">
        <v>35</v>
      </c>
      <c r="C256" s="33" t="s">
        <v>225</v>
      </c>
      <c r="D256" s="33" t="s">
        <v>226</v>
      </c>
      <c r="E256" s="33" t="s">
        <v>9</v>
      </c>
      <c r="F256" s="32" t="s">
        <v>227</v>
      </c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34">
        <v>1</v>
      </c>
      <c r="AC256" s="34">
        <v>1</v>
      </c>
      <c r="AD256" s="34">
        <v>1</v>
      </c>
      <c r="AE256" s="34">
        <v>1</v>
      </c>
      <c r="AF256" s="34">
        <v>1</v>
      </c>
      <c r="AG256" s="34">
        <v>1</v>
      </c>
      <c r="AH256" s="47"/>
      <c r="AI256" s="47"/>
      <c r="AJ256" s="47"/>
      <c r="AK256" s="47"/>
      <c r="AL256" s="10">
        <f t="shared" si="10"/>
        <v>6</v>
      </c>
      <c r="AM256" s="11">
        <v>32000</v>
      </c>
      <c r="AN256" s="12">
        <f t="shared" si="11"/>
        <v>192000</v>
      </c>
    </row>
    <row r="257" spans="1:40">
      <c r="A257" s="50" t="s">
        <v>98</v>
      </c>
      <c r="B257" s="32">
        <v>35</v>
      </c>
      <c r="C257" s="33" t="s">
        <v>649</v>
      </c>
      <c r="D257" s="33" t="s">
        <v>650</v>
      </c>
      <c r="E257" s="33" t="s">
        <v>30</v>
      </c>
      <c r="F257" s="32" t="s">
        <v>651</v>
      </c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34">
        <v>1</v>
      </c>
      <c r="AC257" s="34">
        <v>1</v>
      </c>
      <c r="AD257" s="34">
        <v>1</v>
      </c>
      <c r="AE257" s="34">
        <v>1</v>
      </c>
      <c r="AF257" s="34">
        <v>1</v>
      </c>
      <c r="AG257" s="34">
        <v>1</v>
      </c>
      <c r="AH257" s="34">
        <v>1</v>
      </c>
      <c r="AI257" s="34">
        <v>1</v>
      </c>
      <c r="AJ257" s="34">
        <v>1</v>
      </c>
      <c r="AK257" s="34">
        <v>1</v>
      </c>
      <c r="AL257" s="10">
        <f t="shared" si="10"/>
        <v>10</v>
      </c>
      <c r="AM257" s="11">
        <v>32000</v>
      </c>
      <c r="AN257" s="12">
        <f t="shared" si="11"/>
        <v>320000</v>
      </c>
    </row>
    <row r="258" spans="1:40">
      <c r="A258" s="50" t="s">
        <v>98</v>
      </c>
      <c r="B258" s="32">
        <v>35</v>
      </c>
      <c r="C258" s="33" t="s">
        <v>953</v>
      </c>
      <c r="D258" s="33" t="s">
        <v>12</v>
      </c>
      <c r="E258" s="33" t="s">
        <v>556</v>
      </c>
      <c r="F258" s="32" t="s">
        <v>956</v>
      </c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  <c r="AG258" s="47"/>
      <c r="AH258" s="34">
        <v>1</v>
      </c>
      <c r="AI258" s="34">
        <v>1</v>
      </c>
      <c r="AJ258" s="34">
        <v>1</v>
      </c>
      <c r="AK258" s="34">
        <v>1</v>
      </c>
      <c r="AL258" s="10">
        <f t="shared" si="10"/>
        <v>4</v>
      </c>
      <c r="AM258" s="11">
        <v>32000</v>
      </c>
      <c r="AN258" s="12">
        <f t="shared" si="11"/>
        <v>128000</v>
      </c>
    </row>
    <row r="259" spans="1:40">
      <c r="A259" s="50" t="s">
        <v>98</v>
      </c>
      <c r="B259" s="32">
        <v>37</v>
      </c>
      <c r="C259" s="33" t="s">
        <v>652</v>
      </c>
      <c r="D259" s="33" t="s">
        <v>653</v>
      </c>
      <c r="E259" s="33" t="s">
        <v>9</v>
      </c>
      <c r="F259" s="32" t="s">
        <v>654</v>
      </c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34">
        <v>1</v>
      </c>
      <c r="AC259" s="34">
        <v>1</v>
      </c>
      <c r="AD259" s="34">
        <v>1</v>
      </c>
      <c r="AE259" s="34">
        <v>1</v>
      </c>
      <c r="AF259" s="34">
        <v>1</v>
      </c>
      <c r="AG259" s="34">
        <v>1</v>
      </c>
      <c r="AH259" s="34">
        <v>1</v>
      </c>
      <c r="AI259" s="34">
        <v>1</v>
      </c>
      <c r="AJ259" s="34">
        <v>1</v>
      </c>
      <c r="AK259" s="34">
        <v>1</v>
      </c>
      <c r="AL259" s="10">
        <f t="shared" si="10"/>
        <v>10</v>
      </c>
      <c r="AM259" s="11">
        <v>32000</v>
      </c>
      <c r="AN259" s="12">
        <f t="shared" si="11"/>
        <v>320000</v>
      </c>
    </row>
    <row r="260" spans="1:40">
      <c r="A260" s="50" t="s">
        <v>98</v>
      </c>
      <c r="B260" s="32">
        <v>37</v>
      </c>
      <c r="C260" s="33" t="s">
        <v>291</v>
      </c>
      <c r="D260" s="33" t="s">
        <v>539</v>
      </c>
      <c r="E260" s="33" t="s">
        <v>65</v>
      </c>
      <c r="F260" s="32" t="s">
        <v>655</v>
      </c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34">
        <v>1</v>
      </c>
      <c r="AC260" s="34">
        <v>1</v>
      </c>
      <c r="AD260" s="34">
        <v>1</v>
      </c>
      <c r="AE260" s="34">
        <v>1</v>
      </c>
      <c r="AF260" s="34">
        <v>1</v>
      </c>
      <c r="AG260" s="34">
        <v>1</v>
      </c>
      <c r="AH260" s="34">
        <v>1</v>
      </c>
      <c r="AI260" s="34">
        <v>1</v>
      </c>
      <c r="AJ260" s="34">
        <v>1</v>
      </c>
      <c r="AK260" s="34">
        <v>1</v>
      </c>
      <c r="AL260" s="10">
        <f t="shared" si="10"/>
        <v>10</v>
      </c>
      <c r="AM260" s="11">
        <v>32000</v>
      </c>
      <c r="AN260" s="12">
        <f t="shared" si="11"/>
        <v>320000</v>
      </c>
    </row>
    <row r="261" spans="1:40">
      <c r="A261" s="50" t="s">
        <v>98</v>
      </c>
      <c r="B261" s="32">
        <v>38</v>
      </c>
      <c r="C261" s="33" t="s">
        <v>656</v>
      </c>
      <c r="D261" s="33" t="s">
        <v>48</v>
      </c>
      <c r="E261" s="33" t="s">
        <v>208</v>
      </c>
      <c r="F261" s="32" t="s">
        <v>657</v>
      </c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34">
        <v>1</v>
      </c>
      <c r="AC261" s="34">
        <v>1</v>
      </c>
      <c r="AD261" s="34">
        <v>1</v>
      </c>
      <c r="AE261" s="34">
        <v>1</v>
      </c>
      <c r="AF261" s="34">
        <v>1</v>
      </c>
      <c r="AG261" s="34">
        <v>1</v>
      </c>
      <c r="AH261" s="34">
        <v>1</v>
      </c>
      <c r="AI261" s="34">
        <v>1</v>
      </c>
      <c r="AJ261" s="34">
        <v>1</v>
      </c>
      <c r="AK261" s="34">
        <v>1</v>
      </c>
      <c r="AL261" s="10">
        <f t="shared" si="10"/>
        <v>10</v>
      </c>
      <c r="AM261" s="11">
        <v>32000</v>
      </c>
      <c r="AN261" s="12">
        <f t="shared" si="11"/>
        <v>320000</v>
      </c>
    </row>
    <row r="262" spans="1:40">
      <c r="A262" s="50" t="s">
        <v>98</v>
      </c>
      <c r="B262" s="32">
        <v>38</v>
      </c>
      <c r="C262" s="33" t="s">
        <v>658</v>
      </c>
      <c r="D262" s="33" t="s">
        <v>634</v>
      </c>
      <c r="E262" s="33" t="s">
        <v>212</v>
      </c>
      <c r="F262" s="32" t="s">
        <v>659</v>
      </c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34">
        <v>1</v>
      </c>
      <c r="AC262" s="34">
        <v>1</v>
      </c>
      <c r="AD262" s="34">
        <v>1</v>
      </c>
      <c r="AE262" s="34">
        <v>1</v>
      </c>
      <c r="AF262" s="34">
        <v>1</v>
      </c>
      <c r="AG262" s="34">
        <v>1</v>
      </c>
      <c r="AH262" s="34">
        <v>1</v>
      </c>
      <c r="AI262" s="34">
        <v>1</v>
      </c>
      <c r="AJ262" s="34">
        <v>1</v>
      </c>
      <c r="AK262" s="34">
        <v>1</v>
      </c>
      <c r="AL262" s="10">
        <f t="shared" ref="AL262:AL307" si="12">SUM(G262:AK262)</f>
        <v>10</v>
      </c>
      <c r="AM262" s="11">
        <v>32000</v>
      </c>
      <c r="AN262" s="12">
        <f t="shared" ref="AN262:AN307" si="13">AM262*AL262</f>
        <v>320000</v>
      </c>
    </row>
    <row r="263" spans="1:40">
      <c r="A263" s="50" t="s">
        <v>98</v>
      </c>
      <c r="B263" s="32">
        <v>39</v>
      </c>
      <c r="C263" s="33" t="s">
        <v>738</v>
      </c>
      <c r="D263" s="33" t="s">
        <v>620</v>
      </c>
      <c r="E263" s="33" t="s">
        <v>242</v>
      </c>
      <c r="F263" s="32" t="s">
        <v>805</v>
      </c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34">
        <v>1</v>
      </c>
      <c r="AC263" s="34">
        <v>1</v>
      </c>
      <c r="AD263" s="34">
        <v>1</v>
      </c>
      <c r="AE263" s="34">
        <v>1</v>
      </c>
      <c r="AF263" s="34">
        <v>1</v>
      </c>
      <c r="AG263" s="34">
        <v>1</v>
      </c>
      <c r="AH263" s="34">
        <v>1</v>
      </c>
      <c r="AI263" s="34">
        <v>1</v>
      </c>
      <c r="AJ263" s="34">
        <v>1</v>
      </c>
      <c r="AK263" s="34">
        <v>1</v>
      </c>
      <c r="AL263" s="10">
        <f t="shared" si="12"/>
        <v>10</v>
      </c>
      <c r="AM263" s="11">
        <v>32000</v>
      </c>
      <c r="AN263" s="12">
        <f t="shared" si="13"/>
        <v>320000</v>
      </c>
    </row>
    <row r="264" spans="1:40">
      <c r="A264" s="50" t="s">
        <v>98</v>
      </c>
      <c r="B264" s="32">
        <v>39</v>
      </c>
      <c r="C264" s="33" t="s">
        <v>25</v>
      </c>
      <c r="D264" s="33" t="s">
        <v>99</v>
      </c>
      <c r="E264" s="33" t="s">
        <v>100</v>
      </c>
      <c r="F264" s="32" t="s">
        <v>806</v>
      </c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34">
        <v>1</v>
      </c>
      <c r="AC264" s="34">
        <v>1</v>
      </c>
      <c r="AD264" s="34">
        <v>1</v>
      </c>
      <c r="AE264" s="34">
        <v>1</v>
      </c>
      <c r="AF264" s="34">
        <v>1</v>
      </c>
      <c r="AG264" s="34">
        <v>1</v>
      </c>
      <c r="AH264" s="34">
        <v>1</v>
      </c>
      <c r="AI264" s="34">
        <v>1</v>
      </c>
      <c r="AJ264" s="34">
        <v>1</v>
      </c>
      <c r="AK264" s="34">
        <v>1</v>
      </c>
      <c r="AL264" s="10">
        <f t="shared" si="12"/>
        <v>10</v>
      </c>
      <c r="AM264" s="11">
        <v>32000</v>
      </c>
      <c r="AN264" s="12">
        <f t="shared" si="13"/>
        <v>320000</v>
      </c>
    </row>
    <row r="265" spans="1:40">
      <c r="A265" s="50" t="s">
        <v>98</v>
      </c>
      <c r="B265" s="32">
        <v>40</v>
      </c>
      <c r="C265" s="33" t="s">
        <v>660</v>
      </c>
      <c r="D265" s="33" t="s">
        <v>661</v>
      </c>
      <c r="E265" s="33" t="s">
        <v>83</v>
      </c>
      <c r="F265" s="32" t="s">
        <v>662</v>
      </c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34">
        <v>1</v>
      </c>
      <c r="AC265" s="34">
        <v>1</v>
      </c>
      <c r="AD265" s="34">
        <v>1</v>
      </c>
      <c r="AE265" s="34">
        <v>1</v>
      </c>
      <c r="AF265" s="34">
        <v>1</v>
      </c>
      <c r="AG265" s="34">
        <v>1</v>
      </c>
      <c r="AH265" s="34">
        <v>1</v>
      </c>
      <c r="AI265" s="34">
        <v>1</v>
      </c>
      <c r="AJ265" s="34">
        <v>1</v>
      </c>
      <c r="AK265" s="34">
        <v>1</v>
      </c>
      <c r="AL265" s="10">
        <f t="shared" si="12"/>
        <v>10</v>
      </c>
      <c r="AM265" s="11">
        <v>32000</v>
      </c>
      <c r="AN265" s="12">
        <f t="shared" si="13"/>
        <v>320000</v>
      </c>
    </row>
    <row r="266" spans="1:40">
      <c r="A266" s="50" t="s">
        <v>98</v>
      </c>
      <c r="B266" s="32">
        <v>40</v>
      </c>
      <c r="C266" s="33" t="s">
        <v>663</v>
      </c>
      <c r="D266" s="33" t="s">
        <v>664</v>
      </c>
      <c r="E266" s="33" t="s">
        <v>665</v>
      </c>
      <c r="F266" s="32" t="s">
        <v>666</v>
      </c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34">
        <v>1</v>
      </c>
      <c r="AC266" s="34">
        <v>1</v>
      </c>
      <c r="AD266" s="34">
        <v>1</v>
      </c>
      <c r="AE266" s="34">
        <v>1</v>
      </c>
      <c r="AF266" s="34">
        <v>1</v>
      </c>
      <c r="AG266" s="34">
        <v>1</v>
      </c>
      <c r="AH266" s="34">
        <v>1</v>
      </c>
      <c r="AI266" s="34">
        <v>1</v>
      </c>
      <c r="AJ266" s="34">
        <v>1</v>
      </c>
      <c r="AK266" s="34">
        <v>1</v>
      </c>
      <c r="AL266" s="10">
        <f t="shared" si="12"/>
        <v>10</v>
      </c>
      <c r="AM266" s="11">
        <v>32000</v>
      </c>
      <c r="AN266" s="12">
        <f t="shared" si="13"/>
        <v>320000</v>
      </c>
    </row>
    <row r="267" spans="1:40">
      <c r="A267" s="50" t="s">
        <v>98</v>
      </c>
      <c r="B267" s="32">
        <v>41</v>
      </c>
      <c r="C267" s="33" t="s">
        <v>487</v>
      </c>
      <c r="D267" s="33" t="s">
        <v>21</v>
      </c>
      <c r="E267" s="33" t="s">
        <v>259</v>
      </c>
      <c r="F267" s="32" t="s">
        <v>260</v>
      </c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34">
        <v>1</v>
      </c>
      <c r="AC267" s="34">
        <v>1</v>
      </c>
      <c r="AD267" s="34">
        <v>1</v>
      </c>
      <c r="AE267" s="34">
        <v>1</v>
      </c>
      <c r="AF267" s="34">
        <v>1</v>
      </c>
      <c r="AG267" s="34">
        <v>1</v>
      </c>
      <c r="AH267" s="34">
        <v>1</v>
      </c>
      <c r="AI267" s="34">
        <v>1</v>
      </c>
      <c r="AJ267" s="34">
        <v>1</v>
      </c>
      <c r="AK267" s="34">
        <v>1</v>
      </c>
      <c r="AL267" s="10">
        <f t="shared" si="12"/>
        <v>10</v>
      </c>
      <c r="AM267" s="11">
        <v>32000</v>
      </c>
      <c r="AN267" s="12">
        <f t="shared" si="13"/>
        <v>320000</v>
      </c>
    </row>
    <row r="268" spans="1:40">
      <c r="A268" s="50" t="s">
        <v>98</v>
      </c>
      <c r="B268" s="32">
        <v>41</v>
      </c>
      <c r="C268" s="33" t="s">
        <v>488</v>
      </c>
      <c r="D268" s="33" t="s">
        <v>350</v>
      </c>
      <c r="E268" s="33" t="s">
        <v>9</v>
      </c>
      <c r="F268" s="32" t="s">
        <v>351</v>
      </c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34">
        <v>1</v>
      </c>
      <c r="AC268" s="34">
        <v>1</v>
      </c>
      <c r="AD268" s="34">
        <v>1</v>
      </c>
      <c r="AE268" s="34">
        <v>1</v>
      </c>
      <c r="AF268" s="34">
        <v>1</v>
      </c>
      <c r="AG268" s="34">
        <v>1</v>
      </c>
      <c r="AH268" s="34">
        <v>1</v>
      </c>
      <c r="AI268" s="34">
        <v>1</v>
      </c>
      <c r="AJ268" s="34">
        <v>1</v>
      </c>
      <c r="AK268" s="34">
        <v>1</v>
      </c>
      <c r="AL268" s="10">
        <f t="shared" si="12"/>
        <v>10</v>
      </c>
      <c r="AM268" s="11">
        <v>32000</v>
      </c>
      <c r="AN268" s="12">
        <f t="shared" si="13"/>
        <v>320000</v>
      </c>
    </row>
    <row r="269" spans="1:40">
      <c r="A269" s="50" t="s">
        <v>98</v>
      </c>
      <c r="B269" s="32">
        <v>42</v>
      </c>
      <c r="C269" s="33" t="s">
        <v>29</v>
      </c>
      <c r="D269" s="33" t="s">
        <v>131</v>
      </c>
      <c r="E269" s="33" t="s">
        <v>665</v>
      </c>
      <c r="F269" s="32" t="s">
        <v>667</v>
      </c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34">
        <v>1</v>
      </c>
      <c r="AC269" s="34">
        <v>1</v>
      </c>
      <c r="AD269" s="34">
        <v>1</v>
      </c>
      <c r="AE269" s="34">
        <v>1</v>
      </c>
      <c r="AF269" s="34">
        <v>1</v>
      </c>
      <c r="AG269" s="34">
        <v>1</v>
      </c>
      <c r="AH269" s="34">
        <v>1</v>
      </c>
      <c r="AI269" s="34">
        <v>1</v>
      </c>
      <c r="AJ269" s="34">
        <v>1</v>
      </c>
      <c r="AK269" s="34">
        <v>1</v>
      </c>
      <c r="AL269" s="10">
        <f t="shared" si="12"/>
        <v>10</v>
      </c>
      <c r="AM269" s="11">
        <v>32000</v>
      </c>
      <c r="AN269" s="12">
        <f t="shared" si="13"/>
        <v>320000</v>
      </c>
    </row>
    <row r="270" spans="1:40">
      <c r="A270" s="50" t="s">
        <v>98</v>
      </c>
      <c r="B270" s="32">
        <v>42</v>
      </c>
      <c r="C270" s="33" t="s">
        <v>668</v>
      </c>
      <c r="D270" s="33" t="s">
        <v>421</v>
      </c>
      <c r="E270" s="33" t="s">
        <v>43</v>
      </c>
      <c r="F270" s="32" t="s">
        <v>669</v>
      </c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34">
        <v>1</v>
      </c>
      <c r="AC270" s="34">
        <v>1</v>
      </c>
      <c r="AD270" s="34">
        <v>1</v>
      </c>
      <c r="AE270" s="34">
        <v>1</v>
      </c>
      <c r="AF270" s="34">
        <v>1</v>
      </c>
      <c r="AG270" s="34">
        <v>1</v>
      </c>
      <c r="AH270" s="34">
        <v>1</v>
      </c>
      <c r="AI270" s="34">
        <v>1</v>
      </c>
      <c r="AJ270" s="34">
        <v>1</v>
      </c>
      <c r="AK270" s="34">
        <v>1</v>
      </c>
      <c r="AL270" s="10">
        <f t="shared" si="12"/>
        <v>10</v>
      </c>
      <c r="AM270" s="11">
        <v>32000</v>
      </c>
      <c r="AN270" s="12">
        <f t="shared" si="13"/>
        <v>320000</v>
      </c>
    </row>
    <row r="271" spans="1:40">
      <c r="A271" s="50" t="s">
        <v>98</v>
      </c>
      <c r="B271" s="32">
        <v>43</v>
      </c>
      <c r="C271" s="33" t="s">
        <v>476</v>
      </c>
      <c r="D271" s="33" t="s">
        <v>477</v>
      </c>
      <c r="E271" s="33" t="s">
        <v>276</v>
      </c>
      <c r="F271" s="32" t="s">
        <v>478</v>
      </c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34">
        <v>1</v>
      </c>
      <c r="AC271" s="34">
        <v>1</v>
      </c>
      <c r="AD271" s="34">
        <v>1</v>
      </c>
      <c r="AE271" s="34">
        <v>1</v>
      </c>
      <c r="AF271" s="34">
        <v>1</v>
      </c>
      <c r="AG271" s="34">
        <v>1</v>
      </c>
      <c r="AH271" s="34">
        <v>1</v>
      </c>
      <c r="AI271" s="34">
        <v>1</v>
      </c>
      <c r="AJ271" s="34">
        <v>1</v>
      </c>
      <c r="AK271" s="34">
        <v>1</v>
      </c>
      <c r="AL271" s="10">
        <f t="shared" si="12"/>
        <v>10</v>
      </c>
      <c r="AM271" s="11">
        <v>32000</v>
      </c>
      <c r="AN271" s="12">
        <f t="shared" si="13"/>
        <v>320000</v>
      </c>
    </row>
    <row r="272" spans="1:40">
      <c r="A272" s="50" t="s">
        <v>98</v>
      </c>
      <c r="B272" s="32">
        <v>43</v>
      </c>
      <c r="C272" s="33" t="s">
        <v>149</v>
      </c>
      <c r="D272" s="33" t="s">
        <v>479</v>
      </c>
      <c r="E272" s="33" t="s">
        <v>480</v>
      </c>
      <c r="F272" s="32" t="s">
        <v>481</v>
      </c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34">
        <v>1</v>
      </c>
      <c r="AC272" s="34">
        <v>1</v>
      </c>
      <c r="AD272" s="34">
        <v>1</v>
      </c>
      <c r="AE272" s="34">
        <v>1</v>
      </c>
      <c r="AF272" s="34">
        <v>1</v>
      </c>
      <c r="AG272" s="34">
        <v>1</v>
      </c>
      <c r="AH272" s="47"/>
      <c r="AI272" s="47"/>
      <c r="AJ272" s="47"/>
      <c r="AK272" s="47"/>
      <c r="AL272" s="10">
        <f t="shared" si="12"/>
        <v>6</v>
      </c>
      <c r="AM272" s="11">
        <v>32000</v>
      </c>
      <c r="AN272" s="12">
        <f t="shared" si="13"/>
        <v>192000</v>
      </c>
    </row>
    <row r="273" spans="1:40">
      <c r="A273" s="50" t="s">
        <v>98</v>
      </c>
      <c r="B273" s="32">
        <v>43</v>
      </c>
      <c r="C273" s="33" t="s">
        <v>954</v>
      </c>
      <c r="D273" s="33" t="s">
        <v>10</v>
      </c>
      <c r="E273" s="33" t="s">
        <v>43</v>
      </c>
      <c r="F273" s="32" t="s">
        <v>955</v>
      </c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  <c r="AH273" s="34">
        <v>1</v>
      </c>
      <c r="AI273" s="34">
        <v>1</v>
      </c>
      <c r="AJ273" s="34">
        <v>1</v>
      </c>
      <c r="AK273" s="34">
        <v>1</v>
      </c>
      <c r="AL273" s="10">
        <f t="shared" si="12"/>
        <v>4</v>
      </c>
      <c r="AM273" s="11">
        <v>32000</v>
      </c>
      <c r="AN273" s="12">
        <f t="shared" si="13"/>
        <v>128000</v>
      </c>
    </row>
    <row r="274" spans="1:40">
      <c r="A274" s="50" t="s">
        <v>98</v>
      </c>
      <c r="B274" s="32">
        <v>44</v>
      </c>
      <c r="C274" s="33" t="s">
        <v>20</v>
      </c>
      <c r="D274" s="33" t="s">
        <v>122</v>
      </c>
      <c r="E274" s="33" t="s">
        <v>15</v>
      </c>
      <c r="F274" s="32" t="s">
        <v>123</v>
      </c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34">
        <v>1</v>
      </c>
      <c r="AC274" s="34">
        <v>1</v>
      </c>
      <c r="AD274" s="47"/>
      <c r="AE274" s="47"/>
      <c r="AF274" s="47"/>
      <c r="AG274" s="47"/>
      <c r="AH274" s="47"/>
      <c r="AI274" s="47"/>
      <c r="AJ274" s="47"/>
      <c r="AK274" s="47"/>
      <c r="AL274" s="10">
        <f t="shared" si="12"/>
        <v>2</v>
      </c>
      <c r="AM274" s="11">
        <v>32000</v>
      </c>
      <c r="AN274" s="12">
        <f t="shared" si="13"/>
        <v>64000</v>
      </c>
    </row>
    <row r="275" spans="1:40">
      <c r="A275" s="50" t="s">
        <v>98</v>
      </c>
      <c r="B275" s="32">
        <v>44</v>
      </c>
      <c r="C275" s="33" t="s">
        <v>488</v>
      </c>
      <c r="D275" s="33" t="s">
        <v>746</v>
      </c>
      <c r="E275" s="33" t="s">
        <v>469</v>
      </c>
      <c r="F275" s="32" t="s">
        <v>747</v>
      </c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34">
        <v>1</v>
      </c>
      <c r="AC275" s="34">
        <v>1</v>
      </c>
      <c r="AD275" s="34">
        <v>1</v>
      </c>
      <c r="AE275" s="34">
        <v>1</v>
      </c>
      <c r="AF275" s="34">
        <v>1</v>
      </c>
      <c r="AG275" s="34">
        <v>1</v>
      </c>
      <c r="AH275" s="47"/>
      <c r="AI275" s="47"/>
      <c r="AJ275" s="47"/>
      <c r="AK275" s="47"/>
      <c r="AL275" s="10">
        <f t="shared" si="12"/>
        <v>6</v>
      </c>
      <c r="AM275" s="11">
        <v>32000</v>
      </c>
      <c r="AN275" s="12">
        <f t="shared" si="13"/>
        <v>192000</v>
      </c>
    </row>
    <row r="276" spans="1:40">
      <c r="A276" s="50" t="s">
        <v>98</v>
      </c>
      <c r="B276" s="32">
        <v>44</v>
      </c>
      <c r="C276" s="33" t="s">
        <v>166</v>
      </c>
      <c r="D276" s="33" t="s">
        <v>850</v>
      </c>
      <c r="E276" s="33" t="s">
        <v>849</v>
      </c>
      <c r="F276" s="32" t="s">
        <v>817</v>
      </c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34">
        <v>1</v>
      </c>
      <c r="AE276" s="34">
        <v>1</v>
      </c>
      <c r="AF276" s="34">
        <v>1</v>
      </c>
      <c r="AG276" s="34">
        <v>1</v>
      </c>
      <c r="AH276" s="34">
        <v>1</v>
      </c>
      <c r="AI276" s="34">
        <v>1</v>
      </c>
      <c r="AJ276" s="34">
        <v>1</v>
      </c>
      <c r="AK276" s="34">
        <v>1</v>
      </c>
      <c r="AL276" s="10">
        <f t="shared" si="12"/>
        <v>8</v>
      </c>
      <c r="AM276" s="11">
        <v>32000</v>
      </c>
      <c r="AN276" s="12">
        <f t="shared" si="13"/>
        <v>256000</v>
      </c>
    </row>
    <row r="277" spans="1:40">
      <c r="A277" s="50" t="s">
        <v>98</v>
      </c>
      <c r="B277" s="32">
        <v>44</v>
      </c>
      <c r="C277" s="33" t="s">
        <v>416</v>
      </c>
      <c r="D277" s="33" t="s">
        <v>555</v>
      </c>
      <c r="E277" s="33" t="s">
        <v>957</v>
      </c>
      <c r="F277" s="32" t="s">
        <v>973</v>
      </c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34">
        <v>1</v>
      </c>
      <c r="AI277" s="34">
        <v>1</v>
      </c>
      <c r="AJ277" s="34">
        <v>1</v>
      </c>
      <c r="AK277" s="34">
        <v>1</v>
      </c>
      <c r="AL277" s="10">
        <f t="shared" si="12"/>
        <v>4</v>
      </c>
      <c r="AM277" s="11">
        <v>32000</v>
      </c>
      <c r="AN277" s="12">
        <f t="shared" si="13"/>
        <v>128000</v>
      </c>
    </row>
    <row r="278" spans="1:40">
      <c r="A278" s="50" t="s">
        <v>98</v>
      </c>
      <c r="B278" s="32">
        <v>45</v>
      </c>
      <c r="C278" s="33" t="s">
        <v>360</v>
      </c>
      <c r="D278" s="33" t="s">
        <v>360</v>
      </c>
      <c r="E278" s="33" t="s">
        <v>328</v>
      </c>
      <c r="F278" s="32" t="s">
        <v>670</v>
      </c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34">
        <v>1</v>
      </c>
      <c r="AC278" s="34">
        <v>1</v>
      </c>
      <c r="AD278" s="34">
        <v>1</v>
      </c>
      <c r="AE278" s="34">
        <v>1</v>
      </c>
      <c r="AF278" s="34">
        <v>1</v>
      </c>
      <c r="AG278" s="34">
        <v>1</v>
      </c>
      <c r="AH278" s="34">
        <v>1</v>
      </c>
      <c r="AI278" s="34">
        <v>1</v>
      </c>
      <c r="AJ278" s="34">
        <v>1</v>
      </c>
      <c r="AK278" s="34">
        <v>1</v>
      </c>
      <c r="AL278" s="10">
        <f t="shared" si="12"/>
        <v>10</v>
      </c>
      <c r="AM278" s="11">
        <v>32000</v>
      </c>
      <c r="AN278" s="12">
        <f t="shared" si="13"/>
        <v>320000</v>
      </c>
    </row>
    <row r="279" spans="1:40">
      <c r="A279" s="50" t="s">
        <v>98</v>
      </c>
      <c r="B279" s="32">
        <v>45</v>
      </c>
      <c r="C279" s="33" t="s">
        <v>137</v>
      </c>
      <c r="D279" s="33" t="s">
        <v>77</v>
      </c>
      <c r="E279" s="33" t="s">
        <v>159</v>
      </c>
      <c r="F279" s="32" t="s">
        <v>671</v>
      </c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34">
        <v>1</v>
      </c>
      <c r="AC279" s="34">
        <v>1</v>
      </c>
      <c r="AD279" s="34">
        <v>1</v>
      </c>
      <c r="AE279" s="34">
        <v>1</v>
      </c>
      <c r="AF279" s="34">
        <v>1</v>
      </c>
      <c r="AG279" s="34">
        <v>1</v>
      </c>
      <c r="AH279" s="34">
        <v>1</v>
      </c>
      <c r="AI279" s="34">
        <v>1</v>
      </c>
      <c r="AJ279" s="34">
        <v>1</v>
      </c>
      <c r="AK279" s="34">
        <v>1</v>
      </c>
      <c r="AL279" s="10">
        <f t="shared" si="12"/>
        <v>10</v>
      </c>
      <c r="AM279" s="11">
        <v>32000</v>
      </c>
      <c r="AN279" s="12">
        <f t="shared" si="13"/>
        <v>320000</v>
      </c>
    </row>
    <row r="280" spans="1:40">
      <c r="A280" s="50" t="s">
        <v>98</v>
      </c>
      <c r="B280" s="32">
        <v>46</v>
      </c>
      <c r="C280" s="33" t="s">
        <v>149</v>
      </c>
      <c r="D280" s="33" t="s">
        <v>958</v>
      </c>
      <c r="E280" s="33" t="s">
        <v>449</v>
      </c>
      <c r="F280" s="32" t="s">
        <v>972</v>
      </c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34">
        <v>1</v>
      </c>
      <c r="AC280" s="34">
        <v>1</v>
      </c>
      <c r="AD280" s="34">
        <v>1</v>
      </c>
      <c r="AE280" s="34">
        <v>1</v>
      </c>
      <c r="AF280" s="34">
        <v>1</v>
      </c>
      <c r="AG280" s="34">
        <v>1</v>
      </c>
      <c r="AH280" s="34">
        <v>1</v>
      </c>
      <c r="AI280" s="34">
        <v>1</v>
      </c>
      <c r="AJ280" s="34">
        <v>1</v>
      </c>
      <c r="AK280" s="34">
        <v>1</v>
      </c>
      <c r="AL280" s="10">
        <f t="shared" si="12"/>
        <v>10</v>
      </c>
      <c r="AM280" s="11">
        <v>32000</v>
      </c>
      <c r="AN280" s="12">
        <f t="shared" si="13"/>
        <v>320000</v>
      </c>
    </row>
    <row r="281" spans="1:40">
      <c r="A281" s="50" t="s">
        <v>98</v>
      </c>
      <c r="B281" s="32">
        <v>48</v>
      </c>
      <c r="C281" s="33" t="s">
        <v>70</v>
      </c>
      <c r="D281" s="33" t="s">
        <v>672</v>
      </c>
      <c r="E281" s="33" t="s">
        <v>26</v>
      </c>
      <c r="F281" s="32" t="s">
        <v>673</v>
      </c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34">
        <v>1</v>
      </c>
      <c r="AC281" s="34">
        <v>1</v>
      </c>
      <c r="AD281" s="34">
        <v>1</v>
      </c>
      <c r="AE281" s="34">
        <v>1</v>
      </c>
      <c r="AF281" s="34">
        <v>1</v>
      </c>
      <c r="AG281" s="34">
        <v>1</v>
      </c>
      <c r="AH281" s="34">
        <v>1</v>
      </c>
      <c r="AI281" s="34">
        <v>1</v>
      </c>
      <c r="AJ281" s="34">
        <v>1</v>
      </c>
      <c r="AK281" s="34">
        <v>1</v>
      </c>
      <c r="AL281" s="10">
        <f t="shared" si="12"/>
        <v>10</v>
      </c>
      <c r="AM281" s="11">
        <v>32000</v>
      </c>
      <c r="AN281" s="12">
        <f t="shared" si="13"/>
        <v>320000</v>
      </c>
    </row>
    <row r="282" spans="1:40">
      <c r="A282" s="50" t="s">
        <v>98</v>
      </c>
      <c r="B282" s="32">
        <v>48</v>
      </c>
      <c r="C282" s="33" t="s">
        <v>886</v>
      </c>
      <c r="D282" s="33" t="s">
        <v>887</v>
      </c>
      <c r="E282" s="33" t="s">
        <v>876</v>
      </c>
      <c r="F282" s="32" t="s">
        <v>895</v>
      </c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34">
        <v>1</v>
      </c>
      <c r="AC282" s="34">
        <v>1</v>
      </c>
      <c r="AD282" s="34">
        <v>1</v>
      </c>
      <c r="AE282" s="34">
        <v>1</v>
      </c>
      <c r="AF282" s="34">
        <v>1</v>
      </c>
      <c r="AG282" s="34">
        <v>1</v>
      </c>
      <c r="AH282" s="34">
        <v>1</v>
      </c>
      <c r="AI282" s="34">
        <v>1</v>
      </c>
      <c r="AJ282" s="34">
        <v>1</v>
      </c>
      <c r="AK282" s="34">
        <v>1</v>
      </c>
      <c r="AL282" s="10">
        <f t="shared" si="12"/>
        <v>10</v>
      </c>
      <c r="AM282" s="11">
        <v>32000</v>
      </c>
      <c r="AN282" s="12">
        <f t="shared" si="13"/>
        <v>320000</v>
      </c>
    </row>
    <row r="283" spans="1:40">
      <c r="A283" s="50" t="s">
        <v>98</v>
      </c>
      <c r="B283" s="32">
        <v>50</v>
      </c>
      <c r="C283" s="33" t="s">
        <v>674</v>
      </c>
      <c r="D283" s="33" t="s">
        <v>675</v>
      </c>
      <c r="E283" s="33" t="s">
        <v>676</v>
      </c>
      <c r="F283" s="32" t="s">
        <v>677</v>
      </c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34">
        <v>1</v>
      </c>
      <c r="AC283" s="34">
        <v>1</v>
      </c>
      <c r="AD283" s="34">
        <v>1</v>
      </c>
      <c r="AE283" s="34">
        <v>1</v>
      </c>
      <c r="AF283" s="34">
        <v>1</v>
      </c>
      <c r="AG283" s="34">
        <v>1</v>
      </c>
      <c r="AH283" s="34">
        <v>1</v>
      </c>
      <c r="AI283" s="34">
        <v>1</v>
      </c>
      <c r="AJ283" s="34">
        <v>1</v>
      </c>
      <c r="AK283" s="34">
        <v>1</v>
      </c>
      <c r="AL283" s="10">
        <f t="shared" si="12"/>
        <v>10</v>
      </c>
      <c r="AM283" s="11">
        <v>32000</v>
      </c>
      <c r="AN283" s="12">
        <f t="shared" si="13"/>
        <v>320000</v>
      </c>
    </row>
    <row r="284" spans="1:40">
      <c r="A284" s="50" t="s">
        <v>98</v>
      </c>
      <c r="B284" s="32">
        <v>50</v>
      </c>
      <c r="C284" s="33" t="s">
        <v>18</v>
      </c>
      <c r="D284" s="33" t="s">
        <v>10</v>
      </c>
      <c r="E284" s="33" t="s">
        <v>124</v>
      </c>
      <c r="F284" s="32" t="s">
        <v>125</v>
      </c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34">
        <v>1</v>
      </c>
      <c r="AC284" s="34">
        <v>1</v>
      </c>
      <c r="AD284" s="34">
        <v>1</v>
      </c>
      <c r="AE284" s="34">
        <v>1</v>
      </c>
      <c r="AF284" s="34">
        <v>1</v>
      </c>
      <c r="AG284" s="34">
        <v>1</v>
      </c>
      <c r="AH284" s="34">
        <v>1</v>
      </c>
      <c r="AI284" s="34">
        <v>1</v>
      </c>
      <c r="AJ284" s="34">
        <v>1</v>
      </c>
      <c r="AK284" s="34">
        <v>1</v>
      </c>
      <c r="AL284" s="10">
        <f t="shared" si="12"/>
        <v>10</v>
      </c>
      <c r="AM284" s="11">
        <v>32000</v>
      </c>
      <c r="AN284" s="12">
        <f t="shared" si="13"/>
        <v>320000</v>
      </c>
    </row>
    <row r="285" spans="1:40">
      <c r="A285" s="50" t="s">
        <v>98</v>
      </c>
      <c r="B285" s="32">
        <v>51</v>
      </c>
      <c r="C285" s="33" t="s">
        <v>292</v>
      </c>
      <c r="D285" s="33" t="s">
        <v>149</v>
      </c>
      <c r="E285" s="33" t="s">
        <v>469</v>
      </c>
      <c r="F285" s="32" t="s">
        <v>678</v>
      </c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34">
        <v>1</v>
      </c>
      <c r="AC285" s="34">
        <v>1</v>
      </c>
      <c r="AD285" s="34">
        <v>1</v>
      </c>
      <c r="AE285" s="34">
        <v>1</v>
      </c>
      <c r="AF285" s="34">
        <v>1</v>
      </c>
      <c r="AG285" s="34">
        <v>1</v>
      </c>
      <c r="AH285" s="34">
        <v>1</v>
      </c>
      <c r="AI285" s="34">
        <v>1</v>
      </c>
      <c r="AJ285" s="34">
        <v>1</v>
      </c>
      <c r="AK285" s="34">
        <v>1</v>
      </c>
      <c r="AL285" s="10">
        <f t="shared" si="12"/>
        <v>10</v>
      </c>
      <c r="AM285" s="11">
        <v>32000</v>
      </c>
      <c r="AN285" s="12">
        <f t="shared" si="13"/>
        <v>320000</v>
      </c>
    </row>
    <row r="286" spans="1:40">
      <c r="A286" s="50" t="s">
        <v>98</v>
      </c>
      <c r="B286" s="32">
        <v>51</v>
      </c>
      <c r="C286" s="33" t="s">
        <v>679</v>
      </c>
      <c r="D286" s="33" t="s">
        <v>29</v>
      </c>
      <c r="E286" s="33" t="s">
        <v>259</v>
      </c>
      <c r="F286" s="32" t="s">
        <v>680</v>
      </c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34">
        <v>1</v>
      </c>
      <c r="AC286" s="34">
        <v>1</v>
      </c>
      <c r="AD286" s="34">
        <v>1</v>
      </c>
      <c r="AE286" s="34">
        <v>1</v>
      </c>
      <c r="AF286" s="34">
        <v>1</v>
      </c>
      <c r="AG286" s="34">
        <v>1</v>
      </c>
      <c r="AH286" s="34">
        <v>1</v>
      </c>
      <c r="AI286" s="34">
        <v>1</v>
      </c>
      <c r="AJ286" s="34">
        <v>1</v>
      </c>
      <c r="AK286" s="34">
        <v>1</v>
      </c>
      <c r="AL286" s="10">
        <f t="shared" si="12"/>
        <v>10</v>
      </c>
      <c r="AM286" s="11">
        <v>32000</v>
      </c>
      <c r="AN286" s="12">
        <f t="shared" si="13"/>
        <v>320000</v>
      </c>
    </row>
    <row r="287" spans="1:40">
      <c r="A287" s="50" t="s">
        <v>98</v>
      </c>
      <c r="B287" s="32">
        <v>52</v>
      </c>
      <c r="C287" s="33" t="s">
        <v>360</v>
      </c>
      <c r="D287" s="33" t="s">
        <v>681</v>
      </c>
      <c r="E287" s="33" t="s">
        <v>682</v>
      </c>
      <c r="F287" s="32" t="s">
        <v>683</v>
      </c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34">
        <v>1</v>
      </c>
      <c r="AC287" s="34">
        <v>1</v>
      </c>
      <c r="AD287" s="47"/>
      <c r="AE287" s="47"/>
      <c r="AF287" s="47"/>
      <c r="AG287" s="47"/>
      <c r="AH287" s="47"/>
      <c r="AI287" s="47"/>
      <c r="AJ287" s="47"/>
      <c r="AK287" s="47"/>
      <c r="AL287" s="10">
        <f t="shared" si="12"/>
        <v>2</v>
      </c>
      <c r="AM287" s="11">
        <v>32000</v>
      </c>
      <c r="AN287" s="12">
        <f t="shared" si="13"/>
        <v>64000</v>
      </c>
    </row>
    <row r="288" spans="1:40">
      <c r="A288" s="50" t="s">
        <v>98</v>
      </c>
      <c r="B288" s="32">
        <v>52</v>
      </c>
      <c r="C288" s="33" t="s">
        <v>684</v>
      </c>
      <c r="D288" s="33" t="s">
        <v>685</v>
      </c>
      <c r="E288" s="33" t="s">
        <v>276</v>
      </c>
      <c r="F288" s="32" t="s">
        <v>686</v>
      </c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34">
        <v>1</v>
      </c>
      <c r="AC288" s="34">
        <v>1</v>
      </c>
      <c r="AD288" s="47"/>
      <c r="AE288" s="47"/>
      <c r="AF288" s="47"/>
      <c r="AG288" s="47"/>
      <c r="AH288" s="47"/>
      <c r="AI288" s="47"/>
      <c r="AJ288" s="47"/>
      <c r="AK288" s="47"/>
      <c r="AL288" s="10">
        <f t="shared" si="12"/>
        <v>2</v>
      </c>
      <c r="AM288" s="11">
        <v>32000</v>
      </c>
      <c r="AN288" s="12">
        <f t="shared" si="13"/>
        <v>64000</v>
      </c>
    </row>
    <row r="289" spans="1:40">
      <c r="A289" s="50" t="s">
        <v>98</v>
      </c>
      <c r="B289" s="32">
        <v>52</v>
      </c>
      <c r="C289" s="33" t="s">
        <v>547</v>
      </c>
      <c r="D289" s="33" t="s">
        <v>21</v>
      </c>
      <c r="E289" s="33" t="s">
        <v>229</v>
      </c>
      <c r="F289" s="32" t="s">
        <v>809</v>
      </c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34">
        <v>1</v>
      </c>
      <c r="AE289" s="34">
        <v>1</v>
      </c>
      <c r="AF289" s="34">
        <v>1</v>
      </c>
      <c r="AG289" s="34">
        <v>1</v>
      </c>
      <c r="AH289" s="34">
        <v>1</v>
      </c>
      <c r="AI289" s="34">
        <v>1</v>
      </c>
      <c r="AJ289" s="34">
        <v>1</v>
      </c>
      <c r="AK289" s="34">
        <v>1</v>
      </c>
      <c r="AL289" s="10">
        <f t="shared" si="12"/>
        <v>8</v>
      </c>
      <c r="AM289" s="11">
        <v>32000</v>
      </c>
      <c r="AN289" s="12">
        <f t="shared" si="13"/>
        <v>256000</v>
      </c>
    </row>
    <row r="290" spans="1:40">
      <c r="A290" s="50" t="s">
        <v>98</v>
      </c>
      <c r="B290" s="32">
        <v>52</v>
      </c>
      <c r="C290" s="33" t="s">
        <v>155</v>
      </c>
      <c r="D290" s="33" t="s">
        <v>261</v>
      </c>
      <c r="E290" s="33" t="s">
        <v>842</v>
      </c>
      <c r="F290" s="32" t="s">
        <v>812</v>
      </c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34">
        <v>1</v>
      </c>
      <c r="AE290" s="34">
        <v>1</v>
      </c>
      <c r="AF290" s="34">
        <v>1</v>
      </c>
      <c r="AG290" s="34">
        <v>1</v>
      </c>
      <c r="AH290" s="34">
        <v>1</v>
      </c>
      <c r="AI290" s="34">
        <v>1</v>
      </c>
      <c r="AJ290" s="34">
        <v>1</v>
      </c>
      <c r="AK290" s="34">
        <v>1</v>
      </c>
      <c r="AL290" s="10">
        <f t="shared" si="12"/>
        <v>8</v>
      </c>
      <c r="AM290" s="11">
        <v>32000</v>
      </c>
      <c r="AN290" s="12">
        <f t="shared" si="13"/>
        <v>256000</v>
      </c>
    </row>
    <row r="291" spans="1:40">
      <c r="A291" s="50" t="s">
        <v>98</v>
      </c>
      <c r="B291" s="32">
        <v>57</v>
      </c>
      <c r="C291" s="33" t="s">
        <v>620</v>
      </c>
      <c r="D291" s="33" t="s">
        <v>687</v>
      </c>
      <c r="E291" s="33" t="s">
        <v>465</v>
      </c>
      <c r="F291" s="32" t="s">
        <v>688</v>
      </c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34">
        <v>1</v>
      </c>
      <c r="AC291" s="34">
        <v>1</v>
      </c>
      <c r="AD291" s="34">
        <v>1</v>
      </c>
      <c r="AE291" s="34">
        <v>1</v>
      </c>
      <c r="AF291" s="34">
        <v>1</v>
      </c>
      <c r="AG291" s="34">
        <v>1</v>
      </c>
      <c r="AH291" s="34">
        <v>1</v>
      </c>
      <c r="AI291" s="34">
        <v>1</v>
      </c>
      <c r="AJ291" s="34">
        <v>1</v>
      </c>
      <c r="AK291" s="34">
        <v>1</v>
      </c>
      <c r="AL291" s="10">
        <f t="shared" si="12"/>
        <v>10</v>
      </c>
      <c r="AM291" s="11">
        <v>32000</v>
      </c>
      <c r="AN291" s="12">
        <f t="shared" si="13"/>
        <v>320000</v>
      </c>
    </row>
    <row r="292" spans="1:40">
      <c r="A292" s="50" t="s">
        <v>98</v>
      </c>
      <c r="B292" s="32">
        <v>57</v>
      </c>
      <c r="C292" s="33" t="s">
        <v>130</v>
      </c>
      <c r="D292" s="33" t="s">
        <v>689</v>
      </c>
      <c r="E292" s="33" t="s">
        <v>690</v>
      </c>
      <c r="F292" s="32" t="s">
        <v>691</v>
      </c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34">
        <v>1</v>
      </c>
      <c r="AC292" s="34">
        <v>1</v>
      </c>
      <c r="AD292" s="34">
        <v>1</v>
      </c>
      <c r="AE292" s="34">
        <v>1</v>
      </c>
      <c r="AF292" s="34">
        <v>1</v>
      </c>
      <c r="AG292" s="34">
        <v>1</v>
      </c>
      <c r="AH292" s="34">
        <v>1</v>
      </c>
      <c r="AI292" s="34">
        <v>1</v>
      </c>
      <c r="AJ292" s="34">
        <v>1</v>
      </c>
      <c r="AK292" s="34">
        <v>1</v>
      </c>
      <c r="AL292" s="10">
        <f t="shared" si="12"/>
        <v>10</v>
      </c>
      <c r="AM292" s="11">
        <v>32000</v>
      </c>
      <c r="AN292" s="12">
        <f t="shared" si="13"/>
        <v>320000</v>
      </c>
    </row>
    <row r="293" spans="1:40">
      <c r="A293" s="50" t="s">
        <v>98</v>
      </c>
      <c r="B293" s="32">
        <v>58</v>
      </c>
      <c r="C293" s="33" t="s">
        <v>695</v>
      </c>
      <c r="D293" s="33" t="s">
        <v>403</v>
      </c>
      <c r="E293" s="33" t="s">
        <v>696</v>
      </c>
      <c r="F293" s="32" t="s">
        <v>697</v>
      </c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34">
        <v>1</v>
      </c>
      <c r="AC293" s="34">
        <v>1</v>
      </c>
      <c r="AD293" s="34">
        <v>1</v>
      </c>
      <c r="AE293" s="34">
        <v>1</v>
      </c>
      <c r="AF293" s="34">
        <v>1</v>
      </c>
      <c r="AG293" s="34">
        <v>1</v>
      </c>
      <c r="AH293" s="34">
        <v>1</v>
      </c>
      <c r="AI293" s="34">
        <v>1</v>
      </c>
      <c r="AJ293" s="34">
        <v>1</v>
      </c>
      <c r="AK293" s="34">
        <v>1</v>
      </c>
      <c r="AL293" s="10">
        <f t="shared" si="12"/>
        <v>10</v>
      </c>
      <c r="AM293" s="11">
        <v>32000</v>
      </c>
      <c r="AN293" s="12">
        <f t="shared" si="13"/>
        <v>320000</v>
      </c>
    </row>
    <row r="294" spans="1:40">
      <c r="A294" s="50" t="s">
        <v>98</v>
      </c>
      <c r="B294" s="32">
        <v>58</v>
      </c>
      <c r="C294" s="33" t="s">
        <v>67</v>
      </c>
      <c r="D294" s="33" t="s">
        <v>851</v>
      </c>
      <c r="E294" s="33" t="s">
        <v>26</v>
      </c>
      <c r="F294" s="32" t="s">
        <v>818</v>
      </c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34">
        <v>1</v>
      </c>
      <c r="AC294" s="34">
        <v>1</v>
      </c>
      <c r="AD294" s="34">
        <v>1</v>
      </c>
      <c r="AE294" s="34">
        <v>1</v>
      </c>
      <c r="AF294" s="34">
        <v>1</v>
      </c>
      <c r="AG294" s="34">
        <v>1</v>
      </c>
      <c r="AH294" s="34">
        <v>1</v>
      </c>
      <c r="AI294" s="34">
        <v>1</v>
      </c>
      <c r="AJ294" s="34">
        <v>1</v>
      </c>
      <c r="AK294" s="34">
        <v>1</v>
      </c>
      <c r="AL294" s="10">
        <f t="shared" si="12"/>
        <v>10</v>
      </c>
      <c r="AM294" s="11">
        <v>32000</v>
      </c>
      <c r="AN294" s="12">
        <f t="shared" si="13"/>
        <v>320000</v>
      </c>
    </row>
    <row r="295" spans="1:40">
      <c r="A295" s="50" t="s">
        <v>98</v>
      </c>
      <c r="B295" s="32">
        <v>59</v>
      </c>
      <c r="C295" s="33" t="s">
        <v>698</v>
      </c>
      <c r="D295" s="33" t="s">
        <v>18</v>
      </c>
      <c r="E295" s="33" t="s">
        <v>255</v>
      </c>
      <c r="F295" s="32" t="s">
        <v>699</v>
      </c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34">
        <v>1</v>
      </c>
      <c r="AC295" s="34">
        <v>1</v>
      </c>
      <c r="AD295" s="34">
        <v>1</v>
      </c>
      <c r="AE295" s="34">
        <v>1</v>
      </c>
      <c r="AF295" s="34">
        <v>1</v>
      </c>
      <c r="AG295" s="34">
        <v>1</v>
      </c>
      <c r="AH295" s="34">
        <v>1</v>
      </c>
      <c r="AI295" s="34">
        <v>1</v>
      </c>
      <c r="AJ295" s="34">
        <v>1</v>
      </c>
      <c r="AK295" s="34">
        <v>1</v>
      </c>
      <c r="AL295" s="10">
        <f t="shared" si="12"/>
        <v>10</v>
      </c>
      <c r="AM295" s="11">
        <v>32000</v>
      </c>
      <c r="AN295" s="12">
        <f t="shared" si="13"/>
        <v>320000</v>
      </c>
    </row>
    <row r="296" spans="1:40">
      <c r="A296" s="50" t="s">
        <v>98</v>
      </c>
      <c r="B296" s="32">
        <v>59</v>
      </c>
      <c r="C296" s="33" t="s">
        <v>700</v>
      </c>
      <c r="D296" s="33" t="s">
        <v>701</v>
      </c>
      <c r="E296" s="33" t="s">
        <v>9</v>
      </c>
      <c r="F296" s="32" t="s">
        <v>702</v>
      </c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34">
        <v>1</v>
      </c>
      <c r="AC296" s="34">
        <v>1</v>
      </c>
      <c r="AD296" s="34">
        <v>1</v>
      </c>
      <c r="AE296" s="34">
        <v>1</v>
      </c>
      <c r="AF296" s="34">
        <v>1</v>
      </c>
      <c r="AG296" s="34">
        <v>1</v>
      </c>
      <c r="AH296" s="34">
        <v>1</v>
      </c>
      <c r="AI296" s="34">
        <v>1</v>
      </c>
      <c r="AJ296" s="34">
        <v>1</v>
      </c>
      <c r="AK296" s="34">
        <v>1</v>
      </c>
      <c r="AL296" s="10">
        <f t="shared" si="12"/>
        <v>10</v>
      </c>
      <c r="AM296" s="11">
        <v>32000</v>
      </c>
      <c r="AN296" s="12">
        <f t="shared" si="13"/>
        <v>320000</v>
      </c>
    </row>
    <row r="297" spans="1:40">
      <c r="A297" s="50" t="s">
        <v>98</v>
      </c>
      <c r="B297" s="32">
        <v>61</v>
      </c>
      <c r="C297" s="33" t="s">
        <v>507</v>
      </c>
      <c r="D297" s="33" t="s">
        <v>508</v>
      </c>
      <c r="E297" s="33" t="s">
        <v>146</v>
      </c>
      <c r="F297" s="32" t="s">
        <v>509</v>
      </c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34">
        <v>1</v>
      </c>
      <c r="AC297" s="34">
        <v>1</v>
      </c>
      <c r="AD297" s="34">
        <v>1</v>
      </c>
      <c r="AE297" s="34">
        <v>1</v>
      </c>
      <c r="AF297" s="34">
        <v>1</v>
      </c>
      <c r="AG297" s="34">
        <v>1</v>
      </c>
      <c r="AH297" s="34">
        <v>1</v>
      </c>
      <c r="AI297" s="34">
        <v>1</v>
      </c>
      <c r="AJ297" s="34">
        <v>1</v>
      </c>
      <c r="AK297" s="34">
        <v>1</v>
      </c>
      <c r="AL297" s="10">
        <f t="shared" si="12"/>
        <v>10</v>
      </c>
      <c r="AM297" s="11">
        <v>32000</v>
      </c>
      <c r="AN297" s="12">
        <f t="shared" si="13"/>
        <v>320000</v>
      </c>
    </row>
    <row r="298" spans="1:40">
      <c r="A298" s="50" t="s">
        <v>98</v>
      </c>
      <c r="B298" s="32">
        <v>61</v>
      </c>
      <c r="C298" s="33" t="s">
        <v>28</v>
      </c>
      <c r="D298" s="33" t="s">
        <v>429</v>
      </c>
      <c r="E298" s="33" t="s">
        <v>430</v>
      </c>
      <c r="F298" s="32" t="s">
        <v>431</v>
      </c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34">
        <v>1</v>
      </c>
      <c r="AC298" s="34">
        <v>1</v>
      </c>
      <c r="AD298" s="34">
        <v>1</v>
      </c>
      <c r="AE298" s="34">
        <v>1</v>
      </c>
      <c r="AF298" s="34">
        <v>1</v>
      </c>
      <c r="AG298" s="34">
        <v>1</v>
      </c>
      <c r="AH298" s="34">
        <v>1</v>
      </c>
      <c r="AI298" s="34">
        <v>1</v>
      </c>
      <c r="AJ298" s="34">
        <v>1</v>
      </c>
      <c r="AK298" s="34">
        <v>1</v>
      </c>
      <c r="AL298" s="10">
        <f t="shared" si="12"/>
        <v>10</v>
      </c>
      <c r="AM298" s="11">
        <v>32000</v>
      </c>
      <c r="AN298" s="12">
        <f t="shared" si="13"/>
        <v>320000</v>
      </c>
    </row>
    <row r="299" spans="1:40">
      <c r="A299" s="50" t="s">
        <v>98</v>
      </c>
      <c r="B299" s="32">
        <v>62</v>
      </c>
      <c r="C299" s="33" t="s">
        <v>853</v>
      </c>
      <c r="D299" s="33" t="s">
        <v>854</v>
      </c>
      <c r="E299" s="33" t="s">
        <v>43</v>
      </c>
      <c r="F299" s="32" t="s">
        <v>820</v>
      </c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34">
        <v>1</v>
      </c>
      <c r="AC299" s="34">
        <v>1</v>
      </c>
      <c r="AD299" s="34">
        <v>1</v>
      </c>
      <c r="AE299" s="34">
        <v>1</v>
      </c>
      <c r="AF299" s="34">
        <v>1</v>
      </c>
      <c r="AG299" s="34">
        <v>1</v>
      </c>
      <c r="AH299" s="34">
        <v>1</v>
      </c>
      <c r="AI299" s="34">
        <v>1</v>
      </c>
      <c r="AJ299" s="34">
        <v>1</v>
      </c>
      <c r="AK299" s="34">
        <v>1</v>
      </c>
      <c r="AL299" s="10">
        <f t="shared" si="12"/>
        <v>10</v>
      </c>
      <c r="AM299" s="11">
        <v>32000</v>
      </c>
      <c r="AN299" s="12">
        <f t="shared" si="13"/>
        <v>320000</v>
      </c>
    </row>
    <row r="300" spans="1:40">
      <c r="A300" s="50" t="s">
        <v>98</v>
      </c>
      <c r="B300" s="32">
        <v>66</v>
      </c>
      <c r="C300" s="33" t="s">
        <v>703</v>
      </c>
      <c r="D300" s="33" t="s">
        <v>704</v>
      </c>
      <c r="E300" s="33" t="s">
        <v>9</v>
      </c>
      <c r="F300" s="32" t="s">
        <v>705</v>
      </c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34">
        <v>1</v>
      </c>
      <c r="AC300" s="34">
        <v>1</v>
      </c>
      <c r="AD300" s="34">
        <v>1</v>
      </c>
      <c r="AE300" s="34">
        <v>1</v>
      </c>
      <c r="AF300" s="34">
        <v>1</v>
      </c>
      <c r="AG300" s="34">
        <v>1</v>
      </c>
      <c r="AH300" s="34">
        <v>1</v>
      </c>
      <c r="AI300" s="34">
        <v>1</v>
      </c>
      <c r="AJ300" s="34">
        <v>1</v>
      </c>
      <c r="AK300" s="34">
        <v>1</v>
      </c>
      <c r="AL300" s="10">
        <f t="shared" si="12"/>
        <v>10</v>
      </c>
      <c r="AM300" s="11">
        <v>32000</v>
      </c>
      <c r="AN300" s="12">
        <f t="shared" si="13"/>
        <v>320000</v>
      </c>
    </row>
    <row r="301" spans="1:40">
      <c r="A301" s="50" t="s">
        <v>98</v>
      </c>
      <c r="B301" s="32">
        <v>66</v>
      </c>
      <c r="C301" s="33" t="s">
        <v>700</v>
      </c>
      <c r="D301" s="33" t="s">
        <v>154</v>
      </c>
      <c r="E301" s="33" t="s">
        <v>128</v>
      </c>
      <c r="F301" s="32" t="s">
        <v>706</v>
      </c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34">
        <v>1</v>
      </c>
      <c r="AC301" s="34">
        <v>1</v>
      </c>
      <c r="AD301" s="34">
        <v>1</v>
      </c>
      <c r="AE301" s="34">
        <v>1</v>
      </c>
      <c r="AF301" s="34">
        <v>1</v>
      </c>
      <c r="AG301" s="34">
        <v>1</v>
      </c>
      <c r="AH301" s="34">
        <v>1</v>
      </c>
      <c r="AI301" s="34">
        <v>1</v>
      </c>
      <c r="AJ301" s="34">
        <v>1</v>
      </c>
      <c r="AK301" s="34">
        <v>1</v>
      </c>
      <c r="AL301" s="10">
        <f t="shared" si="12"/>
        <v>10</v>
      </c>
      <c r="AM301" s="11">
        <v>32000</v>
      </c>
      <c r="AN301" s="12">
        <f t="shared" si="13"/>
        <v>320000</v>
      </c>
    </row>
    <row r="302" spans="1:40">
      <c r="A302" s="50" t="s">
        <v>98</v>
      </c>
      <c r="B302" s="32">
        <v>67</v>
      </c>
      <c r="C302" s="33" t="s">
        <v>707</v>
      </c>
      <c r="D302" s="33" t="s">
        <v>166</v>
      </c>
      <c r="E302" s="33" t="s">
        <v>11</v>
      </c>
      <c r="F302" s="32" t="s">
        <v>708</v>
      </c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34">
        <v>1</v>
      </c>
      <c r="AC302" s="34">
        <v>1</v>
      </c>
      <c r="AD302" s="34">
        <v>1</v>
      </c>
      <c r="AE302" s="34">
        <v>1</v>
      </c>
      <c r="AF302" s="34">
        <v>1</v>
      </c>
      <c r="AG302" s="34">
        <v>1</v>
      </c>
      <c r="AH302" s="34">
        <v>1</v>
      </c>
      <c r="AI302" s="34">
        <v>1</v>
      </c>
      <c r="AJ302" s="34">
        <v>1</v>
      </c>
      <c r="AK302" s="34">
        <v>1</v>
      </c>
      <c r="AL302" s="10">
        <f t="shared" si="12"/>
        <v>10</v>
      </c>
      <c r="AM302" s="11">
        <v>32000</v>
      </c>
      <c r="AN302" s="12">
        <f t="shared" si="13"/>
        <v>320000</v>
      </c>
    </row>
    <row r="303" spans="1:40">
      <c r="A303" s="50" t="s">
        <v>98</v>
      </c>
      <c r="B303" s="32">
        <v>67</v>
      </c>
      <c r="C303" s="33" t="s">
        <v>709</v>
      </c>
      <c r="D303" s="33" t="s">
        <v>363</v>
      </c>
      <c r="E303" s="33" t="s">
        <v>710</v>
      </c>
      <c r="F303" s="32" t="s">
        <v>711</v>
      </c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34">
        <v>1</v>
      </c>
      <c r="AC303" s="34">
        <v>1</v>
      </c>
      <c r="AD303" s="34">
        <v>1</v>
      </c>
      <c r="AE303" s="34">
        <v>1</v>
      </c>
      <c r="AF303" s="34">
        <v>1</v>
      </c>
      <c r="AG303" s="34">
        <v>1</v>
      </c>
      <c r="AH303" s="47"/>
      <c r="AI303" s="47"/>
      <c r="AJ303" s="47"/>
      <c r="AK303" s="47"/>
      <c r="AL303" s="10">
        <f t="shared" si="12"/>
        <v>6</v>
      </c>
      <c r="AM303" s="11">
        <v>32000</v>
      </c>
      <c r="AN303" s="12">
        <f t="shared" si="13"/>
        <v>192000</v>
      </c>
    </row>
    <row r="304" spans="1:40">
      <c r="A304" s="50" t="s">
        <v>98</v>
      </c>
      <c r="B304" s="32">
        <v>68</v>
      </c>
      <c r="C304" s="33" t="s">
        <v>67</v>
      </c>
      <c r="D304" s="33" t="s">
        <v>712</v>
      </c>
      <c r="E304" s="33" t="s">
        <v>23</v>
      </c>
      <c r="F304" s="32" t="s">
        <v>713</v>
      </c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34">
        <v>1</v>
      </c>
      <c r="AC304" s="34">
        <v>1</v>
      </c>
      <c r="AD304" s="34">
        <v>1</v>
      </c>
      <c r="AE304" s="34">
        <v>1</v>
      </c>
      <c r="AF304" s="34">
        <v>1</v>
      </c>
      <c r="AG304" s="34">
        <v>1</v>
      </c>
      <c r="AH304" s="34">
        <v>1</v>
      </c>
      <c r="AI304" s="34">
        <v>1</v>
      </c>
      <c r="AJ304" s="34">
        <v>1</v>
      </c>
      <c r="AK304" s="34">
        <v>1</v>
      </c>
      <c r="AL304" s="10">
        <f t="shared" si="12"/>
        <v>10</v>
      </c>
      <c r="AM304" s="11">
        <v>32000</v>
      </c>
      <c r="AN304" s="12">
        <f t="shared" si="13"/>
        <v>320000</v>
      </c>
    </row>
    <row r="305" spans="1:40">
      <c r="A305" s="50" t="s">
        <v>98</v>
      </c>
      <c r="B305" s="32">
        <v>68</v>
      </c>
      <c r="C305" s="33" t="s">
        <v>555</v>
      </c>
      <c r="D305" s="33" t="s">
        <v>619</v>
      </c>
      <c r="E305" s="33" t="s">
        <v>26</v>
      </c>
      <c r="F305" s="32" t="s">
        <v>714</v>
      </c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34">
        <v>1</v>
      </c>
      <c r="AC305" s="34">
        <v>1</v>
      </c>
      <c r="AD305" s="34">
        <v>1</v>
      </c>
      <c r="AE305" s="34">
        <v>1</v>
      </c>
      <c r="AF305" s="34">
        <v>1</v>
      </c>
      <c r="AG305" s="34">
        <v>1</v>
      </c>
      <c r="AH305" s="34">
        <v>1</v>
      </c>
      <c r="AI305" s="34">
        <v>1</v>
      </c>
      <c r="AJ305" s="34">
        <v>1</v>
      </c>
      <c r="AK305" s="34">
        <v>1</v>
      </c>
      <c r="AL305" s="10">
        <f t="shared" si="12"/>
        <v>10</v>
      </c>
      <c r="AM305" s="11">
        <v>32000</v>
      </c>
      <c r="AN305" s="12">
        <f t="shared" si="13"/>
        <v>320000</v>
      </c>
    </row>
    <row r="306" spans="1:40">
      <c r="A306" s="50" t="s">
        <v>98</v>
      </c>
      <c r="B306" s="32">
        <v>69</v>
      </c>
      <c r="C306" s="33" t="s">
        <v>462</v>
      </c>
      <c r="D306" s="33" t="s">
        <v>463</v>
      </c>
      <c r="E306" s="33" t="s">
        <v>26</v>
      </c>
      <c r="F306" s="32" t="s">
        <v>464</v>
      </c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34">
        <v>1</v>
      </c>
      <c r="AC306" s="34">
        <v>1</v>
      </c>
      <c r="AD306" s="34">
        <v>1</v>
      </c>
      <c r="AE306" s="34">
        <v>1</v>
      </c>
      <c r="AF306" s="34">
        <v>1</v>
      </c>
      <c r="AG306" s="34">
        <v>1</v>
      </c>
      <c r="AH306" s="34">
        <v>1</v>
      </c>
      <c r="AI306" s="34">
        <v>1</v>
      </c>
      <c r="AJ306" s="34">
        <v>1</v>
      </c>
      <c r="AK306" s="34">
        <v>1</v>
      </c>
      <c r="AL306" s="10">
        <f t="shared" si="12"/>
        <v>10</v>
      </c>
      <c r="AM306" s="11">
        <v>32000</v>
      </c>
      <c r="AN306" s="12">
        <f t="shared" si="13"/>
        <v>320000</v>
      </c>
    </row>
    <row r="307" spans="1:40">
      <c r="A307" s="50" t="s">
        <v>98</v>
      </c>
      <c r="B307" s="32">
        <v>69</v>
      </c>
      <c r="C307" s="33" t="s">
        <v>462</v>
      </c>
      <c r="D307" s="33" t="s">
        <v>463</v>
      </c>
      <c r="E307" s="33" t="s">
        <v>465</v>
      </c>
      <c r="F307" s="32" t="s">
        <v>466</v>
      </c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34">
        <v>1</v>
      </c>
      <c r="AC307" s="34">
        <v>1</v>
      </c>
      <c r="AD307" s="34">
        <v>1</v>
      </c>
      <c r="AE307" s="34">
        <v>1</v>
      </c>
      <c r="AF307" s="34">
        <v>1</v>
      </c>
      <c r="AG307" s="34">
        <v>1</v>
      </c>
      <c r="AH307" s="34">
        <v>1</v>
      </c>
      <c r="AI307" s="34">
        <v>1</v>
      </c>
      <c r="AJ307" s="34">
        <v>1</v>
      </c>
      <c r="AK307" s="34">
        <v>1</v>
      </c>
      <c r="AL307" s="10">
        <f t="shared" si="12"/>
        <v>10</v>
      </c>
      <c r="AM307" s="11">
        <v>32000</v>
      </c>
      <c r="AN307" s="12">
        <f t="shared" si="13"/>
        <v>320000</v>
      </c>
    </row>
    <row r="308" spans="1:40">
      <c r="A308" s="50" t="s">
        <v>98</v>
      </c>
      <c r="B308" s="32">
        <v>71</v>
      </c>
      <c r="C308" s="33" t="s">
        <v>364</v>
      </c>
      <c r="D308" s="33" t="s">
        <v>177</v>
      </c>
      <c r="E308" s="33" t="s">
        <v>927</v>
      </c>
      <c r="F308" s="32" t="s">
        <v>938</v>
      </c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34">
        <v>1</v>
      </c>
      <c r="AC308" s="34">
        <v>1</v>
      </c>
      <c r="AD308" s="34">
        <v>1</v>
      </c>
      <c r="AE308" s="34">
        <v>1</v>
      </c>
      <c r="AF308" s="34">
        <v>1</v>
      </c>
      <c r="AG308" s="34">
        <v>1</v>
      </c>
      <c r="AH308" s="34">
        <v>1</v>
      </c>
      <c r="AI308" s="34">
        <v>1</v>
      </c>
      <c r="AJ308" s="34">
        <v>1</v>
      </c>
      <c r="AK308" s="34">
        <v>1</v>
      </c>
      <c r="AL308" s="10">
        <f t="shared" ref="AL308:AL339" si="14">SUM(G308:AK308)</f>
        <v>10</v>
      </c>
      <c r="AM308" s="11">
        <v>32000</v>
      </c>
      <c r="AN308" s="12">
        <f t="shared" ref="AN308:AN339" si="15">AM308*AL308</f>
        <v>320000</v>
      </c>
    </row>
    <row r="309" spans="1:40">
      <c r="A309" s="50" t="s">
        <v>98</v>
      </c>
      <c r="B309" s="32">
        <v>71</v>
      </c>
      <c r="C309" s="33" t="s">
        <v>485</v>
      </c>
      <c r="D309" s="33" t="s">
        <v>928</v>
      </c>
      <c r="E309" s="33" t="s">
        <v>11</v>
      </c>
      <c r="F309" s="32" t="s">
        <v>937</v>
      </c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34">
        <v>1</v>
      </c>
      <c r="AC309" s="34">
        <v>1</v>
      </c>
      <c r="AD309" s="34">
        <v>1</v>
      </c>
      <c r="AE309" s="34">
        <v>1</v>
      </c>
      <c r="AF309" s="34">
        <v>1</v>
      </c>
      <c r="AG309" s="34">
        <v>1</v>
      </c>
      <c r="AH309" s="34">
        <v>1</v>
      </c>
      <c r="AI309" s="47"/>
      <c r="AJ309" s="47"/>
      <c r="AK309" s="47"/>
      <c r="AL309" s="10">
        <f t="shared" si="14"/>
        <v>7</v>
      </c>
      <c r="AM309" s="11">
        <v>32000</v>
      </c>
      <c r="AN309" s="12">
        <f t="shared" si="15"/>
        <v>224000</v>
      </c>
    </row>
    <row r="310" spans="1:40">
      <c r="A310" s="50" t="s">
        <v>98</v>
      </c>
      <c r="B310" s="32">
        <v>71</v>
      </c>
      <c r="C310" s="33" t="s">
        <v>976</v>
      </c>
      <c r="D310" s="33" t="s">
        <v>13</v>
      </c>
      <c r="E310" s="33" t="s">
        <v>977</v>
      </c>
      <c r="F310" s="32" t="s">
        <v>987</v>
      </c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  <c r="AG310" s="47"/>
      <c r="AH310" s="47"/>
      <c r="AI310" s="34">
        <v>1</v>
      </c>
      <c r="AJ310" s="34">
        <v>1</v>
      </c>
      <c r="AK310" s="34">
        <v>1</v>
      </c>
      <c r="AL310" s="10">
        <f t="shared" si="14"/>
        <v>3</v>
      </c>
      <c r="AM310" s="11">
        <v>32000</v>
      </c>
      <c r="AN310" s="12">
        <f t="shared" si="15"/>
        <v>96000</v>
      </c>
    </row>
    <row r="311" spans="1:40">
      <c r="A311" s="50" t="s">
        <v>98</v>
      </c>
      <c r="B311" s="32">
        <v>72</v>
      </c>
      <c r="C311" s="33" t="s">
        <v>396</v>
      </c>
      <c r="D311" s="33" t="s">
        <v>397</v>
      </c>
      <c r="E311" s="33" t="s">
        <v>361</v>
      </c>
      <c r="F311" s="32" t="s">
        <v>398</v>
      </c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34">
        <v>1</v>
      </c>
      <c r="AC311" s="34">
        <v>1</v>
      </c>
      <c r="AD311" s="34">
        <v>1</v>
      </c>
      <c r="AE311" s="34">
        <v>1</v>
      </c>
      <c r="AF311" s="34">
        <v>1</v>
      </c>
      <c r="AG311" s="34">
        <v>1</v>
      </c>
      <c r="AH311" s="34">
        <v>1</v>
      </c>
      <c r="AI311" s="47"/>
      <c r="AJ311" s="47"/>
      <c r="AK311" s="47"/>
      <c r="AL311" s="10">
        <f t="shared" si="14"/>
        <v>7</v>
      </c>
      <c r="AM311" s="11">
        <v>32000</v>
      </c>
      <c r="AN311" s="12">
        <f t="shared" si="15"/>
        <v>224000</v>
      </c>
    </row>
    <row r="312" spans="1:40">
      <c r="A312" s="50" t="s">
        <v>98</v>
      </c>
      <c r="B312" s="32">
        <v>72</v>
      </c>
      <c r="C312" s="33" t="s">
        <v>145</v>
      </c>
      <c r="D312" s="33" t="s">
        <v>395</v>
      </c>
      <c r="E312" s="33" t="s">
        <v>68</v>
      </c>
      <c r="F312" s="32" t="s">
        <v>400</v>
      </c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34">
        <v>1</v>
      </c>
      <c r="AC312" s="34">
        <v>1</v>
      </c>
      <c r="AD312" s="34">
        <v>1</v>
      </c>
      <c r="AE312" s="34">
        <v>1</v>
      </c>
      <c r="AF312" s="34">
        <v>1</v>
      </c>
      <c r="AG312" s="34">
        <v>1</v>
      </c>
      <c r="AH312" s="34">
        <v>1</v>
      </c>
      <c r="AI312" s="47"/>
      <c r="AJ312" s="47"/>
      <c r="AK312" s="47"/>
      <c r="AL312" s="10">
        <f t="shared" si="14"/>
        <v>7</v>
      </c>
      <c r="AM312" s="11">
        <v>32000</v>
      </c>
      <c r="AN312" s="12">
        <f t="shared" si="15"/>
        <v>224000</v>
      </c>
    </row>
    <row r="313" spans="1:40">
      <c r="A313" s="50" t="s">
        <v>98</v>
      </c>
      <c r="B313" s="32">
        <v>73</v>
      </c>
      <c r="C313" s="33" t="s">
        <v>872</v>
      </c>
      <c r="D313" s="33"/>
      <c r="E313" s="33" t="s">
        <v>27</v>
      </c>
      <c r="F313" s="32" t="s">
        <v>874</v>
      </c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34">
        <v>1</v>
      </c>
      <c r="AC313" s="34">
        <v>1</v>
      </c>
      <c r="AD313" s="34">
        <v>1</v>
      </c>
      <c r="AE313" s="34">
        <v>1</v>
      </c>
      <c r="AF313" s="34">
        <v>1</v>
      </c>
      <c r="AG313" s="34">
        <v>1</v>
      </c>
      <c r="AH313" s="34">
        <v>1</v>
      </c>
      <c r="AI313" s="34">
        <v>1</v>
      </c>
      <c r="AJ313" s="34">
        <v>1</v>
      </c>
      <c r="AK313" s="34">
        <v>1</v>
      </c>
      <c r="AL313" s="10">
        <f t="shared" si="14"/>
        <v>10</v>
      </c>
      <c r="AM313" s="11">
        <v>32000</v>
      </c>
      <c r="AN313" s="12">
        <f t="shared" si="15"/>
        <v>320000</v>
      </c>
    </row>
    <row r="314" spans="1:40">
      <c r="A314" s="50" t="s">
        <v>98</v>
      </c>
      <c r="B314" s="32">
        <v>73</v>
      </c>
      <c r="C314" s="33" t="s">
        <v>862</v>
      </c>
      <c r="D314" s="33" t="s">
        <v>194</v>
      </c>
      <c r="E314" s="33" t="s">
        <v>26</v>
      </c>
      <c r="F314" s="32" t="s">
        <v>885</v>
      </c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34">
        <v>1</v>
      </c>
      <c r="AC314" s="34">
        <v>1</v>
      </c>
      <c r="AD314" s="34">
        <v>1</v>
      </c>
      <c r="AE314" s="34">
        <v>1</v>
      </c>
      <c r="AF314" s="34">
        <v>1</v>
      </c>
      <c r="AG314" s="34">
        <v>1</v>
      </c>
      <c r="AH314" s="34">
        <v>1</v>
      </c>
      <c r="AI314" s="34">
        <v>1</v>
      </c>
      <c r="AJ314" s="34">
        <v>1</v>
      </c>
      <c r="AK314" s="34">
        <v>1</v>
      </c>
      <c r="AL314" s="10">
        <f t="shared" si="14"/>
        <v>10</v>
      </c>
      <c r="AM314" s="11">
        <v>32000</v>
      </c>
      <c r="AN314" s="12">
        <f t="shared" si="15"/>
        <v>320000</v>
      </c>
    </row>
    <row r="315" spans="1:40">
      <c r="A315" s="50" t="s">
        <v>98</v>
      </c>
      <c r="B315" s="32">
        <v>74</v>
      </c>
      <c r="C315" s="33" t="s">
        <v>103</v>
      </c>
      <c r="D315" s="33" t="s">
        <v>25</v>
      </c>
      <c r="E315" s="33" t="s">
        <v>930</v>
      </c>
      <c r="F315" s="32" t="s">
        <v>934</v>
      </c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34">
        <v>1</v>
      </c>
      <c r="AC315" s="34">
        <v>1</v>
      </c>
      <c r="AD315" s="34">
        <v>1</v>
      </c>
      <c r="AE315" s="34">
        <v>1</v>
      </c>
      <c r="AF315" s="34">
        <v>1</v>
      </c>
      <c r="AG315" s="34">
        <v>1</v>
      </c>
      <c r="AH315" s="34">
        <v>1</v>
      </c>
      <c r="AI315" s="34">
        <v>1</v>
      </c>
      <c r="AJ315" s="34">
        <v>1</v>
      </c>
      <c r="AK315" s="34">
        <v>1</v>
      </c>
      <c r="AL315" s="10">
        <f t="shared" si="14"/>
        <v>10</v>
      </c>
      <c r="AM315" s="11">
        <v>32000</v>
      </c>
      <c r="AN315" s="12">
        <f t="shared" si="15"/>
        <v>320000</v>
      </c>
    </row>
    <row r="316" spans="1:40">
      <c r="A316" s="50" t="s">
        <v>98</v>
      </c>
      <c r="B316" s="32">
        <v>74</v>
      </c>
      <c r="C316" s="33" t="s">
        <v>48</v>
      </c>
      <c r="D316" s="33" t="s">
        <v>931</v>
      </c>
      <c r="E316" s="33" t="s">
        <v>932</v>
      </c>
      <c r="F316" s="32" t="s">
        <v>933</v>
      </c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34">
        <v>1</v>
      </c>
      <c r="AC316" s="34">
        <v>1</v>
      </c>
      <c r="AD316" s="34">
        <v>1</v>
      </c>
      <c r="AE316" s="34">
        <v>1</v>
      </c>
      <c r="AF316" s="34">
        <v>1</v>
      </c>
      <c r="AG316" s="34">
        <v>1</v>
      </c>
      <c r="AH316" s="34">
        <v>1</v>
      </c>
      <c r="AI316" s="34">
        <v>1</v>
      </c>
      <c r="AJ316" s="34">
        <v>1</v>
      </c>
      <c r="AK316" s="34">
        <v>1</v>
      </c>
      <c r="AL316" s="10">
        <f t="shared" si="14"/>
        <v>10</v>
      </c>
      <c r="AM316" s="11">
        <v>32000</v>
      </c>
      <c r="AN316" s="12">
        <f t="shared" si="15"/>
        <v>320000</v>
      </c>
    </row>
    <row r="317" spans="1:40">
      <c r="A317" s="50" t="s">
        <v>98</v>
      </c>
      <c r="B317" s="32">
        <v>75</v>
      </c>
      <c r="C317" s="33" t="s">
        <v>13</v>
      </c>
      <c r="D317" s="33" t="s">
        <v>715</v>
      </c>
      <c r="E317" s="33" t="s">
        <v>11</v>
      </c>
      <c r="F317" s="32" t="s">
        <v>716</v>
      </c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34">
        <v>1</v>
      </c>
      <c r="AC317" s="34">
        <v>1</v>
      </c>
      <c r="AD317" s="34">
        <v>1</v>
      </c>
      <c r="AE317" s="34">
        <v>1</v>
      </c>
      <c r="AF317" s="34">
        <v>1</v>
      </c>
      <c r="AG317" s="34">
        <v>1</v>
      </c>
      <c r="AH317" s="34">
        <v>1</v>
      </c>
      <c r="AI317" s="34">
        <v>1</v>
      </c>
      <c r="AJ317" s="34">
        <v>1</v>
      </c>
      <c r="AK317" s="47"/>
      <c r="AL317" s="10">
        <f t="shared" si="14"/>
        <v>9</v>
      </c>
      <c r="AM317" s="11">
        <v>32000</v>
      </c>
      <c r="AN317" s="12">
        <f t="shared" si="15"/>
        <v>288000</v>
      </c>
    </row>
    <row r="318" spans="1:40">
      <c r="A318" s="50" t="s">
        <v>98</v>
      </c>
      <c r="B318" s="32">
        <v>75</v>
      </c>
      <c r="C318" s="33" t="s">
        <v>8</v>
      </c>
      <c r="D318" s="33" t="s">
        <v>416</v>
      </c>
      <c r="E318" s="33" t="s">
        <v>15</v>
      </c>
      <c r="F318" s="32" t="s">
        <v>426</v>
      </c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34">
        <v>1</v>
      </c>
      <c r="AC318" s="34">
        <v>1</v>
      </c>
      <c r="AD318" s="34">
        <v>1</v>
      </c>
      <c r="AE318" s="34">
        <v>1</v>
      </c>
      <c r="AF318" s="34">
        <v>1</v>
      </c>
      <c r="AG318" s="34">
        <v>1</v>
      </c>
      <c r="AH318" s="34">
        <v>1</v>
      </c>
      <c r="AI318" s="34">
        <v>1</v>
      </c>
      <c r="AJ318" s="34">
        <v>1</v>
      </c>
      <c r="AK318" s="47"/>
      <c r="AL318" s="10">
        <f t="shared" si="14"/>
        <v>9</v>
      </c>
      <c r="AM318" s="11">
        <v>32000</v>
      </c>
      <c r="AN318" s="12">
        <f t="shared" si="15"/>
        <v>288000</v>
      </c>
    </row>
    <row r="319" spans="1:40">
      <c r="A319" s="50" t="s">
        <v>98</v>
      </c>
      <c r="B319" s="32">
        <v>76</v>
      </c>
      <c r="C319" s="33" t="s">
        <v>447</v>
      </c>
      <c r="D319" s="33" t="s">
        <v>939</v>
      </c>
      <c r="E319" s="33" t="s">
        <v>124</v>
      </c>
      <c r="F319" s="32" t="s">
        <v>947</v>
      </c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34">
        <v>1</v>
      </c>
      <c r="AC319" s="34">
        <v>1</v>
      </c>
      <c r="AD319" s="34">
        <v>1</v>
      </c>
      <c r="AE319" s="34">
        <v>1</v>
      </c>
      <c r="AF319" s="34">
        <v>1</v>
      </c>
      <c r="AG319" s="34">
        <v>1</v>
      </c>
      <c r="AH319" s="34">
        <v>1</v>
      </c>
      <c r="AI319" s="34">
        <v>1</v>
      </c>
      <c r="AJ319" s="34">
        <v>1</v>
      </c>
      <c r="AK319" s="34">
        <v>1</v>
      </c>
      <c r="AL319" s="10">
        <f t="shared" si="14"/>
        <v>10</v>
      </c>
      <c r="AM319" s="11">
        <v>32000</v>
      </c>
      <c r="AN319" s="12">
        <f t="shared" si="15"/>
        <v>320000</v>
      </c>
    </row>
    <row r="320" spans="1:40">
      <c r="A320" s="50" t="s">
        <v>98</v>
      </c>
      <c r="B320" s="32">
        <v>76</v>
      </c>
      <c r="C320" s="33" t="s">
        <v>940</v>
      </c>
      <c r="D320" s="33" t="s">
        <v>941</v>
      </c>
      <c r="E320" s="33" t="s">
        <v>602</v>
      </c>
      <c r="F320" s="32" t="s">
        <v>946</v>
      </c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34">
        <v>1</v>
      </c>
      <c r="AC320" s="34">
        <v>1</v>
      </c>
      <c r="AD320" s="34">
        <v>1</v>
      </c>
      <c r="AE320" s="34">
        <v>1</v>
      </c>
      <c r="AF320" s="34">
        <v>1</v>
      </c>
      <c r="AG320" s="34">
        <v>1</v>
      </c>
      <c r="AH320" s="34">
        <v>1</v>
      </c>
      <c r="AI320" s="34">
        <v>1</v>
      </c>
      <c r="AJ320" s="34">
        <v>1</v>
      </c>
      <c r="AK320" s="34">
        <v>1</v>
      </c>
      <c r="AL320" s="10">
        <f t="shared" si="14"/>
        <v>10</v>
      </c>
      <c r="AM320" s="11">
        <v>32000</v>
      </c>
      <c r="AN320" s="12">
        <f t="shared" si="15"/>
        <v>320000</v>
      </c>
    </row>
    <row r="321" spans="1:40">
      <c r="A321" s="50" t="s">
        <v>98</v>
      </c>
      <c r="B321" s="32">
        <v>77</v>
      </c>
      <c r="C321" s="33" t="s">
        <v>942</v>
      </c>
      <c r="D321" s="33" t="s">
        <v>59</v>
      </c>
      <c r="E321" s="33" t="s">
        <v>22</v>
      </c>
      <c r="F321" s="32" t="s">
        <v>945</v>
      </c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34">
        <v>1</v>
      </c>
      <c r="AE321" s="34">
        <v>1</v>
      </c>
      <c r="AF321" s="34">
        <v>1</v>
      </c>
      <c r="AG321" s="34">
        <v>1</v>
      </c>
      <c r="AH321" s="34">
        <v>1</v>
      </c>
      <c r="AI321" s="34">
        <v>1</v>
      </c>
      <c r="AJ321" s="34">
        <v>1</v>
      </c>
      <c r="AK321" s="34">
        <v>1</v>
      </c>
      <c r="AL321" s="10">
        <f t="shared" si="14"/>
        <v>8</v>
      </c>
      <c r="AM321" s="11">
        <v>32000</v>
      </c>
      <c r="AN321" s="12">
        <f t="shared" si="15"/>
        <v>256000</v>
      </c>
    </row>
    <row r="322" spans="1:40">
      <c r="A322" s="50" t="s">
        <v>98</v>
      </c>
      <c r="B322" s="32">
        <v>77</v>
      </c>
      <c r="C322" s="33" t="s">
        <v>943</v>
      </c>
      <c r="D322" s="33" t="s">
        <v>346</v>
      </c>
      <c r="E322" s="33" t="s">
        <v>754</v>
      </c>
      <c r="F322" s="32" t="s">
        <v>944</v>
      </c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34">
        <v>1</v>
      </c>
      <c r="AE322" s="34">
        <v>1</v>
      </c>
      <c r="AF322" s="34">
        <v>1</v>
      </c>
      <c r="AG322" s="34">
        <v>1</v>
      </c>
      <c r="AH322" s="34">
        <v>1</v>
      </c>
      <c r="AI322" s="34">
        <v>1</v>
      </c>
      <c r="AJ322" s="34">
        <v>1</v>
      </c>
      <c r="AK322" s="34">
        <v>1</v>
      </c>
      <c r="AL322" s="10">
        <f t="shared" si="14"/>
        <v>8</v>
      </c>
      <c r="AM322" s="11">
        <v>32000</v>
      </c>
      <c r="AN322" s="12">
        <f t="shared" si="15"/>
        <v>256000</v>
      </c>
    </row>
    <row r="323" spans="1:40">
      <c r="A323" s="50" t="s">
        <v>98</v>
      </c>
      <c r="B323" s="32">
        <v>78</v>
      </c>
      <c r="C323" s="33" t="s">
        <v>155</v>
      </c>
      <c r="D323" s="33" t="s">
        <v>417</v>
      </c>
      <c r="E323" s="33" t="s">
        <v>9</v>
      </c>
      <c r="F323" s="32" t="s">
        <v>425</v>
      </c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34">
        <v>1</v>
      </c>
      <c r="AC323" s="34">
        <v>1</v>
      </c>
      <c r="AD323" s="34">
        <v>1</v>
      </c>
      <c r="AE323" s="34">
        <v>1</v>
      </c>
      <c r="AF323" s="34">
        <v>1</v>
      </c>
      <c r="AG323" s="34">
        <v>1</v>
      </c>
      <c r="AH323" s="34">
        <v>1</v>
      </c>
      <c r="AI323" s="34">
        <v>1</v>
      </c>
      <c r="AJ323" s="34">
        <v>1</v>
      </c>
      <c r="AK323" s="47"/>
      <c r="AL323" s="10">
        <f t="shared" si="14"/>
        <v>9</v>
      </c>
      <c r="AM323" s="11">
        <v>32000</v>
      </c>
      <c r="AN323" s="12">
        <f t="shared" si="15"/>
        <v>288000</v>
      </c>
    </row>
    <row r="324" spans="1:40">
      <c r="A324" s="50" t="s">
        <v>98</v>
      </c>
      <c r="B324" s="32">
        <v>78</v>
      </c>
      <c r="C324" s="33" t="s">
        <v>418</v>
      </c>
      <c r="D324" s="33" t="s">
        <v>717</v>
      </c>
      <c r="E324" s="33" t="s">
        <v>419</v>
      </c>
      <c r="F324" s="32" t="s">
        <v>424</v>
      </c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34">
        <v>1</v>
      </c>
      <c r="AC324" s="34">
        <v>1</v>
      </c>
      <c r="AD324" s="34">
        <v>1</v>
      </c>
      <c r="AE324" s="34">
        <v>1</v>
      </c>
      <c r="AF324" s="34">
        <v>1</v>
      </c>
      <c r="AG324" s="34">
        <v>1</v>
      </c>
      <c r="AH324" s="34">
        <v>1</v>
      </c>
      <c r="AI324" s="34">
        <v>1</v>
      </c>
      <c r="AJ324" s="34">
        <v>1</v>
      </c>
      <c r="AK324" s="47"/>
      <c r="AL324" s="10">
        <f t="shared" si="14"/>
        <v>9</v>
      </c>
      <c r="AM324" s="11">
        <v>32000</v>
      </c>
      <c r="AN324" s="12">
        <f t="shared" si="15"/>
        <v>288000</v>
      </c>
    </row>
    <row r="325" spans="1:40">
      <c r="A325" s="50" t="s">
        <v>98</v>
      </c>
      <c r="B325" s="32">
        <v>79</v>
      </c>
      <c r="C325" s="33" t="s">
        <v>718</v>
      </c>
      <c r="D325" s="33" t="s">
        <v>719</v>
      </c>
      <c r="E325" s="33" t="s">
        <v>68</v>
      </c>
      <c r="F325" s="32" t="s">
        <v>720</v>
      </c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34">
        <v>1</v>
      </c>
      <c r="AC325" s="34">
        <v>1</v>
      </c>
      <c r="AD325" s="34">
        <v>1</v>
      </c>
      <c r="AE325" s="34">
        <v>1</v>
      </c>
      <c r="AF325" s="34">
        <v>1</v>
      </c>
      <c r="AG325" s="34">
        <v>1</v>
      </c>
      <c r="AH325" s="34">
        <v>1</v>
      </c>
      <c r="AI325" s="34">
        <v>1</v>
      </c>
      <c r="AJ325" s="34">
        <v>1</v>
      </c>
      <c r="AK325" s="34">
        <v>1</v>
      </c>
      <c r="AL325" s="10">
        <f t="shared" si="14"/>
        <v>10</v>
      </c>
      <c r="AM325" s="11">
        <v>32000</v>
      </c>
      <c r="AN325" s="12">
        <f t="shared" si="15"/>
        <v>320000</v>
      </c>
    </row>
    <row r="326" spans="1:40">
      <c r="A326" s="50" t="s">
        <v>98</v>
      </c>
      <c r="B326" s="32">
        <v>79</v>
      </c>
      <c r="C326" s="33" t="s">
        <v>354</v>
      </c>
      <c r="D326" s="33" t="s">
        <v>721</v>
      </c>
      <c r="E326" s="33" t="s">
        <v>357</v>
      </c>
      <c r="F326" s="32" t="s">
        <v>722</v>
      </c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34">
        <v>1</v>
      </c>
      <c r="AC326" s="34">
        <v>1</v>
      </c>
      <c r="AD326" s="34">
        <v>1</v>
      </c>
      <c r="AE326" s="34">
        <v>1</v>
      </c>
      <c r="AF326" s="34">
        <v>1</v>
      </c>
      <c r="AG326" s="34">
        <v>1</v>
      </c>
      <c r="AH326" s="34">
        <v>1</v>
      </c>
      <c r="AI326" s="34">
        <v>1</v>
      </c>
      <c r="AJ326" s="34">
        <v>1</v>
      </c>
      <c r="AK326" s="34">
        <v>1</v>
      </c>
      <c r="AL326" s="10">
        <f t="shared" si="14"/>
        <v>10</v>
      </c>
      <c r="AM326" s="11">
        <v>32000</v>
      </c>
      <c r="AN326" s="12">
        <f t="shared" si="15"/>
        <v>320000</v>
      </c>
    </row>
    <row r="327" spans="1:40">
      <c r="A327" s="50" t="s">
        <v>98</v>
      </c>
      <c r="B327" s="32">
        <v>80</v>
      </c>
      <c r="C327" s="33" t="s">
        <v>555</v>
      </c>
      <c r="D327" s="33" t="s">
        <v>723</v>
      </c>
      <c r="E327" s="33" t="s">
        <v>724</v>
      </c>
      <c r="F327" s="32" t="s">
        <v>725</v>
      </c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34">
        <v>1</v>
      </c>
      <c r="AC327" s="34">
        <v>1</v>
      </c>
      <c r="AD327" s="34">
        <v>1</v>
      </c>
      <c r="AE327" s="34">
        <v>1</v>
      </c>
      <c r="AF327" s="34">
        <v>1</v>
      </c>
      <c r="AG327" s="34">
        <v>1</v>
      </c>
      <c r="AH327" s="34">
        <v>1</v>
      </c>
      <c r="AI327" s="34">
        <v>1</v>
      </c>
      <c r="AJ327" s="34">
        <v>1</v>
      </c>
      <c r="AK327" s="34">
        <v>1</v>
      </c>
      <c r="AL327" s="10">
        <f t="shared" si="14"/>
        <v>10</v>
      </c>
      <c r="AM327" s="11">
        <v>32000</v>
      </c>
      <c r="AN327" s="12">
        <f t="shared" si="15"/>
        <v>320000</v>
      </c>
    </row>
    <row r="328" spans="1:40">
      <c r="A328" s="50" t="s">
        <v>98</v>
      </c>
      <c r="B328" s="32">
        <v>80</v>
      </c>
      <c r="C328" s="33" t="s">
        <v>102</v>
      </c>
      <c r="D328" s="33" t="s">
        <v>726</v>
      </c>
      <c r="E328" s="33" t="s">
        <v>9</v>
      </c>
      <c r="F328" s="32" t="s">
        <v>727</v>
      </c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34">
        <v>1</v>
      </c>
      <c r="AC328" s="34">
        <v>1</v>
      </c>
      <c r="AD328" s="34">
        <v>1</v>
      </c>
      <c r="AE328" s="34">
        <v>1</v>
      </c>
      <c r="AF328" s="34">
        <v>1</v>
      </c>
      <c r="AG328" s="34">
        <v>1</v>
      </c>
      <c r="AH328" s="34">
        <v>1</v>
      </c>
      <c r="AI328" s="34">
        <v>1</v>
      </c>
      <c r="AJ328" s="34">
        <v>1</v>
      </c>
      <c r="AK328" s="34">
        <v>1</v>
      </c>
      <c r="AL328" s="10">
        <f t="shared" si="14"/>
        <v>10</v>
      </c>
      <c r="AM328" s="11">
        <v>32000</v>
      </c>
      <c r="AN328" s="12">
        <f t="shared" si="15"/>
        <v>320000</v>
      </c>
    </row>
    <row r="329" spans="1:40" ht="13.5" customHeight="1">
      <c r="A329" s="50" t="s">
        <v>98</v>
      </c>
      <c r="B329" s="32">
        <v>81</v>
      </c>
      <c r="C329" s="33" t="s">
        <v>728</v>
      </c>
      <c r="D329" s="33" t="s">
        <v>421</v>
      </c>
      <c r="E329" s="33" t="s">
        <v>422</v>
      </c>
      <c r="F329" s="32" t="s">
        <v>423</v>
      </c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34">
        <v>1</v>
      </c>
      <c r="AC329" s="34">
        <v>1</v>
      </c>
      <c r="AD329" s="34">
        <v>1</v>
      </c>
      <c r="AE329" s="34">
        <v>1</v>
      </c>
      <c r="AF329" s="34">
        <v>1</v>
      </c>
      <c r="AG329" s="34">
        <v>1</v>
      </c>
      <c r="AH329" s="34">
        <v>1</v>
      </c>
      <c r="AI329" s="34">
        <v>1</v>
      </c>
      <c r="AJ329" s="34">
        <v>1</v>
      </c>
      <c r="AK329" s="47"/>
      <c r="AL329" s="10">
        <f t="shared" si="14"/>
        <v>9</v>
      </c>
      <c r="AM329" s="11">
        <v>32000</v>
      </c>
      <c r="AN329" s="12">
        <f t="shared" si="15"/>
        <v>288000</v>
      </c>
    </row>
    <row r="330" spans="1:40" ht="13.5" customHeight="1">
      <c r="A330" s="50" t="s">
        <v>98</v>
      </c>
      <c r="B330" s="32">
        <v>81</v>
      </c>
      <c r="C330" s="33" t="s">
        <v>8</v>
      </c>
      <c r="D330" s="33" t="s">
        <v>122</v>
      </c>
      <c r="E330" s="33" t="s">
        <v>393</v>
      </c>
      <c r="F330" s="32" t="s">
        <v>401</v>
      </c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34">
        <v>1</v>
      </c>
      <c r="AC330" s="34">
        <v>1</v>
      </c>
      <c r="AD330" s="34">
        <v>1</v>
      </c>
      <c r="AE330" s="34">
        <v>1</v>
      </c>
      <c r="AF330" s="34">
        <v>1</v>
      </c>
      <c r="AG330" s="34">
        <v>1</v>
      </c>
      <c r="AH330" s="34">
        <v>1</v>
      </c>
      <c r="AI330" s="34">
        <v>1</v>
      </c>
      <c r="AJ330" s="34">
        <v>1</v>
      </c>
      <c r="AK330" s="47"/>
      <c r="AL330" s="10">
        <f t="shared" si="14"/>
        <v>9</v>
      </c>
      <c r="AM330" s="11">
        <v>32000</v>
      </c>
      <c r="AN330" s="12">
        <f t="shared" si="15"/>
        <v>288000</v>
      </c>
    </row>
    <row r="331" spans="1:40" ht="13.5" customHeight="1">
      <c r="A331" s="50" t="s">
        <v>98</v>
      </c>
      <c r="B331" s="32">
        <v>83</v>
      </c>
      <c r="C331" s="33" t="s">
        <v>729</v>
      </c>
      <c r="D331" s="33" t="s">
        <v>730</v>
      </c>
      <c r="E331" s="33" t="s">
        <v>65</v>
      </c>
      <c r="F331" s="32" t="s">
        <v>731</v>
      </c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34">
        <v>1</v>
      </c>
      <c r="AC331" s="34">
        <v>1</v>
      </c>
      <c r="AD331" s="34">
        <v>1</v>
      </c>
      <c r="AE331" s="34">
        <v>1</v>
      </c>
      <c r="AF331" s="34">
        <v>1</v>
      </c>
      <c r="AG331" s="34">
        <v>1</v>
      </c>
      <c r="AH331" s="34">
        <v>1</v>
      </c>
      <c r="AI331" s="34">
        <v>1</v>
      </c>
      <c r="AJ331" s="34">
        <v>1</v>
      </c>
      <c r="AK331" s="34">
        <v>1</v>
      </c>
      <c r="AL331" s="10">
        <f t="shared" si="14"/>
        <v>10</v>
      </c>
      <c r="AM331" s="11">
        <v>32000</v>
      </c>
      <c r="AN331" s="12">
        <f t="shared" si="15"/>
        <v>320000</v>
      </c>
    </row>
    <row r="332" spans="1:40" ht="13.5" customHeight="1">
      <c r="A332" s="50" t="s">
        <v>98</v>
      </c>
      <c r="B332" s="32">
        <v>83</v>
      </c>
      <c r="C332" s="33" t="s">
        <v>261</v>
      </c>
      <c r="D332" s="33" t="s">
        <v>19</v>
      </c>
      <c r="E332" s="33" t="s">
        <v>732</v>
      </c>
      <c r="F332" s="32" t="s">
        <v>733</v>
      </c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34">
        <v>1</v>
      </c>
      <c r="AC332" s="34">
        <v>1</v>
      </c>
      <c r="AD332" s="34">
        <v>1</v>
      </c>
      <c r="AE332" s="34">
        <v>1</v>
      </c>
      <c r="AF332" s="34">
        <v>1</v>
      </c>
      <c r="AG332" s="34">
        <v>1</v>
      </c>
      <c r="AH332" s="34">
        <v>1</v>
      </c>
      <c r="AI332" s="34">
        <v>1</v>
      </c>
      <c r="AJ332" s="34">
        <v>1</v>
      </c>
      <c r="AK332" s="34">
        <v>1</v>
      </c>
      <c r="AL332" s="10">
        <f t="shared" si="14"/>
        <v>10</v>
      </c>
      <c r="AM332" s="11">
        <v>32000</v>
      </c>
      <c r="AN332" s="12">
        <f t="shared" si="15"/>
        <v>320000</v>
      </c>
    </row>
    <row r="333" spans="1:40" ht="13.5" customHeight="1">
      <c r="A333" s="50" t="s">
        <v>98</v>
      </c>
      <c r="B333" s="32">
        <v>84</v>
      </c>
      <c r="C333" s="33" t="s">
        <v>261</v>
      </c>
      <c r="D333" s="33" t="s">
        <v>473</v>
      </c>
      <c r="E333" s="33" t="s">
        <v>15</v>
      </c>
      <c r="F333" s="32" t="s">
        <v>474</v>
      </c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34">
        <v>1</v>
      </c>
      <c r="AC333" s="34">
        <v>1</v>
      </c>
      <c r="AD333" s="34">
        <v>1</v>
      </c>
      <c r="AE333" s="34">
        <v>1</v>
      </c>
      <c r="AF333" s="34">
        <v>1</v>
      </c>
      <c r="AG333" s="34">
        <v>1</v>
      </c>
      <c r="AH333" s="34">
        <v>1</v>
      </c>
      <c r="AI333" s="34">
        <v>1</v>
      </c>
      <c r="AJ333" s="34">
        <v>1</v>
      </c>
      <c r="AK333" s="34">
        <v>1</v>
      </c>
      <c r="AL333" s="10">
        <f t="shared" si="14"/>
        <v>10</v>
      </c>
      <c r="AM333" s="11">
        <v>32000</v>
      </c>
      <c r="AN333" s="12">
        <f t="shared" si="15"/>
        <v>320000</v>
      </c>
    </row>
    <row r="334" spans="1:40" ht="13.5" customHeight="1">
      <c r="A334" s="50" t="s">
        <v>98</v>
      </c>
      <c r="B334" s="32">
        <v>84</v>
      </c>
      <c r="C334" s="33" t="s">
        <v>475</v>
      </c>
      <c r="D334" s="33" t="s">
        <v>391</v>
      </c>
      <c r="E334" s="33" t="s">
        <v>392</v>
      </c>
      <c r="F334" s="32" t="s">
        <v>402</v>
      </c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34">
        <v>1</v>
      </c>
      <c r="AC334" s="34">
        <v>1</v>
      </c>
      <c r="AD334" s="34">
        <v>1</v>
      </c>
      <c r="AE334" s="34">
        <v>1</v>
      </c>
      <c r="AF334" s="34">
        <v>1</v>
      </c>
      <c r="AG334" s="34">
        <v>1</v>
      </c>
      <c r="AH334" s="34">
        <v>1</v>
      </c>
      <c r="AI334" s="34">
        <v>1</v>
      </c>
      <c r="AJ334" s="34">
        <v>1</v>
      </c>
      <c r="AK334" s="34">
        <v>1</v>
      </c>
      <c r="AL334" s="10">
        <f t="shared" si="14"/>
        <v>10</v>
      </c>
      <c r="AM334" s="11">
        <v>32000</v>
      </c>
      <c r="AN334" s="12">
        <f t="shared" si="15"/>
        <v>320000</v>
      </c>
    </row>
    <row r="335" spans="1:40" ht="13.5" customHeight="1">
      <c r="A335" s="50" t="s">
        <v>98</v>
      </c>
      <c r="B335" s="32">
        <v>87</v>
      </c>
      <c r="C335" s="33" t="s">
        <v>856</v>
      </c>
      <c r="D335" s="33" t="s">
        <v>857</v>
      </c>
      <c r="E335" s="33" t="s">
        <v>43</v>
      </c>
      <c r="F335" s="32" t="s">
        <v>823</v>
      </c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34">
        <v>1</v>
      </c>
      <c r="AC335" s="34">
        <v>1</v>
      </c>
      <c r="AD335" s="34">
        <v>1</v>
      </c>
      <c r="AE335" s="34">
        <v>1</v>
      </c>
      <c r="AF335" s="34">
        <v>1</v>
      </c>
      <c r="AG335" s="34">
        <v>1</v>
      </c>
      <c r="AH335" s="34">
        <v>1</v>
      </c>
      <c r="AI335" s="34">
        <v>1</v>
      </c>
      <c r="AJ335" s="34">
        <v>1</v>
      </c>
      <c r="AK335" s="34">
        <v>1</v>
      </c>
      <c r="AL335" s="10">
        <f t="shared" si="14"/>
        <v>10</v>
      </c>
      <c r="AM335" s="11">
        <v>32000</v>
      </c>
      <c r="AN335" s="12">
        <f t="shared" si="15"/>
        <v>320000</v>
      </c>
    </row>
    <row r="336" spans="1:40" ht="13.5" customHeight="1">
      <c r="A336" s="50" t="s">
        <v>98</v>
      </c>
      <c r="B336" s="32">
        <v>87</v>
      </c>
      <c r="C336" s="33" t="s">
        <v>28</v>
      </c>
      <c r="D336" s="33" t="s">
        <v>21</v>
      </c>
      <c r="E336" s="33" t="s">
        <v>11</v>
      </c>
      <c r="F336" s="32" t="s">
        <v>829</v>
      </c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34">
        <v>1</v>
      </c>
      <c r="AC336" s="34">
        <v>1</v>
      </c>
      <c r="AD336" s="34">
        <v>1</v>
      </c>
      <c r="AE336" s="34">
        <v>1</v>
      </c>
      <c r="AF336" s="34">
        <v>1</v>
      </c>
      <c r="AG336" s="34">
        <v>1</v>
      </c>
      <c r="AH336" s="34">
        <v>1</v>
      </c>
      <c r="AI336" s="34">
        <v>1</v>
      </c>
      <c r="AJ336" s="34">
        <v>1</v>
      </c>
      <c r="AK336" s="34">
        <v>1</v>
      </c>
      <c r="AL336" s="10">
        <f t="shared" si="14"/>
        <v>10</v>
      </c>
      <c r="AM336" s="11">
        <v>32000</v>
      </c>
      <c r="AN336" s="12">
        <f t="shared" si="15"/>
        <v>320000</v>
      </c>
    </row>
    <row r="337" spans="1:40" ht="13.5" customHeight="1">
      <c r="A337" s="50" t="s">
        <v>98</v>
      </c>
      <c r="B337" s="32">
        <v>88</v>
      </c>
      <c r="C337" s="33" t="s">
        <v>353</v>
      </c>
      <c r="D337" s="33" t="s">
        <v>354</v>
      </c>
      <c r="E337" s="33" t="s">
        <v>338</v>
      </c>
      <c r="F337" s="32" t="s">
        <v>372</v>
      </c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34">
        <v>1</v>
      </c>
      <c r="AC337" s="34">
        <v>1</v>
      </c>
      <c r="AD337" s="34">
        <v>1</v>
      </c>
      <c r="AE337" s="47"/>
      <c r="AF337" s="47"/>
      <c r="AG337" s="47"/>
      <c r="AH337" s="47"/>
      <c r="AI337" s="47"/>
      <c r="AJ337" s="47"/>
      <c r="AK337" s="47"/>
      <c r="AL337" s="10">
        <f t="shared" si="14"/>
        <v>3</v>
      </c>
      <c r="AM337" s="11">
        <v>32000</v>
      </c>
      <c r="AN337" s="12">
        <f t="shared" si="15"/>
        <v>96000</v>
      </c>
    </row>
    <row r="338" spans="1:40" ht="13.5" customHeight="1">
      <c r="A338" s="50" t="s">
        <v>98</v>
      </c>
      <c r="B338" s="32">
        <v>88</v>
      </c>
      <c r="C338" s="33" t="s">
        <v>878</v>
      </c>
      <c r="D338" s="33" t="s">
        <v>879</v>
      </c>
      <c r="E338" s="33" t="s">
        <v>23</v>
      </c>
      <c r="F338" s="32" t="s">
        <v>882</v>
      </c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34">
        <v>1</v>
      </c>
      <c r="AD338" s="34">
        <v>1</v>
      </c>
      <c r="AE338" s="34">
        <v>1</v>
      </c>
      <c r="AF338" s="34">
        <v>1</v>
      </c>
      <c r="AG338" s="34">
        <v>1</v>
      </c>
      <c r="AH338" s="34">
        <v>1</v>
      </c>
      <c r="AI338" s="34">
        <v>1</v>
      </c>
      <c r="AJ338" s="34">
        <v>1</v>
      </c>
      <c r="AK338" s="34">
        <v>1</v>
      </c>
      <c r="AL338" s="10">
        <f t="shared" si="14"/>
        <v>9</v>
      </c>
      <c r="AM338" s="11">
        <v>32000</v>
      </c>
      <c r="AN338" s="12">
        <f t="shared" si="15"/>
        <v>288000</v>
      </c>
    </row>
    <row r="339" spans="1:40" ht="13.5" customHeight="1">
      <c r="A339" s="50" t="s">
        <v>98</v>
      </c>
      <c r="B339" s="32">
        <v>88</v>
      </c>
      <c r="C339" s="33" t="s">
        <v>889</v>
      </c>
      <c r="D339" s="33" t="s">
        <v>416</v>
      </c>
      <c r="E339" s="33" t="s">
        <v>449</v>
      </c>
      <c r="F339" s="32" t="s">
        <v>893</v>
      </c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34">
        <v>1</v>
      </c>
      <c r="AF339" s="34">
        <v>1</v>
      </c>
      <c r="AG339" s="34">
        <v>1</v>
      </c>
      <c r="AH339" s="34">
        <v>1</v>
      </c>
      <c r="AI339" s="34">
        <v>1</v>
      </c>
      <c r="AJ339" s="34">
        <v>1</v>
      </c>
      <c r="AK339" s="34">
        <v>1</v>
      </c>
      <c r="AL339" s="10">
        <f t="shared" si="14"/>
        <v>7</v>
      </c>
      <c r="AM339" s="11">
        <v>32000</v>
      </c>
      <c r="AN339" s="12">
        <f t="shared" si="15"/>
        <v>224000</v>
      </c>
    </row>
    <row r="340" spans="1:40" ht="13.5" customHeight="1">
      <c r="A340" s="50" t="s">
        <v>98</v>
      </c>
      <c r="B340" s="32">
        <v>89</v>
      </c>
      <c r="C340" s="33" t="s">
        <v>346</v>
      </c>
      <c r="D340" s="33" t="s">
        <v>67</v>
      </c>
      <c r="E340" s="33" t="s">
        <v>359</v>
      </c>
      <c r="F340" s="32" t="s">
        <v>369</v>
      </c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34">
        <v>1</v>
      </c>
      <c r="AC340" s="34">
        <v>1</v>
      </c>
      <c r="AD340" s="47"/>
      <c r="AE340" s="47"/>
      <c r="AF340" s="47"/>
      <c r="AG340" s="47"/>
      <c r="AH340" s="47"/>
      <c r="AI340" s="47"/>
      <c r="AJ340" s="47"/>
      <c r="AK340" s="47"/>
      <c r="AL340" s="10">
        <f t="shared" ref="AL340:AL371" si="16">SUM(G340:AK340)</f>
        <v>2</v>
      </c>
      <c r="AM340" s="11">
        <v>32000</v>
      </c>
      <c r="AN340" s="12">
        <f t="shared" ref="AN340:AN371" si="17">AM340*AL340</f>
        <v>64000</v>
      </c>
    </row>
    <row r="341" spans="1:40" ht="13.5" customHeight="1">
      <c r="A341" s="50" t="s">
        <v>98</v>
      </c>
      <c r="B341" s="32">
        <v>89</v>
      </c>
      <c r="C341" s="33" t="s">
        <v>218</v>
      </c>
      <c r="D341" s="33" t="s">
        <v>358</v>
      </c>
      <c r="E341" s="33" t="s">
        <v>43</v>
      </c>
      <c r="F341" s="32" t="s">
        <v>370</v>
      </c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34">
        <v>1</v>
      </c>
      <c r="AC341" s="34">
        <v>1</v>
      </c>
      <c r="AD341" s="47"/>
      <c r="AE341" s="47"/>
      <c r="AF341" s="47"/>
      <c r="AG341" s="47"/>
      <c r="AH341" s="47"/>
      <c r="AI341" s="47"/>
      <c r="AJ341" s="47"/>
      <c r="AK341" s="47"/>
      <c r="AL341" s="10">
        <f t="shared" si="16"/>
        <v>2</v>
      </c>
      <c r="AM341" s="11">
        <v>32000</v>
      </c>
      <c r="AN341" s="12">
        <f t="shared" si="17"/>
        <v>64000</v>
      </c>
    </row>
    <row r="342" spans="1:40" ht="13.5" customHeight="1">
      <c r="A342" s="50" t="s">
        <v>98</v>
      </c>
      <c r="B342" s="32">
        <v>89</v>
      </c>
      <c r="C342" s="33" t="s">
        <v>103</v>
      </c>
      <c r="D342" s="33" t="s">
        <v>226</v>
      </c>
      <c r="E342" s="33" t="s">
        <v>869</v>
      </c>
      <c r="F342" s="32" t="s">
        <v>834</v>
      </c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34">
        <v>1</v>
      </c>
      <c r="AE342" s="34">
        <v>1</v>
      </c>
      <c r="AF342" s="34">
        <v>1</v>
      </c>
      <c r="AG342" s="34">
        <v>1</v>
      </c>
      <c r="AH342" s="34">
        <v>1</v>
      </c>
      <c r="AI342" s="34">
        <v>1</v>
      </c>
      <c r="AJ342" s="34">
        <v>1</v>
      </c>
      <c r="AK342" s="34">
        <v>1</v>
      </c>
      <c r="AL342" s="10">
        <f t="shared" si="16"/>
        <v>8</v>
      </c>
      <c r="AM342" s="11">
        <v>32000</v>
      </c>
      <c r="AN342" s="12">
        <f t="shared" si="17"/>
        <v>256000</v>
      </c>
    </row>
    <row r="343" spans="1:40" ht="13.5" customHeight="1">
      <c r="A343" s="50" t="s">
        <v>98</v>
      </c>
      <c r="B343" s="32">
        <v>89</v>
      </c>
      <c r="C343" s="33" t="s">
        <v>196</v>
      </c>
      <c r="D343" s="33" t="s">
        <v>877</v>
      </c>
      <c r="E343" s="33" t="s">
        <v>26</v>
      </c>
      <c r="F343" s="32" t="s">
        <v>883</v>
      </c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34">
        <v>1</v>
      </c>
      <c r="AE343" s="34">
        <v>1</v>
      </c>
      <c r="AF343" s="34">
        <v>1</v>
      </c>
      <c r="AG343" s="34">
        <v>1</v>
      </c>
      <c r="AH343" s="34">
        <v>1</v>
      </c>
      <c r="AI343" s="34">
        <v>1</v>
      </c>
      <c r="AJ343" s="34">
        <v>1</v>
      </c>
      <c r="AK343" s="34">
        <v>1</v>
      </c>
      <c r="AL343" s="10">
        <f t="shared" si="16"/>
        <v>8</v>
      </c>
      <c r="AM343" s="11">
        <v>32000</v>
      </c>
      <c r="AN343" s="12">
        <f t="shared" si="17"/>
        <v>256000</v>
      </c>
    </row>
    <row r="344" spans="1:40" ht="13.5" customHeight="1">
      <c r="A344" s="50" t="s">
        <v>98</v>
      </c>
      <c r="B344" s="32">
        <v>90</v>
      </c>
      <c r="C344" s="33" t="s">
        <v>504</v>
      </c>
      <c r="D344" s="33" t="s">
        <v>505</v>
      </c>
      <c r="E344" s="33" t="s">
        <v>15</v>
      </c>
      <c r="F344" s="32" t="s">
        <v>506</v>
      </c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34">
        <v>1</v>
      </c>
      <c r="AC344" s="34">
        <v>1</v>
      </c>
      <c r="AD344" s="34">
        <v>1</v>
      </c>
      <c r="AE344" s="34">
        <v>1</v>
      </c>
      <c r="AF344" s="34">
        <v>1</v>
      </c>
      <c r="AG344" s="34">
        <v>1</v>
      </c>
      <c r="AH344" s="34">
        <v>1</v>
      </c>
      <c r="AI344" s="34">
        <v>1</v>
      </c>
      <c r="AJ344" s="34">
        <v>1</v>
      </c>
      <c r="AK344" s="34">
        <v>1</v>
      </c>
      <c r="AL344" s="10">
        <f t="shared" si="16"/>
        <v>10</v>
      </c>
      <c r="AM344" s="11">
        <v>32000</v>
      </c>
      <c r="AN344" s="12">
        <f t="shared" si="17"/>
        <v>320000</v>
      </c>
    </row>
    <row r="345" spans="1:40" ht="13.5" customHeight="1">
      <c r="A345" s="50" t="s">
        <v>98</v>
      </c>
      <c r="B345" s="32">
        <v>90</v>
      </c>
      <c r="C345" s="33" t="s">
        <v>501</v>
      </c>
      <c r="D345" s="33" t="s">
        <v>360</v>
      </c>
      <c r="E345" s="33" t="s">
        <v>176</v>
      </c>
      <c r="F345" s="32" t="s">
        <v>503</v>
      </c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34">
        <v>1</v>
      </c>
      <c r="AC345" s="34">
        <v>1</v>
      </c>
      <c r="AD345" s="34">
        <v>1</v>
      </c>
      <c r="AE345" s="34">
        <v>1</v>
      </c>
      <c r="AF345" s="34">
        <v>1</v>
      </c>
      <c r="AG345" s="34">
        <v>1</v>
      </c>
      <c r="AH345" s="34">
        <v>1</v>
      </c>
      <c r="AI345" s="34">
        <v>1</v>
      </c>
      <c r="AJ345" s="34">
        <v>1</v>
      </c>
      <c r="AK345" s="34">
        <v>1</v>
      </c>
      <c r="AL345" s="10">
        <f t="shared" si="16"/>
        <v>10</v>
      </c>
      <c r="AM345" s="11">
        <v>32000</v>
      </c>
      <c r="AN345" s="12">
        <f t="shared" si="17"/>
        <v>320000</v>
      </c>
    </row>
    <row r="346" spans="1:40" ht="13.5" customHeight="1">
      <c r="A346" s="50" t="s">
        <v>98</v>
      </c>
      <c r="B346" s="32">
        <v>91</v>
      </c>
      <c r="C346" s="33" t="s">
        <v>360</v>
      </c>
      <c r="D346" s="33" t="s">
        <v>12</v>
      </c>
      <c r="E346" s="33" t="s">
        <v>15</v>
      </c>
      <c r="F346" s="32" t="s">
        <v>500</v>
      </c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34">
        <v>1</v>
      </c>
      <c r="AC346" s="34">
        <v>1</v>
      </c>
      <c r="AD346" s="34">
        <v>1</v>
      </c>
      <c r="AE346" s="47"/>
      <c r="AF346" s="47"/>
      <c r="AG346" s="47"/>
      <c r="AH346" s="47"/>
      <c r="AI346" s="47"/>
      <c r="AJ346" s="47"/>
      <c r="AK346" s="47"/>
      <c r="AL346" s="10">
        <f t="shared" si="16"/>
        <v>3</v>
      </c>
      <c r="AM346" s="11">
        <v>32000</v>
      </c>
      <c r="AN346" s="12">
        <f t="shared" si="17"/>
        <v>96000</v>
      </c>
    </row>
    <row r="347" spans="1:40" ht="13.5" customHeight="1">
      <c r="A347" s="50" t="s">
        <v>98</v>
      </c>
      <c r="B347" s="32">
        <v>91</v>
      </c>
      <c r="C347" s="33" t="s">
        <v>360</v>
      </c>
      <c r="D347" s="33" t="s">
        <v>734</v>
      </c>
      <c r="E347" s="33" t="s">
        <v>735</v>
      </c>
      <c r="F347" s="32" t="s">
        <v>736</v>
      </c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34">
        <v>1</v>
      </c>
      <c r="AC347" s="34">
        <v>1</v>
      </c>
      <c r="AD347" s="34">
        <v>1</v>
      </c>
      <c r="AE347" s="34">
        <v>1</v>
      </c>
      <c r="AF347" s="34">
        <v>1</v>
      </c>
      <c r="AG347" s="34">
        <v>1</v>
      </c>
      <c r="AH347" s="34">
        <v>1</v>
      </c>
      <c r="AI347" s="34">
        <v>1</v>
      </c>
      <c r="AJ347" s="34">
        <v>1</v>
      </c>
      <c r="AK347" s="34">
        <v>1</v>
      </c>
      <c r="AL347" s="10">
        <f t="shared" si="16"/>
        <v>10</v>
      </c>
      <c r="AM347" s="11">
        <v>32000</v>
      </c>
      <c r="AN347" s="12">
        <f t="shared" si="17"/>
        <v>320000</v>
      </c>
    </row>
    <row r="348" spans="1:40" ht="13.5" customHeight="1">
      <c r="A348" s="50" t="s">
        <v>98</v>
      </c>
      <c r="B348" s="32">
        <v>91</v>
      </c>
      <c r="C348" s="33" t="s">
        <v>888</v>
      </c>
      <c r="D348" s="33" t="s">
        <v>888</v>
      </c>
      <c r="E348" s="33" t="s">
        <v>9</v>
      </c>
      <c r="F348" s="32" t="s">
        <v>894</v>
      </c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34">
        <v>1</v>
      </c>
      <c r="AF348" s="34">
        <v>1</v>
      </c>
      <c r="AG348" s="34">
        <v>1</v>
      </c>
      <c r="AH348" s="34">
        <v>1</v>
      </c>
      <c r="AI348" s="34">
        <v>1</v>
      </c>
      <c r="AJ348" s="34">
        <v>1</v>
      </c>
      <c r="AK348" s="34">
        <v>1</v>
      </c>
      <c r="AL348" s="10">
        <f t="shared" si="16"/>
        <v>7</v>
      </c>
      <c r="AM348" s="11">
        <v>32000</v>
      </c>
      <c r="AN348" s="12">
        <f t="shared" si="17"/>
        <v>224000</v>
      </c>
    </row>
    <row r="349" spans="1:40" ht="13.5" customHeight="1">
      <c r="A349" s="50" t="s">
        <v>98</v>
      </c>
      <c r="B349" s="32">
        <v>92</v>
      </c>
      <c r="C349" s="33" t="s">
        <v>149</v>
      </c>
      <c r="D349" s="33" t="s">
        <v>149</v>
      </c>
      <c r="E349" s="33" t="s">
        <v>480</v>
      </c>
      <c r="F349" s="32" t="s">
        <v>737</v>
      </c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34">
        <v>1</v>
      </c>
      <c r="AC349" s="34">
        <v>1</v>
      </c>
      <c r="AD349" s="34">
        <v>1</v>
      </c>
      <c r="AE349" s="34">
        <v>1</v>
      </c>
      <c r="AF349" s="34">
        <v>1</v>
      </c>
      <c r="AG349" s="34">
        <v>1</v>
      </c>
      <c r="AH349" s="34">
        <v>1</v>
      </c>
      <c r="AI349" s="34">
        <v>1</v>
      </c>
      <c r="AJ349" s="34">
        <v>1</v>
      </c>
      <c r="AK349" s="34">
        <v>1</v>
      </c>
      <c r="AL349" s="10">
        <f t="shared" si="16"/>
        <v>10</v>
      </c>
      <c r="AM349" s="11">
        <v>32000</v>
      </c>
      <c r="AN349" s="12">
        <f t="shared" si="17"/>
        <v>320000</v>
      </c>
    </row>
    <row r="350" spans="1:40" ht="13.5" customHeight="1">
      <c r="A350" s="50" t="s">
        <v>98</v>
      </c>
      <c r="B350" s="32">
        <v>92</v>
      </c>
      <c r="C350" s="33" t="s">
        <v>738</v>
      </c>
      <c r="D350" s="33" t="s">
        <v>620</v>
      </c>
      <c r="E350" s="33" t="s">
        <v>357</v>
      </c>
      <c r="F350" s="32" t="s">
        <v>739</v>
      </c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34">
        <v>1</v>
      </c>
      <c r="AC350" s="34">
        <v>1</v>
      </c>
      <c r="AD350" s="34">
        <v>1</v>
      </c>
      <c r="AE350" s="34">
        <v>1</v>
      </c>
      <c r="AF350" s="34">
        <v>1</v>
      </c>
      <c r="AG350" s="34">
        <v>1</v>
      </c>
      <c r="AH350" s="34">
        <v>1</v>
      </c>
      <c r="AI350" s="34">
        <v>1</v>
      </c>
      <c r="AJ350" s="34">
        <v>1</v>
      </c>
      <c r="AK350" s="34">
        <v>1</v>
      </c>
      <c r="AL350" s="10">
        <f t="shared" si="16"/>
        <v>10</v>
      </c>
      <c r="AM350" s="11">
        <v>32000</v>
      </c>
      <c r="AN350" s="12">
        <f t="shared" si="17"/>
        <v>320000</v>
      </c>
    </row>
    <row r="351" spans="1:40" ht="13.5" customHeight="1">
      <c r="A351" s="50" t="s">
        <v>98</v>
      </c>
      <c r="B351" s="32">
        <v>93</v>
      </c>
      <c r="C351" s="33" t="s">
        <v>855</v>
      </c>
      <c r="D351" s="33" t="s">
        <v>658</v>
      </c>
      <c r="E351" s="33" t="s">
        <v>83</v>
      </c>
      <c r="F351" s="32" t="s">
        <v>821</v>
      </c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34">
        <v>1</v>
      </c>
      <c r="AC351" s="34">
        <v>1</v>
      </c>
      <c r="AD351" s="34">
        <v>1</v>
      </c>
      <c r="AE351" s="34">
        <v>1</v>
      </c>
      <c r="AF351" s="34">
        <v>1</v>
      </c>
      <c r="AG351" s="34">
        <v>1</v>
      </c>
      <c r="AH351" s="34">
        <v>1</v>
      </c>
      <c r="AI351" s="34">
        <v>1</v>
      </c>
      <c r="AJ351" s="34">
        <v>1</v>
      </c>
      <c r="AK351" s="34">
        <v>1</v>
      </c>
      <c r="AL351" s="10">
        <f t="shared" si="16"/>
        <v>10</v>
      </c>
      <c r="AM351" s="11">
        <v>32000</v>
      </c>
      <c r="AN351" s="12">
        <f t="shared" si="17"/>
        <v>320000</v>
      </c>
    </row>
    <row r="352" spans="1:40" ht="13.5" customHeight="1">
      <c r="A352" s="50" t="s">
        <v>98</v>
      </c>
      <c r="B352" s="32">
        <v>93</v>
      </c>
      <c r="C352" s="33" t="s">
        <v>28</v>
      </c>
      <c r="D352" s="33" t="s">
        <v>858</v>
      </c>
      <c r="E352" s="33" t="s">
        <v>30</v>
      </c>
      <c r="F352" s="32" t="s">
        <v>824</v>
      </c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34">
        <v>1</v>
      </c>
      <c r="AC352" s="34">
        <v>1</v>
      </c>
      <c r="AD352" s="34">
        <v>1</v>
      </c>
      <c r="AE352" s="34">
        <v>1</v>
      </c>
      <c r="AF352" s="34">
        <v>1</v>
      </c>
      <c r="AG352" s="34">
        <v>1</v>
      </c>
      <c r="AH352" s="34">
        <v>1</v>
      </c>
      <c r="AI352" s="34">
        <v>1</v>
      </c>
      <c r="AJ352" s="34">
        <v>1</v>
      </c>
      <c r="AK352" s="34">
        <v>1</v>
      </c>
      <c r="AL352" s="10">
        <f t="shared" si="16"/>
        <v>10</v>
      </c>
      <c r="AM352" s="11">
        <v>32000</v>
      </c>
      <c r="AN352" s="12">
        <f t="shared" si="17"/>
        <v>320000</v>
      </c>
    </row>
    <row r="353" spans="1:40" ht="13.5" customHeight="1">
      <c r="A353" s="50" t="s">
        <v>98</v>
      </c>
      <c r="B353" s="32">
        <v>94</v>
      </c>
      <c r="C353" s="33" t="s">
        <v>613</v>
      </c>
      <c r="D353" s="33" t="s">
        <v>614</v>
      </c>
      <c r="E353" s="33" t="s">
        <v>615</v>
      </c>
      <c r="F353" s="32" t="s">
        <v>616</v>
      </c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  <c r="AF353" s="47"/>
      <c r="AG353" s="34">
        <v>1</v>
      </c>
      <c r="AH353" s="47"/>
      <c r="AI353" s="47"/>
      <c r="AJ353" s="47"/>
      <c r="AK353" s="47"/>
      <c r="AL353" s="10">
        <f t="shared" si="16"/>
        <v>1</v>
      </c>
      <c r="AM353" s="11">
        <v>32000</v>
      </c>
      <c r="AN353" s="12">
        <f t="shared" si="17"/>
        <v>32000</v>
      </c>
    </row>
    <row r="354" spans="1:40" ht="13.5" customHeight="1">
      <c r="A354" s="50" t="s">
        <v>98</v>
      </c>
      <c r="B354" s="32">
        <v>94</v>
      </c>
      <c r="C354" s="33" t="s">
        <v>82</v>
      </c>
      <c r="D354" s="33"/>
      <c r="E354" s="33" t="s">
        <v>83</v>
      </c>
      <c r="F354" s="32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  <c r="AF354" s="47"/>
      <c r="AG354" s="34">
        <v>1</v>
      </c>
      <c r="AH354" s="47"/>
      <c r="AI354" s="47"/>
      <c r="AJ354" s="47"/>
      <c r="AK354" s="47"/>
      <c r="AL354" s="10">
        <f t="shared" si="16"/>
        <v>1</v>
      </c>
      <c r="AM354" s="11">
        <v>32000</v>
      </c>
      <c r="AN354" s="12">
        <f t="shared" si="17"/>
        <v>32000</v>
      </c>
    </row>
    <row r="355" spans="1:40" ht="13.5" customHeight="1">
      <c r="A355" s="50" t="s">
        <v>98</v>
      </c>
      <c r="B355" s="32">
        <v>95</v>
      </c>
      <c r="C355" s="33" t="s">
        <v>12</v>
      </c>
      <c r="D355" s="33"/>
      <c r="E355" s="33" t="s">
        <v>85</v>
      </c>
      <c r="F355" s="32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  <c r="AE355" s="47"/>
      <c r="AF355" s="47"/>
      <c r="AG355" s="34">
        <v>1</v>
      </c>
      <c r="AH355" s="47"/>
      <c r="AI355" s="47"/>
      <c r="AJ355" s="47"/>
      <c r="AK355" s="47"/>
      <c r="AL355" s="10">
        <f t="shared" si="16"/>
        <v>1</v>
      </c>
      <c r="AM355" s="11">
        <v>32000</v>
      </c>
      <c r="AN355" s="12">
        <f t="shared" si="17"/>
        <v>32000</v>
      </c>
    </row>
    <row r="356" spans="1:40" ht="13.5" customHeight="1">
      <c r="A356" s="50" t="s">
        <v>98</v>
      </c>
      <c r="B356" s="32">
        <v>96</v>
      </c>
      <c r="C356" s="33" t="s">
        <v>467</v>
      </c>
      <c r="D356" s="33" t="s">
        <v>468</v>
      </c>
      <c r="E356" s="33" t="s">
        <v>469</v>
      </c>
      <c r="F356" s="32" t="s">
        <v>470</v>
      </c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34">
        <v>1</v>
      </c>
      <c r="AC356" s="34">
        <v>1</v>
      </c>
      <c r="AD356" s="34">
        <v>1</v>
      </c>
      <c r="AE356" s="34">
        <v>1</v>
      </c>
      <c r="AF356" s="34">
        <v>1</v>
      </c>
      <c r="AG356" s="34">
        <v>1</v>
      </c>
      <c r="AH356" s="34">
        <v>1</v>
      </c>
      <c r="AI356" s="34">
        <v>1</v>
      </c>
      <c r="AJ356" s="34">
        <v>1</v>
      </c>
      <c r="AK356" s="34">
        <v>1</v>
      </c>
      <c r="AL356" s="10">
        <f t="shared" si="16"/>
        <v>10</v>
      </c>
      <c r="AM356" s="11">
        <v>32000</v>
      </c>
      <c r="AN356" s="12">
        <f t="shared" si="17"/>
        <v>320000</v>
      </c>
    </row>
    <row r="357" spans="1:40" ht="13.5" customHeight="1">
      <c r="A357" s="50" t="s">
        <v>98</v>
      </c>
      <c r="B357" s="32">
        <v>96</v>
      </c>
      <c r="C357" s="33" t="s">
        <v>471</v>
      </c>
      <c r="D357" s="33" t="s">
        <v>404</v>
      </c>
      <c r="E357" s="33" t="s">
        <v>347</v>
      </c>
      <c r="F357" s="32" t="s">
        <v>472</v>
      </c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34">
        <v>1</v>
      </c>
      <c r="AC357" s="34">
        <v>1</v>
      </c>
      <c r="AD357" s="34">
        <v>1</v>
      </c>
      <c r="AE357" s="34">
        <v>1</v>
      </c>
      <c r="AF357" s="34">
        <v>1</v>
      </c>
      <c r="AG357" s="34">
        <v>1</v>
      </c>
      <c r="AH357" s="34">
        <v>1</v>
      </c>
      <c r="AI357" s="34">
        <v>1</v>
      </c>
      <c r="AJ357" s="34">
        <v>1</v>
      </c>
      <c r="AK357" s="34">
        <v>1</v>
      </c>
      <c r="AL357" s="10">
        <f t="shared" si="16"/>
        <v>10</v>
      </c>
      <c r="AM357" s="11">
        <v>32000</v>
      </c>
      <c r="AN357" s="12">
        <f t="shared" si="17"/>
        <v>320000</v>
      </c>
    </row>
    <row r="358" spans="1:40" ht="13.5" customHeight="1">
      <c r="A358" s="50" t="s">
        <v>98</v>
      </c>
      <c r="B358" s="32">
        <v>97</v>
      </c>
      <c r="C358" s="33" t="s">
        <v>692</v>
      </c>
      <c r="D358" s="33" t="s">
        <v>693</v>
      </c>
      <c r="E358" s="33" t="s">
        <v>68</v>
      </c>
      <c r="F358" s="32" t="s">
        <v>694</v>
      </c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34">
        <v>1</v>
      </c>
      <c r="AC358" s="34">
        <v>1</v>
      </c>
      <c r="AD358" s="34">
        <v>1</v>
      </c>
      <c r="AE358" s="34">
        <v>1</v>
      </c>
      <c r="AF358" s="34">
        <v>1</v>
      </c>
      <c r="AG358" s="34">
        <v>1</v>
      </c>
      <c r="AH358" s="34">
        <v>1</v>
      </c>
      <c r="AI358" s="34">
        <v>1</v>
      </c>
      <c r="AJ358" s="34">
        <v>1</v>
      </c>
      <c r="AK358" s="34">
        <v>1</v>
      </c>
      <c r="AL358" s="10">
        <f t="shared" si="16"/>
        <v>10</v>
      </c>
      <c r="AM358" s="11">
        <v>32000</v>
      </c>
      <c r="AN358" s="12">
        <f t="shared" si="17"/>
        <v>320000</v>
      </c>
    </row>
    <row r="359" spans="1:40" ht="13.5" customHeight="1">
      <c r="A359" s="50" t="s">
        <v>98</v>
      </c>
      <c r="B359" s="32">
        <v>97</v>
      </c>
      <c r="C359" s="33" t="s">
        <v>299</v>
      </c>
      <c r="D359" s="33" t="s">
        <v>300</v>
      </c>
      <c r="E359" s="33" t="s">
        <v>11</v>
      </c>
      <c r="F359" s="32" t="s">
        <v>301</v>
      </c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34">
        <v>1</v>
      </c>
      <c r="AC359" s="34">
        <v>1</v>
      </c>
      <c r="AD359" s="34">
        <v>1</v>
      </c>
      <c r="AE359" s="34">
        <v>1</v>
      </c>
      <c r="AF359" s="34">
        <v>1</v>
      </c>
      <c r="AG359" s="34">
        <v>1</v>
      </c>
      <c r="AH359" s="34">
        <v>1</v>
      </c>
      <c r="AI359" s="34">
        <v>1</v>
      </c>
      <c r="AJ359" s="34">
        <v>1</v>
      </c>
      <c r="AK359" s="34">
        <v>1</v>
      </c>
      <c r="AL359" s="10">
        <f t="shared" si="16"/>
        <v>10</v>
      </c>
      <c r="AM359" s="11">
        <v>32000</v>
      </c>
      <c r="AN359" s="12">
        <f t="shared" si="17"/>
        <v>320000</v>
      </c>
    </row>
    <row r="360" spans="1:40" ht="13.5" customHeight="1">
      <c r="A360" s="50" t="s">
        <v>98</v>
      </c>
      <c r="B360" s="32">
        <v>98</v>
      </c>
      <c r="C360" s="33" t="s">
        <v>742</v>
      </c>
      <c r="D360" s="33" t="s">
        <v>743</v>
      </c>
      <c r="E360" s="33" t="s">
        <v>744</v>
      </c>
      <c r="F360" s="32" t="s">
        <v>745</v>
      </c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34">
        <v>1</v>
      </c>
      <c r="AC360" s="34">
        <v>1</v>
      </c>
      <c r="AD360" s="34">
        <v>1</v>
      </c>
      <c r="AE360" s="34">
        <v>1</v>
      </c>
      <c r="AF360" s="34">
        <v>1</v>
      </c>
      <c r="AG360" s="34">
        <v>1</v>
      </c>
      <c r="AH360" s="34">
        <v>1</v>
      </c>
      <c r="AI360" s="34">
        <v>1</v>
      </c>
      <c r="AJ360" s="34">
        <v>1</v>
      </c>
      <c r="AK360" s="34">
        <v>1</v>
      </c>
      <c r="AL360" s="10">
        <f t="shared" si="16"/>
        <v>10</v>
      </c>
      <c r="AM360" s="11">
        <v>32000</v>
      </c>
      <c r="AN360" s="12">
        <f t="shared" si="17"/>
        <v>320000</v>
      </c>
    </row>
    <row r="361" spans="1:40" ht="13.5" customHeight="1">
      <c r="A361" s="50" t="s">
        <v>98</v>
      </c>
      <c r="B361" s="32">
        <v>98</v>
      </c>
      <c r="C361" s="33" t="s">
        <v>155</v>
      </c>
      <c r="D361" s="33" t="s">
        <v>950</v>
      </c>
      <c r="E361" s="33" t="s">
        <v>255</v>
      </c>
      <c r="F361" s="32" t="s">
        <v>951</v>
      </c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34">
        <v>1</v>
      </c>
      <c r="AC361" s="34">
        <v>1</v>
      </c>
      <c r="AD361" s="34">
        <v>1</v>
      </c>
      <c r="AE361" s="34">
        <v>1</v>
      </c>
      <c r="AF361" s="34">
        <v>1</v>
      </c>
      <c r="AG361" s="34">
        <v>1</v>
      </c>
      <c r="AH361" s="34">
        <v>1</v>
      </c>
      <c r="AI361" s="34">
        <v>1</v>
      </c>
      <c r="AJ361" s="34">
        <v>1</v>
      </c>
      <c r="AK361" s="34">
        <v>1</v>
      </c>
      <c r="AL361" s="10">
        <f t="shared" si="16"/>
        <v>10</v>
      </c>
      <c r="AM361" s="11">
        <v>32000</v>
      </c>
      <c r="AN361" s="12">
        <f t="shared" si="17"/>
        <v>320000</v>
      </c>
    </row>
    <row r="362" spans="1:40" ht="13.5" customHeight="1">
      <c r="A362" s="50" t="s">
        <v>98</v>
      </c>
      <c r="B362" s="32">
        <v>99</v>
      </c>
      <c r="C362" s="33" t="s">
        <v>13</v>
      </c>
      <c r="D362" s="33" t="s">
        <v>48</v>
      </c>
      <c r="E362" s="33" t="s">
        <v>24</v>
      </c>
      <c r="F362" s="32" t="s">
        <v>748</v>
      </c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34">
        <v>1</v>
      </c>
      <c r="AC362" s="34">
        <v>1</v>
      </c>
      <c r="AD362" s="34">
        <v>1</v>
      </c>
      <c r="AE362" s="34">
        <v>1</v>
      </c>
      <c r="AF362" s="34">
        <v>1</v>
      </c>
      <c r="AG362" s="34">
        <v>1</v>
      </c>
      <c r="AH362" s="34">
        <v>1</v>
      </c>
      <c r="AI362" s="34">
        <v>1</v>
      </c>
      <c r="AJ362" s="34">
        <v>1</v>
      </c>
      <c r="AK362" s="34">
        <v>1</v>
      </c>
      <c r="AL362" s="10">
        <f t="shared" si="16"/>
        <v>10</v>
      </c>
      <c r="AM362" s="11">
        <v>32000</v>
      </c>
      <c r="AN362" s="12">
        <f t="shared" si="17"/>
        <v>320000</v>
      </c>
    </row>
    <row r="363" spans="1:40" ht="13.5" customHeight="1">
      <c r="A363" s="50" t="s">
        <v>98</v>
      </c>
      <c r="B363" s="32">
        <v>99</v>
      </c>
      <c r="C363" s="33" t="s">
        <v>749</v>
      </c>
      <c r="D363" s="33" t="s">
        <v>750</v>
      </c>
      <c r="E363" s="33" t="s">
        <v>751</v>
      </c>
      <c r="F363" s="32" t="s">
        <v>752</v>
      </c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34">
        <v>1</v>
      </c>
      <c r="AC363" s="34">
        <v>1</v>
      </c>
      <c r="AD363" s="34">
        <v>1</v>
      </c>
      <c r="AE363" s="34">
        <v>1</v>
      </c>
      <c r="AF363" s="34">
        <v>1</v>
      </c>
      <c r="AG363" s="34">
        <v>1</v>
      </c>
      <c r="AH363" s="47"/>
      <c r="AI363" s="47"/>
      <c r="AJ363" s="47"/>
      <c r="AK363" s="47"/>
      <c r="AL363" s="10">
        <f t="shared" si="16"/>
        <v>6</v>
      </c>
      <c r="AM363" s="11">
        <v>32000</v>
      </c>
      <c r="AN363" s="12">
        <f t="shared" si="17"/>
        <v>192000</v>
      </c>
    </row>
    <row r="364" spans="1:40" ht="13.5" customHeight="1">
      <c r="A364" s="50" t="s">
        <v>98</v>
      </c>
      <c r="B364" s="32">
        <v>99</v>
      </c>
      <c r="C364" s="33" t="s">
        <v>141</v>
      </c>
      <c r="D364" s="33" t="s">
        <v>114</v>
      </c>
      <c r="E364" s="33" t="s">
        <v>959</v>
      </c>
      <c r="F364" s="32" t="s">
        <v>971</v>
      </c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  <c r="AD364" s="47"/>
      <c r="AE364" s="47"/>
      <c r="AF364" s="47"/>
      <c r="AG364" s="47"/>
      <c r="AH364" s="34">
        <v>1</v>
      </c>
      <c r="AI364" s="34">
        <v>1</v>
      </c>
      <c r="AJ364" s="34">
        <v>1</v>
      </c>
      <c r="AK364" s="34">
        <v>1</v>
      </c>
      <c r="AL364" s="10">
        <f t="shared" si="16"/>
        <v>4</v>
      </c>
      <c r="AM364" s="11">
        <v>32000</v>
      </c>
      <c r="AN364" s="12">
        <f t="shared" si="17"/>
        <v>128000</v>
      </c>
    </row>
    <row r="365" spans="1:40" ht="13.5" customHeight="1">
      <c r="A365" s="50" t="s">
        <v>98</v>
      </c>
      <c r="B365" s="32">
        <v>100</v>
      </c>
      <c r="C365" s="33" t="s">
        <v>21</v>
      </c>
      <c r="D365" s="33" t="s">
        <v>753</v>
      </c>
      <c r="E365" s="33" t="s">
        <v>754</v>
      </c>
      <c r="F365" s="32" t="s">
        <v>755</v>
      </c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34">
        <v>1</v>
      </c>
      <c r="AC365" s="34">
        <v>1</v>
      </c>
      <c r="AD365" s="34">
        <v>1</v>
      </c>
      <c r="AE365" s="34">
        <v>1</v>
      </c>
      <c r="AF365" s="34">
        <v>1</v>
      </c>
      <c r="AG365" s="34">
        <v>1</v>
      </c>
      <c r="AH365" s="34">
        <v>1</v>
      </c>
      <c r="AI365" s="34">
        <v>1</v>
      </c>
      <c r="AJ365" s="34">
        <v>1</v>
      </c>
      <c r="AK365" s="34">
        <v>1</v>
      </c>
      <c r="AL365" s="10">
        <f t="shared" si="16"/>
        <v>10</v>
      </c>
      <c r="AM365" s="11">
        <v>32000</v>
      </c>
      <c r="AN365" s="12">
        <f t="shared" si="17"/>
        <v>320000</v>
      </c>
    </row>
    <row r="366" spans="1:40" ht="13.5" customHeight="1">
      <c r="A366" s="50" t="s">
        <v>98</v>
      </c>
      <c r="B366" s="32">
        <v>100</v>
      </c>
      <c r="C366" s="33" t="s">
        <v>756</v>
      </c>
      <c r="D366" s="33" t="s">
        <v>614</v>
      </c>
      <c r="E366" s="33" t="s">
        <v>255</v>
      </c>
      <c r="F366" s="32" t="s">
        <v>757</v>
      </c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34">
        <v>1</v>
      </c>
      <c r="AC366" s="34">
        <v>1</v>
      </c>
      <c r="AD366" s="34">
        <v>1</v>
      </c>
      <c r="AE366" s="34">
        <v>1</v>
      </c>
      <c r="AF366" s="34">
        <v>1</v>
      </c>
      <c r="AG366" s="34">
        <v>1</v>
      </c>
      <c r="AH366" s="34">
        <v>1</v>
      </c>
      <c r="AI366" s="34">
        <v>1</v>
      </c>
      <c r="AJ366" s="34">
        <v>1</v>
      </c>
      <c r="AK366" s="34">
        <v>1</v>
      </c>
      <c r="AL366" s="10">
        <f t="shared" si="16"/>
        <v>10</v>
      </c>
      <c r="AM366" s="11">
        <v>32000</v>
      </c>
      <c r="AN366" s="12">
        <f t="shared" si="17"/>
        <v>320000</v>
      </c>
    </row>
    <row r="367" spans="1:40" ht="13.5" customHeight="1">
      <c r="A367" s="50" t="s">
        <v>98</v>
      </c>
      <c r="B367" s="32">
        <v>101</v>
      </c>
      <c r="C367" s="33" t="s">
        <v>363</v>
      </c>
      <c r="D367" s="33" t="s">
        <v>303</v>
      </c>
      <c r="E367" s="33" t="s">
        <v>449</v>
      </c>
      <c r="F367" s="32" t="s">
        <v>758</v>
      </c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34">
        <v>1</v>
      </c>
      <c r="AC367" s="34">
        <v>1</v>
      </c>
      <c r="AD367" s="47"/>
      <c r="AE367" s="47"/>
      <c r="AF367" s="47"/>
      <c r="AG367" s="47"/>
      <c r="AH367" s="47"/>
      <c r="AI367" s="47"/>
      <c r="AJ367" s="47"/>
      <c r="AK367" s="47"/>
      <c r="AL367" s="10">
        <f t="shared" si="16"/>
        <v>2</v>
      </c>
      <c r="AM367" s="11">
        <v>32000</v>
      </c>
      <c r="AN367" s="12">
        <f t="shared" si="17"/>
        <v>64000</v>
      </c>
    </row>
    <row r="368" spans="1:40" ht="13.5" customHeight="1">
      <c r="A368" s="50" t="s">
        <v>98</v>
      </c>
      <c r="B368" s="32">
        <v>101</v>
      </c>
      <c r="C368" s="33" t="s">
        <v>450</v>
      </c>
      <c r="D368" s="33" t="s">
        <v>397</v>
      </c>
      <c r="E368" s="33" t="s">
        <v>451</v>
      </c>
      <c r="F368" s="32" t="s">
        <v>458</v>
      </c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34">
        <v>1</v>
      </c>
      <c r="AC368" s="34">
        <v>1</v>
      </c>
      <c r="AD368" s="47"/>
      <c r="AE368" s="47"/>
      <c r="AF368" s="47"/>
      <c r="AG368" s="47"/>
      <c r="AH368" s="47"/>
      <c r="AI368" s="47"/>
      <c r="AJ368" s="47"/>
      <c r="AK368" s="47"/>
      <c r="AL368" s="10">
        <f t="shared" si="16"/>
        <v>2</v>
      </c>
      <c r="AM368" s="11">
        <v>32000</v>
      </c>
      <c r="AN368" s="12">
        <f t="shared" si="17"/>
        <v>64000</v>
      </c>
    </row>
    <row r="369" spans="1:40" ht="13.5" customHeight="1">
      <c r="A369" s="50" t="s">
        <v>98</v>
      </c>
      <c r="B369" s="32">
        <v>101</v>
      </c>
      <c r="C369" s="33" t="s">
        <v>837</v>
      </c>
      <c r="D369" s="33" t="s">
        <v>838</v>
      </c>
      <c r="E369" s="33" t="s">
        <v>836</v>
      </c>
      <c r="F369" s="32" t="s">
        <v>808</v>
      </c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34">
        <v>1</v>
      </c>
      <c r="AE369" s="34">
        <v>1</v>
      </c>
      <c r="AF369" s="34">
        <v>1</v>
      </c>
      <c r="AG369" s="34">
        <v>1</v>
      </c>
      <c r="AH369" s="34">
        <v>1</v>
      </c>
      <c r="AI369" s="34">
        <v>1</v>
      </c>
      <c r="AJ369" s="34">
        <v>1</v>
      </c>
      <c r="AK369" s="34">
        <v>1</v>
      </c>
      <c r="AL369" s="10">
        <f t="shared" si="16"/>
        <v>8</v>
      </c>
      <c r="AM369" s="11">
        <v>32000</v>
      </c>
      <c r="AN369" s="12">
        <f t="shared" si="17"/>
        <v>256000</v>
      </c>
    </row>
    <row r="370" spans="1:40" ht="13.5" customHeight="1">
      <c r="A370" s="50" t="s">
        <v>98</v>
      </c>
      <c r="B370" s="32">
        <v>101</v>
      </c>
      <c r="C370" s="33" t="s">
        <v>70</v>
      </c>
      <c r="D370" s="33" t="s">
        <v>197</v>
      </c>
      <c r="E370" s="33" t="s">
        <v>844</v>
      </c>
      <c r="F370" s="32" t="s">
        <v>814</v>
      </c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34">
        <v>1</v>
      </c>
      <c r="AE370" s="34">
        <v>1</v>
      </c>
      <c r="AF370" s="34">
        <v>1</v>
      </c>
      <c r="AG370" s="34">
        <v>1</v>
      </c>
      <c r="AH370" s="34">
        <v>1</v>
      </c>
      <c r="AI370" s="34">
        <v>1</v>
      </c>
      <c r="AJ370" s="34">
        <v>1</v>
      </c>
      <c r="AK370" s="34">
        <v>1</v>
      </c>
      <c r="AL370" s="10">
        <f t="shared" si="16"/>
        <v>8</v>
      </c>
      <c r="AM370" s="11">
        <v>32000</v>
      </c>
      <c r="AN370" s="12">
        <f t="shared" si="17"/>
        <v>256000</v>
      </c>
    </row>
    <row r="371" spans="1:40" ht="13.5" customHeight="1">
      <c r="A371" s="50" t="s">
        <v>98</v>
      </c>
      <c r="B371" s="32">
        <v>102</v>
      </c>
      <c r="C371" s="33" t="s">
        <v>333</v>
      </c>
      <c r="D371" s="33" t="s">
        <v>12</v>
      </c>
      <c r="E371" s="33" t="s">
        <v>496</v>
      </c>
      <c r="F371" s="32" t="s">
        <v>497</v>
      </c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34">
        <v>1</v>
      </c>
      <c r="AC371" s="34">
        <v>1</v>
      </c>
      <c r="AD371" s="34">
        <v>1</v>
      </c>
      <c r="AE371" s="34">
        <v>1</v>
      </c>
      <c r="AF371" s="34">
        <v>1</v>
      </c>
      <c r="AG371" s="34">
        <v>1</v>
      </c>
      <c r="AH371" s="34">
        <v>1</v>
      </c>
      <c r="AI371" s="34">
        <v>1</v>
      </c>
      <c r="AJ371" s="34">
        <v>1</v>
      </c>
      <c r="AK371" s="34">
        <v>1</v>
      </c>
      <c r="AL371" s="10">
        <f t="shared" si="16"/>
        <v>10</v>
      </c>
      <c r="AM371" s="11">
        <v>32000</v>
      </c>
      <c r="AN371" s="12">
        <f t="shared" si="17"/>
        <v>320000</v>
      </c>
    </row>
    <row r="372" spans="1:40" ht="13.5" customHeight="1">
      <c r="A372" s="50" t="s">
        <v>98</v>
      </c>
      <c r="B372" s="32">
        <v>102</v>
      </c>
      <c r="C372" s="33" t="s">
        <v>149</v>
      </c>
      <c r="D372" s="33" t="s">
        <v>19</v>
      </c>
      <c r="E372" s="33" t="s">
        <v>498</v>
      </c>
      <c r="F372" s="32" t="s">
        <v>499</v>
      </c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34">
        <v>1</v>
      </c>
      <c r="AC372" s="34">
        <v>1</v>
      </c>
      <c r="AD372" s="34">
        <v>1</v>
      </c>
      <c r="AE372" s="34">
        <v>1</v>
      </c>
      <c r="AF372" s="34">
        <v>1</v>
      </c>
      <c r="AG372" s="34">
        <v>1</v>
      </c>
      <c r="AH372" s="34">
        <v>1</v>
      </c>
      <c r="AI372" s="34">
        <v>1</v>
      </c>
      <c r="AJ372" s="34">
        <v>1</v>
      </c>
      <c r="AK372" s="34">
        <v>1</v>
      </c>
      <c r="AL372" s="10">
        <f t="shared" ref="AL372:AL403" si="18">SUM(G372:AK372)</f>
        <v>10</v>
      </c>
      <c r="AM372" s="11">
        <v>32000</v>
      </c>
      <c r="AN372" s="12">
        <f t="shared" ref="AN372:AN403" si="19">AM372*AL372</f>
        <v>320000</v>
      </c>
    </row>
    <row r="373" spans="1:40" ht="13.5" customHeight="1">
      <c r="A373" s="50" t="s">
        <v>98</v>
      </c>
      <c r="B373" s="32">
        <v>103</v>
      </c>
      <c r="C373" s="33" t="s">
        <v>8</v>
      </c>
      <c r="D373" s="33" t="s">
        <v>80</v>
      </c>
      <c r="E373" s="33" t="s">
        <v>63</v>
      </c>
      <c r="F373" s="32" t="s">
        <v>81</v>
      </c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  <c r="AG373" s="34">
        <v>1</v>
      </c>
      <c r="AH373" s="47"/>
      <c r="AI373" s="47"/>
      <c r="AJ373" s="47"/>
      <c r="AK373" s="47"/>
      <c r="AL373" s="10">
        <f t="shared" si="18"/>
        <v>1</v>
      </c>
      <c r="AM373" s="11">
        <v>32000</v>
      </c>
      <c r="AN373" s="12">
        <f t="shared" si="19"/>
        <v>32000</v>
      </c>
    </row>
    <row r="374" spans="1:40" ht="13.5" customHeight="1">
      <c r="A374" s="50" t="s">
        <v>98</v>
      </c>
      <c r="B374" s="32">
        <v>103</v>
      </c>
      <c r="C374" s="33" t="s">
        <v>90</v>
      </c>
      <c r="D374" s="33" t="s">
        <v>152</v>
      </c>
      <c r="E374" s="33" t="s">
        <v>43</v>
      </c>
      <c r="F374" s="32" t="s">
        <v>94</v>
      </c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  <c r="AE374" s="47"/>
      <c r="AF374" s="47"/>
      <c r="AG374" s="34">
        <v>1</v>
      </c>
      <c r="AH374" s="47"/>
      <c r="AI374" s="47"/>
      <c r="AJ374" s="47"/>
      <c r="AK374" s="47"/>
      <c r="AL374" s="10">
        <f t="shared" si="18"/>
        <v>1</v>
      </c>
      <c r="AM374" s="11">
        <v>32000</v>
      </c>
      <c r="AN374" s="12">
        <f t="shared" si="19"/>
        <v>32000</v>
      </c>
    </row>
    <row r="375" spans="1:40" ht="13.5" customHeight="1">
      <c r="A375" s="50" t="s">
        <v>98</v>
      </c>
      <c r="B375" s="32">
        <v>103</v>
      </c>
      <c r="C375" s="33" t="s">
        <v>976</v>
      </c>
      <c r="D375" s="33" t="s">
        <v>978</v>
      </c>
      <c r="E375" s="33" t="s">
        <v>449</v>
      </c>
      <c r="F375" s="32" t="s">
        <v>986</v>
      </c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  <c r="AE375" s="47"/>
      <c r="AF375" s="47"/>
      <c r="AG375" s="47"/>
      <c r="AH375" s="34">
        <v>1</v>
      </c>
      <c r="AI375" s="34">
        <v>1</v>
      </c>
      <c r="AJ375" s="34">
        <v>1</v>
      </c>
      <c r="AK375" s="34">
        <v>1</v>
      </c>
      <c r="AL375" s="10">
        <f t="shared" si="18"/>
        <v>4</v>
      </c>
      <c r="AM375" s="11">
        <v>32000</v>
      </c>
      <c r="AN375" s="12">
        <f t="shared" si="19"/>
        <v>128000</v>
      </c>
    </row>
    <row r="376" spans="1:40" ht="13.5" customHeight="1">
      <c r="A376" s="50" t="s">
        <v>98</v>
      </c>
      <c r="B376" s="32">
        <v>103</v>
      </c>
      <c r="C376" s="33" t="s">
        <v>421</v>
      </c>
      <c r="D376" s="33" t="s">
        <v>10</v>
      </c>
      <c r="E376" s="33" t="s">
        <v>898</v>
      </c>
      <c r="F376" s="32" t="s">
        <v>985</v>
      </c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7"/>
      <c r="AE376" s="47"/>
      <c r="AF376" s="47"/>
      <c r="AG376" s="47"/>
      <c r="AH376" s="34">
        <v>1</v>
      </c>
      <c r="AI376" s="34">
        <v>1</v>
      </c>
      <c r="AJ376" s="34">
        <v>1</v>
      </c>
      <c r="AK376" s="34">
        <v>1</v>
      </c>
      <c r="AL376" s="10">
        <f t="shared" si="18"/>
        <v>4</v>
      </c>
      <c r="AM376" s="11">
        <v>32000</v>
      </c>
      <c r="AN376" s="12">
        <f t="shared" si="19"/>
        <v>128000</v>
      </c>
    </row>
    <row r="377" spans="1:40" ht="13.5" customHeight="1">
      <c r="A377" s="50" t="s">
        <v>98</v>
      </c>
      <c r="B377" s="32">
        <v>104</v>
      </c>
      <c r="C377" s="33" t="s">
        <v>86</v>
      </c>
      <c r="D377" s="33" t="s">
        <v>510</v>
      </c>
      <c r="E377" s="33" t="s">
        <v>87</v>
      </c>
      <c r="F377" s="32" t="s">
        <v>88</v>
      </c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  <c r="AE377" s="47"/>
      <c r="AF377" s="47"/>
      <c r="AG377" s="34">
        <v>1</v>
      </c>
      <c r="AH377" s="47"/>
      <c r="AI377" s="47"/>
      <c r="AJ377" s="47"/>
      <c r="AK377" s="47"/>
      <c r="AL377" s="10">
        <f t="shared" si="18"/>
        <v>1</v>
      </c>
      <c r="AM377" s="11">
        <v>32000</v>
      </c>
      <c r="AN377" s="12">
        <f t="shared" si="19"/>
        <v>32000</v>
      </c>
    </row>
    <row r="378" spans="1:40" ht="13.5" customHeight="1">
      <c r="A378" s="50" t="s">
        <v>98</v>
      </c>
      <c r="B378" s="32">
        <v>104</v>
      </c>
      <c r="C378" s="33" t="s">
        <v>95</v>
      </c>
      <c r="D378" s="33" t="s">
        <v>18</v>
      </c>
      <c r="E378" s="33" t="s">
        <v>96</v>
      </c>
      <c r="F378" s="32" t="s">
        <v>97</v>
      </c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  <c r="AD378" s="47"/>
      <c r="AE378" s="47"/>
      <c r="AF378" s="47"/>
      <c r="AG378" s="34">
        <v>1</v>
      </c>
      <c r="AH378" s="47"/>
      <c r="AI378" s="47"/>
      <c r="AJ378" s="47"/>
      <c r="AK378" s="47"/>
      <c r="AL378" s="10">
        <f t="shared" si="18"/>
        <v>1</v>
      </c>
      <c r="AM378" s="11">
        <v>32000</v>
      </c>
      <c r="AN378" s="12">
        <f t="shared" si="19"/>
        <v>32000</v>
      </c>
    </row>
    <row r="379" spans="1:40" ht="13.5" customHeight="1">
      <c r="A379" s="50" t="s">
        <v>98</v>
      </c>
      <c r="B379" s="32">
        <v>104</v>
      </c>
      <c r="C379" s="33" t="s">
        <v>838</v>
      </c>
      <c r="D379" s="33" t="s">
        <v>979</v>
      </c>
      <c r="E379" s="33" t="s">
        <v>980</v>
      </c>
      <c r="F379" s="32" t="s">
        <v>984</v>
      </c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  <c r="AE379" s="47"/>
      <c r="AF379" s="47"/>
      <c r="AG379" s="47"/>
      <c r="AH379" s="34">
        <v>1</v>
      </c>
      <c r="AI379" s="34">
        <v>1</v>
      </c>
      <c r="AJ379" s="34">
        <v>1</v>
      </c>
      <c r="AK379" s="34">
        <v>1</v>
      </c>
      <c r="AL379" s="10">
        <f t="shared" si="18"/>
        <v>4</v>
      </c>
      <c r="AM379" s="11">
        <v>32000</v>
      </c>
      <c r="AN379" s="12">
        <f t="shared" si="19"/>
        <v>128000</v>
      </c>
    </row>
    <row r="380" spans="1:40" ht="13.5" customHeight="1">
      <c r="A380" s="50" t="s">
        <v>98</v>
      </c>
      <c r="B380" s="32">
        <v>104</v>
      </c>
      <c r="C380" s="33" t="s">
        <v>67</v>
      </c>
      <c r="D380" s="33" t="s">
        <v>902</v>
      </c>
      <c r="E380" s="33" t="s">
        <v>30</v>
      </c>
      <c r="F380" s="32" t="s">
        <v>983</v>
      </c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  <c r="AD380" s="47"/>
      <c r="AE380" s="47"/>
      <c r="AF380" s="47"/>
      <c r="AG380" s="47"/>
      <c r="AH380" s="34">
        <v>1</v>
      </c>
      <c r="AI380" s="34">
        <v>1</v>
      </c>
      <c r="AJ380" s="34">
        <v>1</v>
      </c>
      <c r="AK380" s="34">
        <v>1</v>
      </c>
      <c r="AL380" s="10">
        <f t="shared" si="18"/>
        <v>4</v>
      </c>
      <c r="AM380" s="11">
        <v>32000</v>
      </c>
      <c r="AN380" s="12">
        <f t="shared" si="19"/>
        <v>128000</v>
      </c>
    </row>
    <row r="381" spans="1:40" ht="13.5" customHeight="1">
      <c r="A381" s="50" t="s">
        <v>98</v>
      </c>
      <c r="B381" s="32">
        <v>105</v>
      </c>
      <c r="C381" s="33" t="s">
        <v>759</v>
      </c>
      <c r="D381" s="33" t="s">
        <v>232</v>
      </c>
      <c r="E381" s="33" t="s">
        <v>494</v>
      </c>
      <c r="F381" s="32" t="s">
        <v>760</v>
      </c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34">
        <v>1</v>
      </c>
      <c r="AC381" s="34">
        <v>1</v>
      </c>
      <c r="AD381" s="34">
        <v>1</v>
      </c>
      <c r="AE381" s="34">
        <v>1</v>
      </c>
      <c r="AF381" s="34">
        <v>1</v>
      </c>
      <c r="AG381" s="34">
        <v>1</v>
      </c>
      <c r="AH381" s="34">
        <v>1</v>
      </c>
      <c r="AI381" s="34">
        <v>1</v>
      </c>
      <c r="AJ381" s="34">
        <v>1</v>
      </c>
      <c r="AK381" s="34">
        <v>1</v>
      </c>
      <c r="AL381" s="10">
        <f t="shared" si="18"/>
        <v>10</v>
      </c>
      <c r="AM381" s="11">
        <v>32000</v>
      </c>
      <c r="AN381" s="12">
        <f t="shared" si="19"/>
        <v>320000</v>
      </c>
    </row>
    <row r="382" spans="1:40" ht="13.5" customHeight="1">
      <c r="A382" s="50" t="s">
        <v>98</v>
      </c>
      <c r="B382" s="32">
        <v>105</v>
      </c>
      <c r="C382" s="33" t="s">
        <v>761</v>
      </c>
      <c r="D382" s="33" t="s">
        <v>762</v>
      </c>
      <c r="E382" s="33" t="s">
        <v>289</v>
      </c>
      <c r="F382" s="32" t="s">
        <v>763</v>
      </c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34">
        <v>1</v>
      </c>
      <c r="AC382" s="34">
        <v>1</v>
      </c>
      <c r="AD382" s="34">
        <v>1</v>
      </c>
      <c r="AE382" s="34">
        <v>1</v>
      </c>
      <c r="AF382" s="34">
        <v>1</v>
      </c>
      <c r="AG382" s="34">
        <v>1</v>
      </c>
      <c r="AH382" s="34">
        <v>1</v>
      </c>
      <c r="AI382" s="34">
        <v>1</v>
      </c>
      <c r="AJ382" s="34">
        <v>1</v>
      </c>
      <c r="AK382" s="34">
        <v>1</v>
      </c>
      <c r="AL382" s="10">
        <f t="shared" si="18"/>
        <v>10</v>
      </c>
      <c r="AM382" s="11">
        <v>32000</v>
      </c>
      <c r="AN382" s="12">
        <f t="shared" si="19"/>
        <v>320000</v>
      </c>
    </row>
    <row r="383" spans="1:40" ht="13.5" customHeight="1">
      <c r="A383" s="50" t="s">
        <v>98</v>
      </c>
      <c r="B383" s="32">
        <v>106</v>
      </c>
      <c r="C383" s="33" t="s">
        <v>152</v>
      </c>
      <c r="D383" s="33" t="s">
        <v>675</v>
      </c>
      <c r="E383" s="33" t="s">
        <v>22</v>
      </c>
      <c r="F383" s="32" t="s">
        <v>896</v>
      </c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34">
        <v>1</v>
      </c>
      <c r="AC383" s="34">
        <v>1</v>
      </c>
      <c r="AD383" s="34">
        <v>1</v>
      </c>
      <c r="AE383" s="34">
        <v>1</v>
      </c>
      <c r="AF383" s="34">
        <v>1</v>
      </c>
      <c r="AG383" s="34">
        <v>1</v>
      </c>
      <c r="AH383" s="47"/>
      <c r="AI383" s="47"/>
      <c r="AJ383" s="47"/>
      <c r="AK383" s="47"/>
      <c r="AL383" s="10">
        <f t="shared" si="18"/>
        <v>6</v>
      </c>
      <c r="AM383" s="11">
        <v>32000</v>
      </c>
      <c r="AN383" s="12">
        <f t="shared" si="19"/>
        <v>192000</v>
      </c>
    </row>
    <row r="384" spans="1:40" ht="13.5" customHeight="1">
      <c r="A384" s="50" t="s">
        <v>98</v>
      </c>
      <c r="B384" s="32">
        <v>106</v>
      </c>
      <c r="C384" s="33" t="s">
        <v>890</v>
      </c>
      <c r="D384" s="33" t="s">
        <v>891</v>
      </c>
      <c r="E384" s="33" t="s">
        <v>65</v>
      </c>
      <c r="F384" s="32" t="s">
        <v>892</v>
      </c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34">
        <v>1</v>
      </c>
      <c r="AC384" s="34">
        <v>1</v>
      </c>
      <c r="AD384" s="34">
        <v>1</v>
      </c>
      <c r="AE384" s="34">
        <v>1</v>
      </c>
      <c r="AF384" s="34">
        <v>1</v>
      </c>
      <c r="AG384" s="34">
        <v>1</v>
      </c>
      <c r="AH384" s="34">
        <v>1</v>
      </c>
      <c r="AI384" s="34">
        <v>1</v>
      </c>
      <c r="AJ384" s="34">
        <v>1</v>
      </c>
      <c r="AK384" s="34">
        <v>1</v>
      </c>
      <c r="AL384" s="10">
        <f t="shared" si="18"/>
        <v>10</v>
      </c>
      <c r="AM384" s="11">
        <v>32000</v>
      </c>
      <c r="AN384" s="12">
        <f t="shared" si="19"/>
        <v>320000</v>
      </c>
    </row>
    <row r="385" spans="1:40" ht="13.5" customHeight="1">
      <c r="A385" s="50" t="s">
        <v>98</v>
      </c>
      <c r="B385" s="32">
        <v>107</v>
      </c>
      <c r="C385" s="33" t="s">
        <v>974</v>
      </c>
      <c r="D385" s="33" t="s">
        <v>303</v>
      </c>
      <c r="E385" s="33" t="s">
        <v>242</v>
      </c>
      <c r="F385" s="32" t="s">
        <v>989</v>
      </c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34">
        <v>1</v>
      </c>
      <c r="AC385" s="34">
        <v>1</v>
      </c>
      <c r="AD385" s="34">
        <v>1</v>
      </c>
      <c r="AE385" s="34">
        <v>1</v>
      </c>
      <c r="AF385" s="34">
        <v>1</v>
      </c>
      <c r="AG385" s="34">
        <v>1</v>
      </c>
      <c r="AH385" s="34">
        <v>1</v>
      </c>
      <c r="AI385" s="34">
        <v>1</v>
      </c>
      <c r="AJ385" s="34">
        <v>1</v>
      </c>
      <c r="AK385" s="34">
        <v>1</v>
      </c>
      <c r="AL385" s="10">
        <f t="shared" si="18"/>
        <v>10</v>
      </c>
      <c r="AM385" s="11">
        <v>32000</v>
      </c>
      <c r="AN385" s="12">
        <f t="shared" si="19"/>
        <v>320000</v>
      </c>
    </row>
    <row r="386" spans="1:40" ht="13.5" customHeight="1">
      <c r="A386" s="50" t="s">
        <v>98</v>
      </c>
      <c r="B386" s="32">
        <v>107</v>
      </c>
      <c r="C386" s="33" t="s">
        <v>446</v>
      </c>
      <c r="D386" s="33" t="s">
        <v>103</v>
      </c>
      <c r="E386" s="33" t="s">
        <v>991</v>
      </c>
      <c r="F386" s="32" t="s">
        <v>998</v>
      </c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34">
        <v>1</v>
      </c>
      <c r="AC386" s="34">
        <v>1</v>
      </c>
      <c r="AD386" s="34">
        <v>1</v>
      </c>
      <c r="AE386" s="34">
        <v>1</v>
      </c>
      <c r="AF386" s="34">
        <v>1</v>
      </c>
      <c r="AG386" s="34">
        <v>1</v>
      </c>
      <c r="AH386" s="34">
        <v>1</v>
      </c>
      <c r="AI386" s="34">
        <v>1</v>
      </c>
      <c r="AJ386" s="34">
        <v>1</v>
      </c>
      <c r="AK386" s="34">
        <v>1</v>
      </c>
      <c r="AL386" s="10">
        <f t="shared" si="18"/>
        <v>10</v>
      </c>
      <c r="AM386" s="11">
        <v>32000</v>
      </c>
      <c r="AN386" s="12">
        <f t="shared" si="19"/>
        <v>320000</v>
      </c>
    </row>
    <row r="387" spans="1:40" ht="13.5" customHeight="1">
      <c r="A387" s="50" t="s">
        <v>98</v>
      </c>
      <c r="B387" s="32">
        <v>108</v>
      </c>
      <c r="C387" s="33" t="s">
        <v>764</v>
      </c>
      <c r="D387" s="33" t="s">
        <v>764</v>
      </c>
      <c r="E387" s="33" t="s">
        <v>437</v>
      </c>
      <c r="F387" s="32" t="s">
        <v>765</v>
      </c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34">
        <v>1</v>
      </c>
      <c r="AC387" s="34">
        <v>1</v>
      </c>
      <c r="AD387" s="34">
        <v>1</v>
      </c>
      <c r="AE387" s="34">
        <v>1</v>
      </c>
      <c r="AF387" s="34">
        <v>1</v>
      </c>
      <c r="AG387" s="34">
        <v>1</v>
      </c>
      <c r="AH387" s="34">
        <v>1</v>
      </c>
      <c r="AI387" s="34">
        <v>1</v>
      </c>
      <c r="AJ387" s="34">
        <v>1</v>
      </c>
      <c r="AK387" s="34">
        <v>1</v>
      </c>
      <c r="AL387" s="10">
        <f t="shared" si="18"/>
        <v>10</v>
      </c>
      <c r="AM387" s="11">
        <v>32000</v>
      </c>
      <c r="AN387" s="12">
        <f t="shared" si="19"/>
        <v>320000</v>
      </c>
    </row>
    <row r="388" spans="1:40" ht="13.5" customHeight="1">
      <c r="A388" s="50" t="s">
        <v>98</v>
      </c>
      <c r="B388" s="32">
        <v>108</v>
      </c>
      <c r="C388" s="33" t="s">
        <v>766</v>
      </c>
      <c r="D388" s="33" t="s">
        <v>767</v>
      </c>
      <c r="E388" s="33" t="s">
        <v>768</v>
      </c>
      <c r="F388" s="32" t="s">
        <v>769</v>
      </c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34">
        <v>1</v>
      </c>
      <c r="AC388" s="34">
        <v>1</v>
      </c>
      <c r="AD388" s="34">
        <v>1</v>
      </c>
      <c r="AE388" s="34">
        <v>1</v>
      </c>
      <c r="AF388" s="34">
        <v>1</v>
      </c>
      <c r="AG388" s="34">
        <v>1</v>
      </c>
      <c r="AH388" s="34">
        <v>1</v>
      </c>
      <c r="AI388" s="34">
        <v>1</v>
      </c>
      <c r="AJ388" s="34">
        <v>1</v>
      </c>
      <c r="AK388" s="34">
        <v>1</v>
      </c>
      <c r="AL388" s="10">
        <f t="shared" si="18"/>
        <v>10</v>
      </c>
      <c r="AM388" s="11">
        <v>32000</v>
      </c>
      <c r="AN388" s="12">
        <f t="shared" si="19"/>
        <v>320000</v>
      </c>
    </row>
    <row r="389" spans="1:40" ht="13.5" customHeight="1">
      <c r="A389" s="50" t="s">
        <v>98</v>
      </c>
      <c r="B389" s="32">
        <v>109</v>
      </c>
      <c r="C389" s="33" t="s">
        <v>788</v>
      </c>
      <c r="D389" s="33" t="s">
        <v>149</v>
      </c>
      <c r="E389" s="33" t="s">
        <v>419</v>
      </c>
      <c r="F389" s="32" t="s">
        <v>822</v>
      </c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34">
        <v>1</v>
      </c>
      <c r="AC389" s="34">
        <v>1</v>
      </c>
      <c r="AD389" s="34">
        <v>1</v>
      </c>
      <c r="AE389" s="34">
        <v>1</v>
      </c>
      <c r="AF389" s="34">
        <v>1</v>
      </c>
      <c r="AG389" s="34">
        <v>1</v>
      </c>
      <c r="AH389" s="34">
        <v>1</v>
      </c>
      <c r="AI389" s="34">
        <v>1</v>
      </c>
      <c r="AJ389" s="34">
        <v>1</v>
      </c>
      <c r="AK389" s="34">
        <v>1</v>
      </c>
      <c r="AL389" s="10">
        <f t="shared" si="18"/>
        <v>10</v>
      </c>
      <c r="AM389" s="11">
        <v>32000</v>
      </c>
      <c r="AN389" s="12">
        <f t="shared" si="19"/>
        <v>320000</v>
      </c>
    </row>
    <row r="390" spans="1:40" ht="13.5" customHeight="1">
      <c r="A390" s="50" t="s">
        <v>98</v>
      </c>
      <c r="B390" s="32">
        <v>109</v>
      </c>
      <c r="C390" s="33" t="s">
        <v>855</v>
      </c>
      <c r="D390" s="33" t="s">
        <v>658</v>
      </c>
      <c r="E390" s="33" t="s">
        <v>880</v>
      </c>
      <c r="F390" s="32" t="s">
        <v>881</v>
      </c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34">
        <v>1</v>
      </c>
      <c r="AC390" s="34">
        <v>1</v>
      </c>
      <c r="AD390" s="34">
        <v>1</v>
      </c>
      <c r="AE390" s="34">
        <v>1</v>
      </c>
      <c r="AF390" s="34">
        <v>1</v>
      </c>
      <c r="AG390" s="34">
        <v>1</v>
      </c>
      <c r="AH390" s="34">
        <v>1</v>
      </c>
      <c r="AI390" s="34">
        <v>1</v>
      </c>
      <c r="AJ390" s="34">
        <v>1</v>
      </c>
      <c r="AK390" s="34">
        <v>1</v>
      </c>
      <c r="AL390" s="10">
        <f t="shared" si="18"/>
        <v>10</v>
      </c>
      <c r="AM390" s="11">
        <v>32000</v>
      </c>
      <c r="AN390" s="12">
        <f t="shared" si="19"/>
        <v>320000</v>
      </c>
    </row>
    <row r="391" spans="1:40" ht="13.5" customHeight="1">
      <c r="A391" s="50" t="s">
        <v>98</v>
      </c>
      <c r="B391" s="32">
        <v>110</v>
      </c>
      <c r="C391" s="33" t="s">
        <v>362</v>
      </c>
      <c r="D391" s="33" t="s">
        <v>363</v>
      </c>
      <c r="E391" s="33" t="s">
        <v>361</v>
      </c>
      <c r="F391" s="32" t="s">
        <v>367</v>
      </c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34">
        <v>1</v>
      </c>
      <c r="AC391" s="34">
        <v>1</v>
      </c>
      <c r="AD391" s="47"/>
      <c r="AE391" s="47"/>
      <c r="AF391" s="47"/>
      <c r="AG391" s="47"/>
      <c r="AH391" s="47"/>
      <c r="AI391" s="47"/>
      <c r="AJ391" s="47"/>
      <c r="AK391" s="47"/>
      <c r="AL391" s="10">
        <f t="shared" si="18"/>
        <v>2</v>
      </c>
      <c r="AM391" s="11">
        <v>32000</v>
      </c>
      <c r="AN391" s="12">
        <f t="shared" si="19"/>
        <v>64000</v>
      </c>
    </row>
    <row r="392" spans="1:40" ht="13.5" customHeight="1">
      <c r="A392" s="50" t="s">
        <v>98</v>
      </c>
      <c r="B392" s="32">
        <v>110</v>
      </c>
      <c r="C392" s="33" t="s">
        <v>141</v>
      </c>
      <c r="D392" s="33" t="s">
        <v>364</v>
      </c>
      <c r="E392" s="33" t="s">
        <v>365</v>
      </c>
      <c r="F392" s="32" t="s">
        <v>770</v>
      </c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34">
        <v>1</v>
      </c>
      <c r="AC392" s="34">
        <v>1</v>
      </c>
      <c r="AD392" s="47"/>
      <c r="AE392" s="47"/>
      <c r="AF392" s="47"/>
      <c r="AG392" s="47"/>
      <c r="AH392" s="47"/>
      <c r="AI392" s="47"/>
      <c r="AJ392" s="47"/>
      <c r="AK392" s="47"/>
      <c r="AL392" s="10">
        <f t="shared" si="18"/>
        <v>2</v>
      </c>
      <c r="AM392" s="11">
        <v>32000</v>
      </c>
      <c r="AN392" s="12">
        <f t="shared" si="19"/>
        <v>64000</v>
      </c>
    </row>
    <row r="393" spans="1:40" ht="13.5" customHeight="1">
      <c r="A393" s="50" t="s">
        <v>98</v>
      </c>
      <c r="B393" s="32">
        <v>111</v>
      </c>
      <c r="C393" s="33" t="s">
        <v>67</v>
      </c>
      <c r="D393" s="33" t="s">
        <v>10</v>
      </c>
      <c r="E393" s="33" t="s">
        <v>374</v>
      </c>
      <c r="F393" s="32" t="s">
        <v>390</v>
      </c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34">
        <v>1</v>
      </c>
      <c r="AC393" s="34">
        <v>1</v>
      </c>
      <c r="AD393" s="47"/>
      <c r="AE393" s="47"/>
      <c r="AF393" s="47"/>
      <c r="AG393" s="47"/>
      <c r="AH393" s="47"/>
      <c r="AI393" s="47"/>
      <c r="AJ393" s="47"/>
      <c r="AK393" s="47"/>
      <c r="AL393" s="10">
        <f t="shared" si="18"/>
        <v>2</v>
      </c>
      <c r="AM393" s="11">
        <v>32000</v>
      </c>
      <c r="AN393" s="12">
        <f t="shared" si="19"/>
        <v>64000</v>
      </c>
    </row>
    <row r="394" spans="1:40" ht="13.5" customHeight="1">
      <c r="A394" s="50" t="s">
        <v>98</v>
      </c>
      <c r="B394" s="32">
        <v>111</v>
      </c>
      <c r="C394" s="33" t="s">
        <v>375</v>
      </c>
      <c r="D394" s="33" t="s">
        <v>376</v>
      </c>
      <c r="E394" s="33" t="s">
        <v>374</v>
      </c>
      <c r="F394" s="32" t="s">
        <v>389</v>
      </c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34">
        <v>1</v>
      </c>
      <c r="AC394" s="34">
        <v>1</v>
      </c>
      <c r="AD394" s="47"/>
      <c r="AE394" s="47"/>
      <c r="AF394" s="47"/>
      <c r="AG394" s="47"/>
      <c r="AH394" s="47"/>
      <c r="AI394" s="47"/>
      <c r="AJ394" s="47"/>
      <c r="AK394" s="47"/>
      <c r="AL394" s="10">
        <f t="shared" si="18"/>
        <v>2</v>
      </c>
      <c r="AM394" s="11">
        <v>32000</v>
      </c>
      <c r="AN394" s="12">
        <f t="shared" si="19"/>
        <v>64000</v>
      </c>
    </row>
    <row r="395" spans="1:40" ht="13.5" customHeight="1">
      <c r="A395" s="50" t="s">
        <v>98</v>
      </c>
      <c r="B395" s="32">
        <v>111</v>
      </c>
      <c r="C395" s="33" t="s">
        <v>870</v>
      </c>
      <c r="D395" s="33" t="s">
        <v>871</v>
      </c>
      <c r="E395" s="33" t="s">
        <v>212</v>
      </c>
      <c r="F395" s="32" t="s">
        <v>875</v>
      </c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34">
        <v>1</v>
      </c>
      <c r="AE395" s="34">
        <v>1</v>
      </c>
      <c r="AF395" s="34">
        <v>1</v>
      </c>
      <c r="AG395" s="34">
        <v>1</v>
      </c>
      <c r="AH395" s="34">
        <v>1</v>
      </c>
      <c r="AI395" s="34">
        <v>1</v>
      </c>
      <c r="AJ395" s="34">
        <v>1</v>
      </c>
      <c r="AK395" s="34">
        <v>1</v>
      </c>
      <c r="AL395" s="10">
        <f t="shared" si="18"/>
        <v>8</v>
      </c>
      <c r="AM395" s="11">
        <v>32000</v>
      </c>
      <c r="AN395" s="12">
        <f t="shared" si="19"/>
        <v>256000</v>
      </c>
    </row>
    <row r="396" spans="1:40" ht="13.5" customHeight="1">
      <c r="A396" s="50" t="s">
        <v>98</v>
      </c>
      <c r="B396" s="32">
        <v>111</v>
      </c>
      <c r="C396" s="33" t="s">
        <v>414</v>
      </c>
      <c r="D396" s="33" t="s">
        <v>261</v>
      </c>
      <c r="E396" s="33" t="s">
        <v>259</v>
      </c>
      <c r="F396" s="32" t="s">
        <v>873</v>
      </c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34">
        <v>1</v>
      </c>
      <c r="AE396" s="34">
        <v>1</v>
      </c>
      <c r="AF396" s="34">
        <v>1</v>
      </c>
      <c r="AG396" s="34">
        <v>1</v>
      </c>
      <c r="AH396" s="34">
        <v>1</v>
      </c>
      <c r="AI396" s="34">
        <v>1</v>
      </c>
      <c r="AJ396" s="34">
        <v>1</v>
      </c>
      <c r="AK396" s="34">
        <v>1</v>
      </c>
      <c r="AL396" s="10">
        <f t="shared" si="18"/>
        <v>8</v>
      </c>
      <c r="AM396" s="11">
        <v>32000</v>
      </c>
      <c r="AN396" s="12">
        <f t="shared" si="19"/>
        <v>256000</v>
      </c>
    </row>
    <row r="397" spans="1:40" ht="13.5" customHeight="1">
      <c r="A397" s="50" t="s">
        <v>98</v>
      </c>
      <c r="B397" s="32">
        <v>112</v>
      </c>
      <c r="C397" s="33" t="s">
        <v>771</v>
      </c>
      <c r="D397" s="33" t="s">
        <v>672</v>
      </c>
      <c r="E397" s="33" t="s">
        <v>602</v>
      </c>
      <c r="F397" s="32" t="s">
        <v>772</v>
      </c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34">
        <v>1</v>
      </c>
      <c r="AC397" s="34">
        <v>1</v>
      </c>
      <c r="AD397" s="34">
        <v>1</v>
      </c>
      <c r="AE397" s="34">
        <v>1</v>
      </c>
      <c r="AF397" s="34">
        <v>1</v>
      </c>
      <c r="AG397" s="47"/>
      <c r="AH397" s="47"/>
      <c r="AI397" s="47"/>
      <c r="AJ397" s="47"/>
      <c r="AK397" s="47"/>
      <c r="AL397" s="10">
        <f t="shared" si="18"/>
        <v>5</v>
      </c>
      <c r="AM397" s="11">
        <v>32000</v>
      </c>
      <c r="AN397" s="12">
        <f t="shared" si="19"/>
        <v>160000</v>
      </c>
    </row>
    <row r="398" spans="1:40" ht="13.5" customHeight="1">
      <c r="A398" s="50" t="s">
        <v>98</v>
      </c>
      <c r="B398" s="32">
        <v>112</v>
      </c>
      <c r="C398" s="33" t="s">
        <v>773</v>
      </c>
      <c r="D398" s="33" t="s">
        <v>774</v>
      </c>
      <c r="E398" s="33" t="s">
        <v>23</v>
      </c>
      <c r="F398" s="32" t="s">
        <v>775</v>
      </c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34">
        <v>1</v>
      </c>
      <c r="AC398" s="34">
        <v>1</v>
      </c>
      <c r="AD398" s="34">
        <v>1</v>
      </c>
      <c r="AE398" s="34">
        <v>1</v>
      </c>
      <c r="AF398" s="34">
        <v>1</v>
      </c>
      <c r="AG398" s="47"/>
      <c r="AH398" s="47"/>
      <c r="AI398" s="47"/>
      <c r="AJ398" s="47"/>
      <c r="AK398" s="47"/>
      <c r="AL398" s="10">
        <f t="shared" si="18"/>
        <v>5</v>
      </c>
      <c r="AM398" s="11">
        <v>32000</v>
      </c>
      <c r="AN398" s="12">
        <f t="shared" si="19"/>
        <v>160000</v>
      </c>
    </row>
    <row r="399" spans="1:40" ht="13.5" customHeight="1">
      <c r="A399" s="50" t="s">
        <v>98</v>
      </c>
      <c r="B399" s="32">
        <v>112</v>
      </c>
      <c r="C399" s="33" t="s">
        <v>21</v>
      </c>
      <c r="D399" s="33" t="s">
        <v>992</v>
      </c>
      <c r="E399" s="33" t="s">
        <v>100</v>
      </c>
      <c r="F399" s="32" t="s">
        <v>997</v>
      </c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  <c r="AE399" s="47"/>
      <c r="AF399" s="47"/>
      <c r="AG399" s="47"/>
      <c r="AH399" s="34">
        <v>1</v>
      </c>
      <c r="AI399" s="34">
        <v>1</v>
      </c>
      <c r="AJ399" s="34">
        <v>1</v>
      </c>
      <c r="AK399" s="34">
        <v>1</v>
      </c>
      <c r="AL399" s="10">
        <f t="shared" si="18"/>
        <v>4</v>
      </c>
      <c r="AM399" s="11">
        <v>32000</v>
      </c>
      <c r="AN399" s="12">
        <f t="shared" si="19"/>
        <v>128000</v>
      </c>
    </row>
    <row r="400" spans="1:40" ht="13.5" customHeight="1">
      <c r="A400" s="50" t="s">
        <v>98</v>
      </c>
      <c r="B400" s="32">
        <v>112</v>
      </c>
      <c r="C400" s="33" t="s">
        <v>397</v>
      </c>
      <c r="D400" s="33" t="s">
        <v>520</v>
      </c>
      <c r="E400" s="33" t="s">
        <v>24</v>
      </c>
      <c r="F400" s="32" t="s">
        <v>996</v>
      </c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7"/>
      <c r="AE400" s="47"/>
      <c r="AF400" s="47"/>
      <c r="AG400" s="47"/>
      <c r="AH400" s="34">
        <v>1</v>
      </c>
      <c r="AI400" s="34">
        <v>1</v>
      </c>
      <c r="AJ400" s="34">
        <v>1</v>
      </c>
      <c r="AK400" s="34">
        <v>1</v>
      </c>
      <c r="AL400" s="10">
        <f t="shared" si="18"/>
        <v>4</v>
      </c>
      <c r="AM400" s="11">
        <v>32000</v>
      </c>
      <c r="AN400" s="12">
        <f t="shared" si="19"/>
        <v>128000</v>
      </c>
    </row>
    <row r="401" spans="1:40" ht="13.5" customHeight="1">
      <c r="A401" s="50" t="s">
        <v>98</v>
      </c>
      <c r="B401" s="32">
        <v>113</v>
      </c>
      <c r="C401" s="33" t="s">
        <v>776</v>
      </c>
      <c r="D401" s="33" t="s">
        <v>193</v>
      </c>
      <c r="E401" s="33" t="s">
        <v>30</v>
      </c>
      <c r="F401" s="32" t="s">
        <v>408</v>
      </c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34">
        <v>1</v>
      </c>
      <c r="AC401" s="34">
        <v>1</v>
      </c>
      <c r="AD401" s="34">
        <v>1</v>
      </c>
      <c r="AE401" s="34">
        <v>1</v>
      </c>
      <c r="AF401" s="34">
        <v>1</v>
      </c>
      <c r="AG401" s="34">
        <v>1</v>
      </c>
      <c r="AH401" s="47"/>
      <c r="AI401" s="47"/>
      <c r="AJ401" s="47"/>
      <c r="AK401" s="47"/>
      <c r="AL401" s="10">
        <f t="shared" si="18"/>
        <v>6</v>
      </c>
      <c r="AM401" s="11">
        <v>32000</v>
      </c>
      <c r="AN401" s="12">
        <f t="shared" si="19"/>
        <v>192000</v>
      </c>
    </row>
    <row r="402" spans="1:40" ht="13.5" customHeight="1">
      <c r="A402" s="50" t="s">
        <v>98</v>
      </c>
      <c r="B402" s="32">
        <v>113</v>
      </c>
      <c r="C402" s="33" t="s">
        <v>405</v>
      </c>
      <c r="D402" s="33" t="s">
        <v>21</v>
      </c>
      <c r="E402" s="33" t="s">
        <v>406</v>
      </c>
      <c r="F402" s="32" t="s">
        <v>407</v>
      </c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34">
        <v>1</v>
      </c>
      <c r="AC402" s="34">
        <v>1</v>
      </c>
      <c r="AD402" s="34">
        <v>1</v>
      </c>
      <c r="AE402" s="34">
        <v>1</v>
      </c>
      <c r="AF402" s="34">
        <v>1</v>
      </c>
      <c r="AG402" s="34">
        <v>1</v>
      </c>
      <c r="AH402" s="47"/>
      <c r="AI402" s="47"/>
      <c r="AJ402" s="47"/>
      <c r="AK402" s="47"/>
      <c r="AL402" s="10">
        <f t="shared" si="18"/>
        <v>6</v>
      </c>
      <c r="AM402" s="11">
        <v>32000</v>
      </c>
      <c r="AN402" s="12">
        <f t="shared" si="19"/>
        <v>192000</v>
      </c>
    </row>
    <row r="403" spans="1:40" ht="13.5" customHeight="1">
      <c r="A403" s="50" t="s">
        <v>98</v>
      </c>
      <c r="B403" s="32">
        <v>113</v>
      </c>
      <c r="C403" s="33" t="s">
        <v>981</v>
      </c>
      <c r="D403" s="33" t="s">
        <v>303</v>
      </c>
      <c r="E403" s="33" t="s">
        <v>359</v>
      </c>
      <c r="F403" s="32" t="s">
        <v>982</v>
      </c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  <c r="AE403" s="47"/>
      <c r="AF403" s="47"/>
      <c r="AG403" s="47"/>
      <c r="AH403" s="34">
        <v>1</v>
      </c>
      <c r="AI403" s="34">
        <v>1</v>
      </c>
      <c r="AJ403" s="34">
        <v>1</v>
      </c>
      <c r="AK403" s="34">
        <v>1</v>
      </c>
      <c r="AL403" s="10">
        <f t="shared" si="18"/>
        <v>4</v>
      </c>
      <c r="AM403" s="11">
        <v>32000</v>
      </c>
      <c r="AN403" s="12">
        <f t="shared" si="19"/>
        <v>128000</v>
      </c>
    </row>
    <row r="404" spans="1:40" ht="13.5" customHeight="1">
      <c r="A404" s="50" t="s">
        <v>98</v>
      </c>
      <c r="B404" s="32">
        <v>113</v>
      </c>
      <c r="C404" s="33" t="s">
        <v>210</v>
      </c>
      <c r="D404" s="33" t="s">
        <v>863</v>
      </c>
      <c r="E404" s="33" t="s">
        <v>990</v>
      </c>
      <c r="F404" s="32" t="s">
        <v>999</v>
      </c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  <c r="AE404" s="47"/>
      <c r="AF404" s="47"/>
      <c r="AG404" s="47"/>
      <c r="AH404" s="34">
        <v>1</v>
      </c>
      <c r="AI404" s="34">
        <v>1</v>
      </c>
      <c r="AJ404" s="34">
        <v>1</v>
      </c>
      <c r="AK404" s="34">
        <v>1</v>
      </c>
      <c r="AL404" s="10">
        <f t="shared" ref="AL404:AL420" si="20">SUM(G404:AK404)</f>
        <v>4</v>
      </c>
      <c r="AM404" s="11">
        <v>32000</v>
      </c>
      <c r="AN404" s="12">
        <f t="shared" ref="AN404:AN420" si="21">AM404*AL404</f>
        <v>128000</v>
      </c>
    </row>
    <row r="405" spans="1:40" ht="13.5" customHeight="1">
      <c r="A405" s="50" t="s">
        <v>98</v>
      </c>
      <c r="B405" s="32">
        <v>114</v>
      </c>
      <c r="C405" s="33" t="s">
        <v>378</v>
      </c>
      <c r="D405" s="33" t="s">
        <v>777</v>
      </c>
      <c r="E405" s="33" t="s">
        <v>68</v>
      </c>
      <c r="F405" s="32" t="s">
        <v>387</v>
      </c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34">
        <v>1</v>
      </c>
      <c r="AC405" s="34">
        <v>1</v>
      </c>
      <c r="AD405" s="34">
        <v>1</v>
      </c>
      <c r="AE405" s="34">
        <v>1</v>
      </c>
      <c r="AF405" s="34">
        <v>1</v>
      </c>
      <c r="AG405" s="34">
        <v>1</v>
      </c>
      <c r="AH405" s="47"/>
      <c r="AI405" s="47"/>
      <c r="AJ405" s="47"/>
      <c r="AK405" s="47"/>
      <c r="AL405" s="10">
        <f t="shared" si="20"/>
        <v>6</v>
      </c>
      <c r="AM405" s="11">
        <v>32000</v>
      </c>
      <c r="AN405" s="12">
        <f t="shared" si="21"/>
        <v>192000</v>
      </c>
    </row>
    <row r="406" spans="1:40" ht="13.5" customHeight="1">
      <c r="A406" s="50" t="s">
        <v>98</v>
      </c>
      <c r="B406" s="32">
        <v>114</v>
      </c>
      <c r="C406" s="33" t="s">
        <v>131</v>
      </c>
      <c r="D406" s="33" t="s">
        <v>380</v>
      </c>
      <c r="E406" s="33" t="s">
        <v>65</v>
      </c>
      <c r="F406" s="32" t="s">
        <v>386</v>
      </c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34">
        <v>1</v>
      </c>
      <c r="AC406" s="34">
        <v>1</v>
      </c>
      <c r="AD406" s="34">
        <v>1</v>
      </c>
      <c r="AE406" s="34">
        <v>1</v>
      </c>
      <c r="AF406" s="34">
        <v>1</v>
      </c>
      <c r="AG406" s="34">
        <v>1</v>
      </c>
      <c r="AH406" s="47"/>
      <c r="AI406" s="47"/>
      <c r="AJ406" s="47"/>
      <c r="AK406" s="47"/>
      <c r="AL406" s="10">
        <f t="shared" si="20"/>
        <v>6</v>
      </c>
      <c r="AM406" s="11">
        <v>32000</v>
      </c>
      <c r="AN406" s="12">
        <f t="shared" si="21"/>
        <v>192000</v>
      </c>
    </row>
    <row r="407" spans="1:40" ht="13.5" customHeight="1">
      <c r="A407" s="50" t="s">
        <v>98</v>
      </c>
      <c r="B407" s="32">
        <v>114</v>
      </c>
      <c r="C407" s="33" t="s">
        <v>749</v>
      </c>
      <c r="D407" s="33" t="s">
        <v>749</v>
      </c>
      <c r="E407" s="33" t="s">
        <v>328</v>
      </c>
      <c r="F407" s="32" t="s">
        <v>995</v>
      </c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  <c r="AE407" s="47"/>
      <c r="AF407" s="47"/>
      <c r="AG407" s="47"/>
      <c r="AH407" s="34">
        <v>1</v>
      </c>
      <c r="AI407" s="34">
        <v>1</v>
      </c>
      <c r="AJ407" s="34">
        <v>1</v>
      </c>
      <c r="AK407" s="34">
        <v>1</v>
      </c>
      <c r="AL407" s="10">
        <f t="shared" si="20"/>
        <v>4</v>
      </c>
      <c r="AM407" s="11">
        <v>32000</v>
      </c>
      <c r="AN407" s="12">
        <f t="shared" si="21"/>
        <v>128000</v>
      </c>
    </row>
    <row r="408" spans="1:40" ht="13.5" customHeight="1">
      <c r="A408" s="50" t="s">
        <v>98</v>
      </c>
      <c r="B408" s="32">
        <v>114</v>
      </c>
      <c r="C408" s="33" t="s">
        <v>993</v>
      </c>
      <c r="D408" s="33" t="s">
        <v>490</v>
      </c>
      <c r="E408" s="33" t="s">
        <v>602</v>
      </c>
      <c r="F408" s="32" t="s">
        <v>994</v>
      </c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  <c r="AE408" s="47"/>
      <c r="AF408" s="47"/>
      <c r="AG408" s="47"/>
      <c r="AH408" s="34">
        <v>1</v>
      </c>
      <c r="AI408" s="34">
        <v>1</v>
      </c>
      <c r="AJ408" s="34">
        <v>1</v>
      </c>
      <c r="AK408" s="34">
        <v>1</v>
      </c>
      <c r="AL408" s="10">
        <f t="shared" si="20"/>
        <v>4</v>
      </c>
      <c r="AM408" s="11">
        <v>32000</v>
      </c>
      <c r="AN408" s="12">
        <f t="shared" si="21"/>
        <v>128000</v>
      </c>
    </row>
    <row r="409" spans="1:40" ht="13.5" customHeight="1">
      <c r="A409" s="50" t="s">
        <v>98</v>
      </c>
      <c r="B409" s="32">
        <v>115</v>
      </c>
      <c r="C409" s="33" t="s">
        <v>149</v>
      </c>
      <c r="D409" s="33" t="s">
        <v>778</v>
      </c>
      <c r="E409" s="33" t="s">
        <v>43</v>
      </c>
      <c r="F409" s="32" t="s">
        <v>385</v>
      </c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34">
        <v>1</v>
      </c>
      <c r="AC409" s="34">
        <v>1</v>
      </c>
      <c r="AD409" s="34">
        <v>1</v>
      </c>
      <c r="AE409" s="34">
        <v>1</v>
      </c>
      <c r="AF409" s="34">
        <v>1</v>
      </c>
      <c r="AG409" s="34">
        <v>1</v>
      </c>
      <c r="AH409" s="34">
        <v>1</v>
      </c>
      <c r="AI409" s="34">
        <v>1</v>
      </c>
      <c r="AJ409" s="34">
        <v>1</v>
      </c>
      <c r="AK409" s="34">
        <v>1</v>
      </c>
      <c r="AL409" s="10">
        <f t="shared" si="20"/>
        <v>10</v>
      </c>
      <c r="AM409" s="11">
        <v>32000</v>
      </c>
      <c r="AN409" s="12">
        <f t="shared" si="21"/>
        <v>320000</v>
      </c>
    </row>
    <row r="410" spans="1:40" ht="13.5" customHeight="1">
      <c r="A410" s="50" t="s">
        <v>98</v>
      </c>
      <c r="B410" s="32">
        <v>115</v>
      </c>
      <c r="C410" s="33" t="s">
        <v>779</v>
      </c>
      <c r="D410" s="33" t="s">
        <v>382</v>
      </c>
      <c r="E410" s="33" t="s">
        <v>383</v>
      </c>
      <c r="F410" s="32" t="s">
        <v>384</v>
      </c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34">
        <v>1</v>
      </c>
      <c r="AC410" s="34">
        <v>1</v>
      </c>
      <c r="AD410" s="34">
        <v>1</v>
      </c>
      <c r="AE410" s="34">
        <v>1</v>
      </c>
      <c r="AF410" s="34">
        <v>1</v>
      </c>
      <c r="AG410" s="34">
        <v>1</v>
      </c>
      <c r="AH410" s="34">
        <v>1</v>
      </c>
      <c r="AI410" s="34">
        <v>1</v>
      </c>
      <c r="AJ410" s="34">
        <v>1</v>
      </c>
      <c r="AK410" s="34">
        <v>1</v>
      </c>
      <c r="AL410" s="10">
        <f t="shared" si="20"/>
        <v>10</v>
      </c>
      <c r="AM410" s="11">
        <v>32000</v>
      </c>
      <c r="AN410" s="12">
        <f t="shared" si="21"/>
        <v>320000</v>
      </c>
    </row>
    <row r="411" spans="1:40" ht="13.5" customHeight="1">
      <c r="A411" s="50" t="s">
        <v>98</v>
      </c>
      <c r="B411" s="32">
        <v>116</v>
      </c>
      <c r="C411" s="33" t="s">
        <v>20</v>
      </c>
      <c r="D411" s="33"/>
      <c r="E411" s="33" t="s">
        <v>22</v>
      </c>
      <c r="F411" s="32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  <c r="AE411" s="47"/>
      <c r="AF411" s="47"/>
      <c r="AG411" s="34">
        <v>1</v>
      </c>
      <c r="AH411" s="47"/>
      <c r="AI411" s="47"/>
      <c r="AJ411" s="47"/>
      <c r="AK411" s="47"/>
      <c r="AL411" s="10">
        <f t="shared" si="20"/>
        <v>1</v>
      </c>
      <c r="AM411" s="11">
        <v>32000</v>
      </c>
      <c r="AN411" s="12">
        <f t="shared" si="21"/>
        <v>32000</v>
      </c>
    </row>
    <row r="412" spans="1:40" ht="13.5" customHeight="1">
      <c r="A412" s="50" t="s">
        <v>98</v>
      </c>
      <c r="B412" s="32">
        <v>116</v>
      </c>
      <c r="C412" s="33" t="s">
        <v>738</v>
      </c>
      <c r="D412" s="33"/>
      <c r="E412" s="33" t="s">
        <v>259</v>
      </c>
      <c r="F412" s="32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  <c r="AF412" s="47"/>
      <c r="AG412" s="34">
        <v>1</v>
      </c>
      <c r="AH412" s="47"/>
      <c r="AI412" s="47"/>
      <c r="AJ412" s="47"/>
      <c r="AK412" s="47"/>
      <c r="AL412" s="10">
        <f t="shared" si="20"/>
        <v>1</v>
      </c>
      <c r="AM412" s="11">
        <v>32000</v>
      </c>
      <c r="AN412" s="12">
        <f t="shared" si="21"/>
        <v>32000</v>
      </c>
    </row>
    <row r="413" spans="1:40" ht="13.5" customHeight="1">
      <c r="A413" s="50" t="s">
        <v>98</v>
      </c>
      <c r="B413" s="32">
        <v>117</v>
      </c>
      <c r="C413" s="33" t="s">
        <v>144</v>
      </c>
      <c r="D413" s="33" t="s">
        <v>145</v>
      </c>
      <c r="E413" s="33" t="s">
        <v>146</v>
      </c>
      <c r="F413" s="32" t="s">
        <v>147</v>
      </c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34">
        <v>1</v>
      </c>
      <c r="AC413" s="34">
        <v>1</v>
      </c>
      <c r="AD413" s="34">
        <v>1</v>
      </c>
      <c r="AE413" s="34">
        <v>1</v>
      </c>
      <c r="AF413" s="34">
        <v>1</v>
      </c>
      <c r="AG413" s="34">
        <v>1</v>
      </c>
      <c r="AH413" s="34">
        <v>1</v>
      </c>
      <c r="AI413" s="34">
        <v>1</v>
      </c>
      <c r="AJ413" s="34">
        <v>1</v>
      </c>
      <c r="AK413" s="34">
        <v>1</v>
      </c>
      <c r="AL413" s="10">
        <f t="shared" si="20"/>
        <v>10</v>
      </c>
      <c r="AM413" s="11">
        <v>32000</v>
      </c>
      <c r="AN413" s="12">
        <f t="shared" si="21"/>
        <v>320000</v>
      </c>
    </row>
    <row r="414" spans="1:40" ht="13.5" customHeight="1">
      <c r="A414" s="50" t="s">
        <v>98</v>
      </c>
      <c r="B414" s="32">
        <v>117</v>
      </c>
      <c r="C414" s="33" t="s">
        <v>490</v>
      </c>
      <c r="D414" s="33" t="s">
        <v>149</v>
      </c>
      <c r="E414" s="33" t="s">
        <v>27</v>
      </c>
      <c r="F414" s="32" t="s">
        <v>150</v>
      </c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34">
        <v>1</v>
      </c>
      <c r="AC414" s="34">
        <v>1</v>
      </c>
      <c r="AD414" s="34">
        <v>1</v>
      </c>
      <c r="AE414" s="34">
        <v>1</v>
      </c>
      <c r="AF414" s="34">
        <v>1</v>
      </c>
      <c r="AG414" s="34">
        <v>1</v>
      </c>
      <c r="AH414" s="34">
        <v>1</v>
      </c>
      <c r="AI414" s="34">
        <v>1</v>
      </c>
      <c r="AJ414" s="34">
        <v>1</v>
      </c>
      <c r="AK414" s="34">
        <v>1</v>
      </c>
      <c r="AL414" s="10">
        <f t="shared" si="20"/>
        <v>10</v>
      </c>
      <c r="AM414" s="11">
        <v>32000</v>
      </c>
      <c r="AN414" s="12">
        <f t="shared" si="21"/>
        <v>320000</v>
      </c>
    </row>
    <row r="415" spans="1:40" ht="13.5" customHeight="1">
      <c r="A415" s="50" t="s">
        <v>98</v>
      </c>
      <c r="B415" s="32">
        <v>120</v>
      </c>
      <c r="C415" s="33" t="s">
        <v>403</v>
      </c>
      <c r="D415" s="33" t="s">
        <v>281</v>
      </c>
      <c r="E415" s="33" t="s">
        <v>328</v>
      </c>
      <c r="F415" s="32" t="s">
        <v>410</v>
      </c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34">
        <v>1</v>
      </c>
      <c r="AC415" s="34">
        <v>1</v>
      </c>
      <c r="AD415" s="34">
        <v>1</v>
      </c>
      <c r="AE415" s="34">
        <v>1</v>
      </c>
      <c r="AF415" s="34">
        <v>1</v>
      </c>
      <c r="AG415" s="34">
        <v>1</v>
      </c>
      <c r="AH415" s="34">
        <v>1</v>
      </c>
      <c r="AI415" s="34">
        <v>1</v>
      </c>
      <c r="AJ415" s="34">
        <v>1</v>
      </c>
      <c r="AK415" s="34">
        <v>1</v>
      </c>
      <c r="AL415" s="10">
        <f t="shared" si="20"/>
        <v>10</v>
      </c>
      <c r="AM415" s="11">
        <v>32000</v>
      </c>
      <c r="AN415" s="12">
        <f t="shared" si="21"/>
        <v>320000</v>
      </c>
    </row>
    <row r="416" spans="1:40" ht="13.5" customHeight="1">
      <c r="A416" s="50" t="s">
        <v>98</v>
      </c>
      <c r="B416" s="32">
        <v>120</v>
      </c>
      <c r="C416" s="33" t="s">
        <v>493</v>
      </c>
      <c r="D416" s="33" t="s">
        <v>493</v>
      </c>
      <c r="E416" s="33" t="s">
        <v>494</v>
      </c>
      <c r="F416" s="32" t="s">
        <v>495</v>
      </c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34">
        <v>1</v>
      </c>
      <c r="AC416" s="34">
        <v>1</v>
      </c>
      <c r="AD416" s="34">
        <v>1</v>
      </c>
      <c r="AE416" s="34">
        <v>1</v>
      </c>
      <c r="AF416" s="34">
        <v>1</v>
      </c>
      <c r="AG416" s="34">
        <v>1</v>
      </c>
      <c r="AH416" s="34">
        <v>1</v>
      </c>
      <c r="AI416" s="34">
        <v>1</v>
      </c>
      <c r="AJ416" s="34">
        <v>1</v>
      </c>
      <c r="AK416" s="34">
        <v>1</v>
      </c>
      <c r="AL416" s="10">
        <f t="shared" si="20"/>
        <v>10</v>
      </c>
      <c r="AM416" s="11">
        <v>32000</v>
      </c>
      <c r="AN416" s="12">
        <f t="shared" si="21"/>
        <v>320000</v>
      </c>
    </row>
    <row r="417" spans="1:41" ht="13.5" customHeight="1">
      <c r="A417" s="50" t="s">
        <v>98</v>
      </c>
      <c r="B417" s="32">
        <v>121</v>
      </c>
      <c r="C417" s="33" t="s">
        <v>378</v>
      </c>
      <c r="D417" s="33" t="s">
        <v>961</v>
      </c>
      <c r="E417" s="33" t="s">
        <v>962</v>
      </c>
      <c r="F417" s="32" t="s">
        <v>969</v>
      </c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  <c r="AD417" s="47"/>
      <c r="AE417" s="34">
        <v>1</v>
      </c>
      <c r="AF417" s="34">
        <v>1</v>
      </c>
      <c r="AG417" s="34">
        <v>1</v>
      </c>
      <c r="AH417" s="34">
        <v>1</v>
      </c>
      <c r="AI417" s="34">
        <v>1</v>
      </c>
      <c r="AJ417" s="34">
        <v>1</v>
      </c>
      <c r="AK417" s="34">
        <v>1</v>
      </c>
      <c r="AL417" s="10">
        <f t="shared" si="20"/>
        <v>7</v>
      </c>
      <c r="AM417" s="11">
        <v>32000</v>
      </c>
      <c r="AN417" s="12">
        <f t="shared" si="21"/>
        <v>224000</v>
      </c>
    </row>
    <row r="418" spans="1:41" ht="13.5" customHeight="1">
      <c r="A418" s="50" t="s">
        <v>98</v>
      </c>
      <c r="B418" s="32">
        <v>121</v>
      </c>
      <c r="C418" s="33" t="s">
        <v>360</v>
      </c>
      <c r="D418" s="33" t="s">
        <v>12</v>
      </c>
      <c r="E418" s="33" t="s">
        <v>15</v>
      </c>
      <c r="F418" s="32" t="s">
        <v>500</v>
      </c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34">
        <v>1</v>
      </c>
      <c r="AC418" s="34">
        <v>1</v>
      </c>
      <c r="AD418" s="34">
        <v>1</v>
      </c>
      <c r="AE418" s="34">
        <v>1</v>
      </c>
      <c r="AF418" s="34">
        <v>1</v>
      </c>
      <c r="AG418" s="34">
        <v>1</v>
      </c>
      <c r="AH418" s="34">
        <v>1</v>
      </c>
      <c r="AI418" s="34">
        <v>1</v>
      </c>
      <c r="AJ418" s="34">
        <v>1</v>
      </c>
      <c r="AK418" s="34">
        <v>1</v>
      </c>
      <c r="AL418" s="10">
        <f t="shared" si="20"/>
        <v>10</v>
      </c>
      <c r="AM418" s="11">
        <v>32000</v>
      </c>
      <c r="AN418" s="12">
        <f t="shared" si="21"/>
        <v>320000</v>
      </c>
    </row>
    <row r="419" spans="1:41" ht="13.5" customHeight="1">
      <c r="A419" s="50" t="s">
        <v>98</v>
      </c>
      <c r="B419" s="32">
        <v>122</v>
      </c>
      <c r="C419" s="33" t="s">
        <v>861</v>
      </c>
      <c r="D419" s="33" t="s">
        <v>862</v>
      </c>
      <c r="E419" s="33" t="s">
        <v>198</v>
      </c>
      <c r="F419" s="32" t="s">
        <v>826</v>
      </c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34">
        <v>1</v>
      </c>
      <c r="AC419" s="34">
        <v>1</v>
      </c>
      <c r="AD419" s="34">
        <v>1</v>
      </c>
      <c r="AE419" s="34">
        <v>1</v>
      </c>
      <c r="AF419" s="34">
        <v>1</v>
      </c>
      <c r="AG419" s="34">
        <v>1</v>
      </c>
      <c r="AH419" s="34">
        <v>1</v>
      </c>
      <c r="AI419" s="34">
        <v>1</v>
      </c>
      <c r="AJ419" s="47"/>
      <c r="AK419" s="47"/>
      <c r="AL419" s="10">
        <f t="shared" si="20"/>
        <v>8</v>
      </c>
      <c r="AM419" s="11">
        <v>32000</v>
      </c>
      <c r="AN419" s="12">
        <f t="shared" si="21"/>
        <v>256000</v>
      </c>
    </row>
    <row r="420" spans="1:41" ht="13.5" customHeight="1">
      <c r="A420" s="50" t="s">
        <v>98</v>
      </c>
      <c r="B420" s="32">
        <v>122</v>
      </c>
      <c r="C420" s="33" t="s">
        <v>333</v>
      </c>
      <c r="D420" s="33" t="s">
        <v>378</v>
      </c>
      <c r="E420" s="33" t="s">
        <v>876</v>
      </c>
      <c r="F420" s="32" t="s">
        <v>884</v>
      </c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34">
        <v>1</v>
      </c>
      <c r="AC420" s="34">
        <v>1</v>
      </c>
      <c r="AD420" s="34">
        <v>1</v>
      </c>
      <c r="AE420" s="34">
        <v>1</v>
      </c>
      <c r="AF420" s="34">
        <v>1</v>
      </c>
      <c r="AG420" s="34">
        <v>1</v>
      </c>
      <c r="AH420" s="34">
        <v>1</v>
      </c>
      <c r="AI420" s="34">
        <v>1</v>
      </c>
      <c r="AJ420" s="47"/>
      <c r="AK420" s="47"/>
      <c r="AL420" s="10">
        <f t="shared" si="20"/>
        <v>8</v>
      </c>
      <c r="AM420" s="11">
        <v>32000</v>
      </c>
      <c r="AN420" s="12">
        <f t="shared" si="21"/>
        <v>256000</v>
      </c>
    </row>
    <row r="421" spans="1:41" ht="13.5" customHeight="1">
      <c r="A421" s="50" t="s">
        <v>98</v>
      </c>
      <c r="B421" s="52" t="s">
        <v>151</v>
      </c>
      <c r="C421" s="33" t="s">
        <v>102</v>
      </c>
      <c r="D421" s="33" t="s">
        <v>103</v>
      </c>
      <c r="E421" s="33" t="s">
        <v>104</v>
      </c>
      <c r="F421" s="32" t="s">
        <v>105</v>
      </c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  <c r="AD421" s="34">
        <v>1</v>
      </c>
      <c r="AE421" s="47"/>
      <c r="AF421" s="47"/>
      <c r="AG421" s="47"/>
      <c r="AH421" s="47"/>
      <c r="AI421" s="47"/>
      <c r="AJ421" s="47"/>
      <c r="AK421" s="47"/>
      <c r="AL421" s="10">
        <f t="shared" ref="AL421" si="22">SUM(G421:AK421)</f>
        <v>1</v>
      </c>
      <c r="AM421" s="11">
        <v>32000</v>
      </c>
      <c r="AN421" s="12">
        <f t="shared" ref="AN421" si="23">AM421*AL421</f>
        <v>32000</v>
      </c>
      <c r="AO421" s="71" t="s">
        <v>352</v>
      </c>
    </row>
    <row r="422" spans="1:41" ht="13.5" customHeight="1">
      <c r="A422" s="50" t="s">
        <v>98</v>
      </c>
      <c r="B422" s="52" t="s">
        <v>151</v>
      </c>
      <c r="C422" s="33" t="s">
        <v>868</v>
      </c>
      <c r="D422" s="33" t="s">
        <v>855</v>
      </c>
      <c r="E422" s="33" t="s">
        <v>26</v>
      </c>
      <c r="F422" s="32" t="s">
        <v>833</v>
      </c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34">
        <v>1</v>
      </c>
      <c r="AE422" s="47"/>
      <c r="AF422" s="47"/>
      <c r="AG422" s="47"/>
      <c r="AH422" s="47"/>
      <c r="AI422" s="47"/>
      <c r="AJ422" s="47"/>
      <c r="AK422" s="47"/>
      <c r="AL422" s="10">
        <f t="shared" ref="AL422:AL423" si="24">SUM(G422:AK422)</f>
        <v>1</v>
      </c>
      <c r="AM422" s="11">
        <v>32000</v>
      </c>
      <c r="AN422" s="12">
        <f t="shared" ref="AN422:AN423" si="25">AM422*AL422</f>
        <v>32000</v>
      </c>
      <c r="AO422" s="71"/>
    </row>
    <row r="423" spans="1:41" ht="13.5" customHeight="1">
      <c r="A423" s="50" t="s">
        <v>98</v>
      </c>
      <c r="B423" s="52" t="s">
        <v>151</v>
      </c>
      <c r="C423" s="33" t="s">
        <v>397</v>
      </c>
      <c r="D423" s="33" t="s">
        <v>397</v>
      </c>
      <c r="E423" s="33" t="s">
        <v>422</v>
      </c>
      <c r="F423" s="32" t="s">
        <v>780</v>
      </c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34">
        <v>1</v>
      </c>
      <c r="AC423" s="47"/>
      <c r="AD423" s="47"/>
      <c r="AE423" s="47"/>
      <c r="AF423" s="47"/>
      <c r="AG423" s="47"/>
      <c r="AH423" s="47"/>
      <c r="AI423" s="47"/>
      <c r="AJ423" s="47"/>
      <c r="AK423" s="47"/>
      <c r="AL423" s="10">
        <f t="shared" si="24"/>
        <v>1</v>
      </c>
      <c r="AM423" s="11">
        <v>32000</v>
      </c>
      <c r="AN423" s="12">
        <f t="shared" si="25"/>
        <v>32000</v>
      </c>
      <c r="AO423" s="71"/>
    </row>
    <row r="424" spans="1:41" ht="13.5" customHeight="1">
      <c r="A424" s="50" t="s">
        <v>98</v>
      </c>
      <c r="B424" s="52" t="s">
        <v>151</v>
      </c>
      <c r="C424" s="33" t="s">
        <v>21</v>
      </c>
      <c r="D424" s="33" t="s">
        <v>520</v>
      </c>
      <c r="E424" s="33" t="s">
        <v>23</v>
      </c>
      <c r="F424" s="32" t="s">
        <v>781</v>
      </c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34">
        <v>1</v>
      </c>
      <c r="AC424" s="47"/>
      <c r="AD424" s="47"/>
      <c r="AE424" s="47"/>
      <c r="AF424" s="47"/>
      <c r="AG424" s="47"/>
      <c r="AH424" s="47"/>
      <c r="AI424" s="47"/>
      <c r="AJ424" s="47"/>
      <c r="AK424" s="47"/>
      <c r="AL424" s="10">
        <f t="shared" ref="AL424:AL444" si="26">SUM(G424:AK424)</f>
        <v>1</v>
      </c>
      <c r="AM424" s="11">
        <v>32000</v>
      </c>
      <c r="AN424" s="12">
        <f t="shared" ref="AN424:AN438" si="27">AM424*AL424</f>
        <v>32000</v>
      </c>
      <c r="AO424" s="71"/>
    </row>
    <row r="425" spans="1:41" ht="13.5" customHeight="1">
      <c r="A425" s="50" t="s">
        <v>98</v>
      </c>
      <c r="B425" s="52" t="s">
        <v>151</v>
      </c>
      <c r="C425" s="33" t="s">
        <v>782</v>
      </c>
      <c r="D425" s="33" t="s">
        <v>783</v>
      </c>
      <c r="E425" s="33" t="s">
        <v>784</v>
      </c>
      <c r="F425" s="32" t="s">
        <v>785</v>
      </c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34">
        <v>1</v>
      </c>
      <c r="AC425" s="47"/>
      <c r="AD425" s="47"/>
      <c r="AE425" s="47"/>
      <c r="AF425" s="47"/>
      <c r="AG425" s="47"/>
      <c r="AH425" s="47"/>
      <c r="AI425" s="47"/>
      <c r="AJ425" s="47"/>
      <c r="AK425" s="47"/>
      <c r="AL425" s="10">
        <f t="shared" si="26"/>
        <v>1</v>
      </c>
      <c r="AM425" s="11">
        <v>32000</v>
      </c>
      <c r="AN425" s="12">
        <f t="shared" si="27"/>
        <v>32000</v>
      </c>
      <c r="AO425" s="71"/>
    </row>
    <row r="426" spans="1:41" ht="15" customHeight="1">
      <c r="A426" s="50" t="s">
        <v>98</v>
      </c>
      <c r="B426" s="52" t="s">
        <v>151</v>
      </c>
      <c r="C426" s="33" t="s">
        <v>45</v>
      </c>
      <c r="D426" s="33"/>
      <c r="E426" s="33" t="s">
        <v>46</v>
      </c>
      <c r="F426" s="32" t="s">
        <v>47</v>
      </c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34">
        <v>1</v>
      </c>
      <c r="AA426" s="47"/>
      <c r="AB426" s="47"/>
      <c r="AC426" s="47"/>
      <c r="AD426" s="47"/>
      <c r="AE426" s="47"/>
      <c r="AF426" s="47"/>
      <c r="AG426" s="47"/>
      <c r="AH426" s="47"/>
      <c r="AI426" s="47"/>
      <c r="AJ426" s="47"/>
      <c r="AK426" s="47"/>
      <c r="AL426" s="10">
        <f t="shared" si="26"/>
        <v>1</v>
      </c>
      <c r="AM426" s="11">
        <v>32000</v>
      </c>
      <c r="AN426" s="12">
        <f t="shared" si="27"/>
        <v>32000</v>
      </c>
      <c r="AO426" s="71"/>
    </row>
    <row r="427" spans="1:41">
      <c r="A427" s="50" t="s">
        <v>98</v>
      </c>
      <c r="B427" s="52" t="s">
        <v>151</v>
      </c>
      <c r="C427" s="33" t="s">
        <v>52</v>
      </c>
      <c r="D427" s="33"/>
      <c r="E427" s="33" t="s">
        <v>55</v>
      </c>
      <c r="F427" s="32" t="s">
        <v>56</v>
      </c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34">
        <v>1</v>
      </c>
      <c r="AA427" s="47"/>
      <c r="AB427" s="47"/>
      <c r="AC427" s="47"/>
      <c r="AD427" s="47"/>
      <c r="AE427" s="47"/>
      <c r="AF427" s="47"/>
      <c r="AG427" s="47"/>
      <c r="AH427" s="47"/>
      <c r="AI427" s="47"/>
      <c r="AJ427" s="47"/>
      <c r="AK427" s="47"/>
      <c r="AL427" s="10">
        <f t="shared" si="26"/>
        <v>1</v>
      </c>
      <c r="AM427" s="11">
        <v>32000</v>
      </c>
      <c r="AN427" s="12">
        <f t="shared" si="27"/>
        <v>32000</v>
      </c>
      <c r="AO427" s="71"/>
    </row>
    <row r="428" spans="1:41">
      <c r="A428" s="50" t="s">
        <v>98</v>
      </c>
      <c r="B428" s="52" t="s">
        <v>151</v>
      </c>
      <c r="C428" s="33" t="s">
        <v>42</v>
      </c>
      <c r="D428" s="33"/>
      <c r="E428" s="33" t="s">
        <v>43</v>
      </c>
      <c r="F428" s="32" t="s">
        <v>44</v>
      </c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34">
        <v>1</v>
      </c>
      <c r="AA428" s="47"/>
      <c r="AB428" s="47"/>
      <c r="AC428" s="47"/>
      <c r="AD428" s="47"/>
      <c r="AE428" s="47"/>
      <c r="AF428" s="47"/>
      <c r="AG428" s="47"/>
      <c r="AH428" s="47"/>
      <c r="AI428" s="47"/>
      <c r="AJ428" s="47"/>
      <c r="AK428" s="47"/>
      <c r="AL428" s="10">
        <f t="shared" si="26"/>
        <v>1</v>
      </c>
      <c r="AM428" s="11">
        <v>32000</v>
      </c>
      <c r="AN428" s="12">
        <f t="shared" si="27"/>
        <v>32000</v>
      </c>
      <c r="AO428" s="71"/>
    </row>
    <row r="429" spans="1:41">
      <c r="A429" s="50" t="s">
        <v>98</v>
      </c>
      <c r="B429" s="52" t="s">
        <v>151</v>
      </c>
      <c r="C429" s="33" t="s">
        <v>48</v>
      </c>
      <c r="D429" s="33"/>
      <c r="E429" s="33" t="s">
        <v>49</v>
      </c>
      <c r="F429" s="32" t="s">
        <v>50</v>
      </c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34">
        <v>1</v>
      </c>
      <c r="AA429" s="47"/>
      <c r="AB429" s="47"/>
      <c r="AC429" s="47"/>
      <c r="AD429" s="47"/>
      <c r="AE429" s="47"/>
      <c r="AF429" s="47"/>
      <c r="AG429" s="47"/>
      <c r="AH429" s="47"/>
      <c r="AI429" s="47"/>
      <c r="AJ429" s="47"/>
      <c r="AK429" s="47"/>
      <c r="AL429" s="10">
        <f t="shared" si="26"/>
        <v>1</v>
      </c>
      <c r="AM429" s="11">
        <v>32000</v>
      </c>
      <c r="AN429" s="12">
        <f t="shared" si="27"/>
        <v>32000</v>
      </c>
      <c r="AO429" s="71"/>
    </row>
    <row r="430" spans="1:41" ht="15" customHeight="1">
      <c r="A430" s="50" t="s">
        <v>98</v>
      </c>
      <c r="B430" s="52" t="s">
        <v>151</v>
      </c>
      <c r="C430" s="33" t="s">
        <v>248</v>
      </c>
      <c r="D430" s="33" t="s">
        <v>391</v>
      </c>
      <c r="E430" s="33" t="s">
        <v>392</v>
      </c>
      <c r="F430" s="32" t="s">
        <v>402</v>
      </c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34">
        <v>1</v>
      </c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  <c r="AE430" s="47"/>
      <c r="AF430" s="47"/>
      <c r="AG430" s="47"/>
      <c r="AH430" s="47"/>
      <c r="AI430" s="47"/>
      <c r="AJ430" s="47"/>
      <c r="AK430" s="47"/>
      <c r="AL430" s="10">
        <f t="shared" si="26"/>
        <v>1</v>
      </c>
      <c r="AM430" s="11">
        <v>32000</v>
      </c>
      <c r="AN430" s="12">
        <f t="shared" si="27"/>
        <v>32000</v>
      </c>
      <c r="AO430" s="71"/>
    </row>
    <row r="431" spans="1:41">
      <c r="A431" s="50" t="s">
        <v>98</v>
      </c>
      <c r="B431" s="52" t="s">
        <v>151</v>
      </c>
      <c r="C431" s="33" t="s">
        <v>394</v>
      </c>
      <c r="D431" s="33" t="s">
        <v>122</v>
      </c>
      <c r="E431" s="33" t="s">
        <v>393</v>
      </c>
      <c r="F431" s="32" t="s">
        <v>401</v>
      </c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34">
        <v>1</v>
      </c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  <c r="AE431" s="47"/>
      <c r="AF431" s="47"/>
      <c r="AG431" s="47"/>
      <c r="AH431" s="47"/>
      <c r="AI431" s="47"/>
      <c r="AJ431" s="47"/>
      <c r="AK431" s="47"/>
      <c r="AL431" s="10">
        <f t="shared" si="26"/>
        <v>1</v>
      </c>
      <c r="AM431" s="11">
        <v>32000</v>
      </c>
      <c r="AN431" s="12">
        <f t="shared" si="27"/>
        <v>32000</v>
      </c>
      <c r="AO431" s="71"/>
    </row>
    <row r="432" spans="1:41">
      <c r="A432" s="50" t="s">
        <v>98</v>
      </c>
      <c r="B432" s="52" t="s">
        <v>151</v>
      </c>
      <c r="C432" s="33" t="s">
        <v>145</v>
      </c>
      <c r="D432" s="33" t="s">
        <v>395</v>
      </c>
      <c r="E432" s="33" t="s">
        <v>68</v>
      </c>
      <c r="F432" s="32" t="s">
        <v>400</v>
      </c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34">
        <v>1</v>
      </c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  <c r="AD432" s="47"/>
      <c r="AE432" s="47"/>
      <c r="AF432" s="47"/>
      <c r="AG432" s="47"/>
      <c r="AH432" s="47"/>
      <c r="AI432" s="47"/>
      <c r="AJ432" s="47"/>
      <c r="AK432" s="47"/>
      <c r="AL432" s="10">
        <f t="shared" si="26"/>
        <v>1</v>
      </c>
      <c r="AM432" s="11">
        <v>32000</v>
      </c>
      <c r="AN432" s="12">
        <f t="shared" si="27"/>
        <v>32000</v>
      </c>
      <c r="AO432" s="71"/>
    </row>
    <row r="433" spans="1:41">
      <c r="A433" s="50" t="s">
        <v>98</v>
      </c>
      <c r="B433" s="52" t="s">
        <v>151</v>
      </c>
      <c r="C433" s="33" t="s">
        <v>13</v>
      </c>
      <c r="D433" s="33" t="s">
        <v>28</v>
      </c>
      <c r="E433" s="33" t="s">
        <v>11</v>
      </c>
      <c r="F433" s="32" t="s">
        <v>399</v>
      </c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34">
        <v>1</v>
      </c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  <c r="AD433" s="47"/>
      <c r="AE433" s="47"/>
      <c r="AF433" s="47"/>
      <c r="AG433" s="47"/>
      <c r="AH433" s="47"/>
      <c r="AI433" s="47"/>
      <c r="AJ433" s="47"/>
      <c r="AK433" s="47"/>
      <c r="AL433" s="10">
        <f t="shared" si="26"/>
        <v>1</v>
      </c>
      <c r="AM433" s="11">
        <v>32000</v>
      </c>
      <c r="AN433" s="12">
        <f t="shared" si="27"/>
        <v>32000</v>
      </c>
      <c r="AO433" s="71"/>
    </row>
    <row r="434" spans="1:41">
      <c r="A434" s="50" t="s">
        <v>98</v>
      </c>
      <c r="B434" s="52" t="s">
        <v>151</v>
      </c>
      <c r="C434" s="33" t="s">
        <v>396</v>
      </c>
      <c r="D434" s="33" t="s">
        <v>397</v>
      </c>
      <c r="E434" s="33" t="s">
        <v>361</v>
      </c>
      <c r="F434" s="32" t="s">
        <v>398</v>
      </c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34">
        <v>1</v>
      </c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  <c r="AD434" s="47"/>
      <c r="AE434" s="47"/>
      <c r="AF434" s="47"/>
      <c r="AG434" s="47"/>
      <c r="AH434" s="47"/>
      <c r="AI434" s="47"/>
      <c r="AJ434" s="47"/>
      <c r="AK434" s="47"/>
      <c r="AL434" s="10">
        <f t="shared" si="26"/>
        <v>1</v>
      </c>
      <c r="AM434" s="11">
        <v>32000</v>
      </c>
      <c r="AN434" s="12">
        <f t="shared" si="27"/>
        <v>32000</v>
      </c>
      <c r="AO434" s="71"/>
    </row>
    <row r="435" spans="1:41">
      <c r="A435" s="50" t="s">
        <v>98</v>
      </c>
      <c r="B435" s="52" t="s">
        <v>151</v>
      </c>
      <c r="C435" s="33" t="s">
        <v>253</v>
      </c>
      <c r="D435" s="33" t="s">
        <v>254</v>
      </c>
      <c r="E435" s="33" t="s">
        <v>255</v>
      </c>
      <c r="F435" s="32" t="s">
        <v>256</v>
      </c>
      <c r="G435" s="47"/>
      <c r="H435" s="47"/>
      <c r="I435" s="47"/>
      <c r="J435" s="47"/>
      <c r="K435" s="47"/>
      <c r="L435" s="47"/>
      <c r="M435" s="47"/>
      <c r="N435" s="34">
        <v>1</v>
      </c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  <c r="AD435" s="47"/>
      <c r="AE435" s="47"/>
      <c r="AF435" s="47"/>
      <c r="AG435" s="47"/>
      <c r="AH435" s="47"/>
      <c r="AI435" s="47"/>
      <c r="AJ435" s="47"/>
      <c r="AK435" s="47"/>
      <c r="AL435" s="10">
        <f t="shared" si="26"/>
        <v>1</v>
      </c>
      <c r="AM435" s="11">
        <v>32000</v>
      </c>
      <c r="AN435" s="12">
        <f t="shared" si="27"/>
        <v>32000</v>
      </c>
      <c r="AO435" s="71"/>
    </row>
    <row r="436" spans="1:41">
      <c r="A436" s="50" t="s">
        <v>98</v>
      </c>
      <c r="B436" s="52" t="s">
        <v>151</v>
      </c>
      <c r="C436" s="33" t="s">
        <v>261</v>
      </c>
      <c r="D436" s="33" t="s">
        <v>262</v>
      </c>
      <c r="E436" s="33" t="s">
        <v>263</v>
      </c>
      <c r="F436" s="32" t="s">
        <v>264</v>
      </c>
      <c r="G436" s="47"/>
      <c r="H436" s="47"/>
      <c r="I436" s="47"/>
      <c r="J436" s="47"/>
      <c r="K436" s="47"/>
      <c r="L436" s="47"/>
      <c r="M436" s="47"/>
      <c r="N436" s="34">
        <v>1</v>
      </c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  <c r="AE436" s="47"/>
      <c r="AF436" s="47"/>
      <c r="AG436" s="47"/>
      <c r="AH436" s="47"/>
      <c r="AI436" s="47"/>
      <c r="AJ436" s="47"/>
      <c r="AK436" s="47"/>
      <c r="AL436" s="10">
        <f t="shared" si="26"/>
        <v>1</v>
      </c>
      <c r="AM436" s="11">
        <v>32000</v>
      </c>
      <c r="AN436" s="12">
        <f t="shared" si="27"/>
        <v>32000</v>
      </c>
      <c r="AO436" s="71"/>
    </row>
    <row r="437" spans="1:41">
      <c r="A437" s="50" t="s">
        <v>98</v>
      </c>
      <c r="B437" s="52" t="s">
        <v>151</v>
      </c>
      <c r="C437" s="33" t="s">
        <v>309</v>
      </c>
      <c r="D437" s="33" t="s">
        <v>309</v>
      </c>
      <c r="E437" s="33" t="s">
        <v>310</v>
      </c>
      <c r="F437" s="32" t="s">
        <v>311</v>
      </c>
      <c r="G437" s="47"/>
      <c r="H437" s="47"/>
      <c r="I437" s="47"/>
      <c r="J437" s="47"/>
      <c r="K437" s="47"/>
      <c r="L437" s="47"/>
      <c r="M437" s="47"/>
      <c r="N437" s="34">
        <v>1</v>
      </c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  <c r="AE437" s="47"/>
      <c r="AF437" s="47"/>
      <c r="AG437" s="47"/>
      <c r="AH437" s="47"/>
      <c r="AI437" s="47"/>
      <c r="AJ437" s="47"/>
      <c r="AK437" s="47"/>
      <c r="AL437" s="10">
        <f t="shared" si="26"/>
        <v>1</v>
      </c>
      <c r="AM437" s="11">
        <v>32000</v>
      </c>
      <c r="AN437" s="12">
        <f t="shared" si="27"/>
        <v>32000</v>
      </c>
      <c r="AO437" s="71"/>
    </row>
    <row r="438" spans="1:41">
      <c r="A438" s="57" t="s">
        <v>790</v>
      </c>
      <c r="B438" s="32">
        <v>403</v>
      </c>
      <c r="C438" s="33" t="s">
        <v>51</v>
      </c>
      <c r="D438" s="33" t="s">
        <v>786</v>
      </c>
      <c r="E438" s="33" t="s">
        <v>53</v>
      </c>
      <c r="F438" s="32" t="s">
        <v>54</v>
      </c>
      <c r="G438" s="47"/>
      <c r="H438" s="47"/>
      <c r="I438" s="47"/>
      <c r="J438" s="47"/>
      <c r="K438" s="47"/>
      <c r="L438" s="34">
        <v>1</v>
      </c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  <c r="AD438" s="47"/>
      <c r="AE438" s="47"/>
      <c r="AF438" s="47"/>
      <c r="AG438" s="47"/>
      <c r="AH438" s="47"/>
      <c r="AI438" s="47"/>
      <c r="AJ438" s="47"/>
      <c r="AK438" s="47"/>
      <c r="AL438" s="10">
        <f t="shared" si="26"/>
        <v>1</v>
      </c>
      <c r="AM438" s="11">
        <v>32000</v>
      </c>
      <c r="AN438" s="12">
        <f t="shared" si="27"/>
        <v>32000</v>
      </c>
    </row>
    <row r="439" spans="1:41">
      <c r="A439" s="57" t="s">
        <v>790</v>
      </c>
      <c r="B439" s="32">
        <v>401</v>
      </c>
      <c r="C439" s="33" t="s">
        <v>14</v>
      </c>
      <c r="D439" s="33" t="s">
        <v>787</v>
      </c>
      <c r="E439" s="33" t="s">
        <v>40</v>
      </c>
      <c r="F439" s="32" t="s">
        <v>41</v>
      </c>
      <c r="G439" s="47"/>
      <c r="H439" s="47"/>
      <c r="I439" s="47"/>
      <c r="J439" s="47"/>
      <c r="K439" s="47"/>
      <c r="L439" s="34">
        <v>1</v>
      </c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  <c r="AD439" s="47"/>
      <c r="AE439" s="47"/>
      <c r="AF439" s="47"/>
      <c r="AG439" s="47"/>
      <c r="AH439" s="47"/>
      <c r="AI439" s="47"/>
      <c r="AJ439" s="47"/>
      <c r="AK439" s="47"/>
      <c r="AL439" s="10">
        <f t="shared" si="26"/>
        <v>1</v>
      </c>
      <c r="AM439" s="11">
        <v>32000</v>
      </c>
      <c r="AN439" s="12">
        <f t="shared" ref="AN439:AN444" si="28">AM439*AL439</f>
        <v>32000</v>
      </c>
    </row>
    <row r="440" spans="1:41">
      <c r="A440" s="57" t="s">
        <v>790</v>
      </c>
      <c r="B440" s="32">
        <v>403</v>
      </c>
      <c r="C440" s="33" t="s">
        <v>42</v>
      </c>
      <c r="D440" s="33" t="s">
        <v>788</v>
      </c>
      <c r="E440" s="33" t="s">
        <v>43</v>
      </c>
      <c r="F440" s="32" t="s">
        <v>44</v>
      </c>
      <c r="G440" s="47"/>
      <c r="H440" s="47"/>
      <c r="I440" s="47"/>
      <c r="J440" s="47"/>
      <c r="K440" s="47"/>
      <c r="L440" s="34">
        <v>1</v>
      </c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7"/>
      <c r="AE440" s="47"/>
      <c r="AF440" s="47"/>
      <c r="AG440" s="47"/>
      <c r="AH440" s="47"/>
      <c r="AI440" s="47"/>
      <c r="AJ440" s="47"/>
      <c r="AK440" s="47"/>
      <c r="AL440" s="10">
        <f t="shared" si="26"/>
        <v>1</v>
      </c>
      <c r="AM440" s="11">
        <v>32000</v>
      </c>
      <c r="AN440" s="12">
        <f t="shared" si="28"/>
        <v>32000</v>
      </c>
    </row>
    <row r="441" spans="1:41">
      <c r="A441" s="57" t="s">
        <v>790</v>
      </c>
      <c r="B441" s="32">
        <v>306</v>
      </c>
      <c r="C441" s="33" t="s">
        <v>28</v>
      </c>
      <c r="D441" s="33"/>
      <c r="E441" s="33" t="s">
        <v>63</v>
      </c>
      <c r="F441" s="32" t="s">
        <v>789</v>
      </c>
      <c r="G441" s="47"/>
      <c r="H441" s="47"/>
      <c r="I441" s="47"/>
      <c r="J441" s="47"/>
      <c r="K441" s="47"/>
      <c r="L441" s="34">
        <v>1</v>
      </c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  <c r="AD441" s="47"/>
      <c r="AE441" s="47"/>
      <c r="AF441" s="47"/>
      <c r="AG441" s="47"/>
      <c r="AH441" s="47"/>
      <c r="AI441" s="47"/>
      <c r="AJ441" s="47"/>
      <c r="AK441" s="47"/>
      <c r="AL441" s="10">
        <f t="shared" si="26"/>
        <v>1</v>
      </c>
      <c r="AM441" s="11">
        <v>32000</v>
      </c>
      <c r="AN441" s="12">
        <f t="shared" si="28"/>
        <v>32000</v>
      </c>
    </row>
    <row r="442" spans="1:41">
      <c r="A442" s="57" t="s">
        <v>790</v>
      </c>
      <c r="B442" s="32">
        <v>302</v>
      </c>
      <c r="C442" s="33" t="s">
        <v>74</v>
      </c>
      <c r="D442" s="33" t="s">
        <v>442</v>
      </c>
      <c r="E442" s="33" t="s">
        <v>75</v>
      </c>
      <c r="F442" s="32" t="s">
        <v>76</v>
      </c>
      <c r="G442" s="47"/>
      <c r="H442" s="47"/>
      <c r="I442" s="47"/>
      <c r="J442" s="47"/>
      <c r="K442" s="47"/>
      <c r="L442" s="34">
        <v>1</v>
      </c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10">
        <f t="shared" si="26"/>
        <v>1</v>
      </c>
      <c r="AM442" s="11">
        <v>32000</v>
      </c>
      <c r="AN442" s="12">
        <f t="shared" si="28"/>
        <v>32000</v>
      </c>
    </row>
    <row r="443" spans="1:41">
      <c r="A443" s="57" t="s">
        <v>790</v>
      </c>
      <c r="B443" s="32">
        <v>402</v>
      </c>
      <c r="C443" s="33" t="s">
        <v>435</v>
      </c>
      <c r="D443" s="33" t="s">
        <v>443</v>
      </c>
      <c r="E443" s="33" t="s">
        <v>65</v>
      </c>
      <c r="F443" s="32" t="s">
        <v>432</v>
      </c>
      <c r="G443" s="47"/>
      <c r="H443" s="47"/>
      <c r="I443" s="47"/>
      <c r="J443" s="47"/>
      <c r="K443" s="47"/>
      <c r="L443" s="34">
        <v>1</v>
      </c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  <c r="AD443" s="47"/>
      <c r="AE443" s="47"/>
      <c r="AF443" s="47"/>
      <c r="AG443" s="47"/>
      <c r="AH443" s="47"/>
      <c r="AI443" s="47"/>
      <c r="AJ443" s="47"/>
      <c r="AK443" s="47"/>
      <c r="AL443" s="10">
        <f t="shared" si="26"/>
        <v>1</v>
      </c>
      <c r="AM443" s="11">
        <v>32000</v>
      </c>
      <c r="AN443" s="12">
        <f t="shared" si="28"/>
        <v>32000</v>
      </c>
    </row>
    <row r="444" spans="1:41">
      <c r="A444" s="57" t="s">
        <v>790</v>
      </c>
      <c r="B444" s="32">
        <v>403</v>
      </c>
      <c r="C444" s="33" t="s">
        <v>438</v>
      </c>
      <c r="D444" s="33" t="s">
        <v>446</v>
      </c>
      <c r="E444" s="33" t="s">
        <v>437</v>
      </c>
      <c r="F444" s="32" t="s">
        <v>434</v>
      </c>
      <c r="G444" s="47"/>
      <c r="H444" s="47"/>
      <c r="I444" s="47"/>
      <c r="J444" s="47"/>
      <c r="K444" s="47"/>
      <c r="L444" s="34">
        <v>1</v>
      </c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  <c r="AD444" s="47"/>
      <c r="AE444" s="47"/>
      <c r="AF444" s="47"/>
      <c r="AG444" s="47"/>
      <c r="AH444" s="47"/>
      <c r="AI444" s="47"/>
      <c r="AJ444" s="47"/>
      <c r="AK444" s="47"/>
      <c r="AL444" s="10">
        <f t="shared" si="26"/>
        <v>1</v>
      </c>
      <c r="AM444" s="11">
        <v>32000</v>
      </c>
      <c r="AN444" s="12">
        <f t="shared" si="28"/>
        <v>32000</v>
      </c>
    </row>
    <row r="445" spans="1:41" ht="12.75" customHeight="1">
      <c r="A445" s="41"/>
      <c r="B445" s="41"/>
      <c r="C445" s="42"/>
      <c r="D445" s="42"/>
      <c r="E445" s="42"/>
      <c r="F445" s="41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43"/>
      <c r="AM445" s="44"/>
      <c r="AN445" s="44"/>
    </row>
    <row r="446" spans="1:41">
      <c r="A446" s="3"/>
      <c r="G446" s="16">
        <f t="shared" ref="G446:AL446" si="29">SUM(G10:G445)</f>
        <v>18</v>
      </c>
      <c r="H446" s="16">
        <f t="shared" si="29"/>
        <v>18</v>
      </c>
      <c r="I446" s="16">
        <f t="shared" si="29"/>
        <v>20</v>
      </c>
      <c r="J446" s="16">
        <f t="shared" si="29"/>
        <v>20</v>
      </c>
      <c r="K446" s="16">
        <f t="shared" si="29"/>
        <v>20</v>
      </c>
      <c r="L446" s="16">
        <f t="shared" si="29"/>
        <v>27</v>
      </c>
      <c r="M446" s="16">
        <f t="shared" si="29"/>
        <v>20</v>
      </c>
      <c r="N446" s="16">
        <f t="shared" si="29"/>
        <v>119</v>
      </c>
      <c r="O446" s="16">
        <f t="shared" si="29"/>
        <v>117</v>
      </c>
      <c r="P446" s="16">
        <f t="shared" si="29"/>
        <v>117</v>
      </c>
      <c r="Q446" s="16">
        <f t="shared" si="29"/>
        <v>105</v>
      </c>
      <c r="R446" s="16">
        <f t="shared" si="29"/>
        <v>100</v>
      </c>
      <c r="S446" s="16">
        <f t="shared" si="29"/>
        <v>108</v>
      </c>
      <c r="T446" s="16">
        <f t="shared" si="29"/>
        <v>100</v>
      </c>
      <c r="U446" s="16">
        <f t="shared" si="29"/>
        <v>102</v>
      </c>
      <c r="V446" s="16">
        <f t="shared" si="29"/>
        <v>111</v>
      </c>
      <c r="W446" s="16">
        <f t="shared" si="29"/>
        <v>109</v>
      </c>
      <c r="X446" s="16">
        <f t="shared" si="29"/>
        <v>109</v>
      </c>
      <c r="Y446" s="16">
        <f t="shared" si="29"/>
        <v>109</v>
      </c>
      <c r="Z446" s="16">
        <f t="shared" si="29"/>
        <v>127</v>
      </c>
      <c r="AA446" s="16">
        <f t="shared" si="29"/>
        <v>145</v>
      </c>
      <c r="AB446" s="16">
        <f t="shared" si="29"/>
        <v>174</v>
      </c>
      <c r="AC446" s="16">
        <f t="shared" si="29"/>
        <v>171</v>
      </c>
      <c r="AD446" s="16">
        <f t="shared" si="29"/>
        <v>173</v>
      </c>
      <c r="AE446" s="16">
        <f t="shared" si="29"/>
        <v>172</v>
      </c>
      <c r="AF446" s="16">
        <f t="shared" si="29"/>
        <v>172</v>
      </c>
      <c r="AG446" s="16">
        <f t="shared" si="29"/>
        <v>183</v>
      </c>
      <c r="AH446" s="16">
        <f t="shared" si="29"/>
        <v>176</v>
      </c>
      <c r="AI446" s="16">
        <f t="shared" si="29"/>
        <v>174</v>
      </c>
      <c r="AJ446" s="16">
        <f t="shared" si="29"/>
        <v>172</v>
      </c>
      <c r="AK446" s="16">
        <f t="shared" si="29"/>
        <v>166</v>
      </c>
      <c r="AL446" s="16">
        <f t="shared" si="29"/>
        <v>3454</v>
      </c>
      <c r="AO446" s="3" t="s">
        <v>31</v>
      </c>
    </row>
    <row r="447" spans="1:41">
      <c r="A447" s="3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41">
      <c r="A448" s="3"/>
      <c r="AM448" s="17" t="s">
        <v>32</v>
      </c>
      <c r="AN448" s="18">
        <f>SUM(AN10:AN447)</f>
        <v>110528000</v>
      </c>
    </row>
    <row r="449" spans="1:41" ht="17.25" customHeight="1" thickBot="1">
      <c r="A449" s="19"/>
      <c r="B449" s="20"/>
      <c r="C449" s="19"/>
      <c r="D449" s="19"/>
      <c r="E449" s="19"/>
    </row>
    <row r="450" spans="1:41" ht="17.25" customHeight="1" thickBot="1">
      <c r="A450" s="70" t="s">
        <v>38</v>
      </c>
      <c r="B450" s="70"/>
      <c r="C450" s="70"/>
      <c r="D450" s="70"/>
      <c r="E450" s="70"/>
      <c r="F450" s="70"/>
      <c r="G450" s="68">
        <v>45778</v>
      </c>
      <c r="H450" s="68">
        <v>45779</v>
      </c>
      <c r="I450" s="68">
        <v>45780</v>
      </c>
      <c r="J450" s="68">
        <v>45781</v>
      </c>
      <c r="K450" s="68">
        <v>45782</v>
      </c>
      <c r="L450" s="68">
        <v>45783</v>
      </c>
      <c r="M450" s="68">
        <v>45784</v>
      </c>
      <c r="N450" s="68">
        <v>45785</v>
      </c>
      <c r="O450" s="68">
        <v>45786</v>
      </c>
      <c r="P450" s="68">
        <v>45787</v>
      </c>
      <c r="Q450" s="68">
        <v>45788</v>
      </c>
      <c r="R450" s="68">
        <v>45789</v>
      </c>
      <c r="S450" s="68">
        <v>45790</v>
      </c>
      <c r="T450" s="68">
        <v>45791</v>
      </c>
      <c r="U450" s="68">
        <v>45792</v>
      </c>
      <c r="V450" s="68">
        <v>45793</v>
      </c>
      <c r="W450" s="68">
        <v>45794</v>
      </c>
      <c r="X450" s="68">
        <v>45795</v>
      </c>
      <c r="Y450" s="68">
        <v>45796</v>
      </c>
      <c r="Z450" s="68">
        <v>45797</v>
      </c>
      <c r="AA450" s="68">
        <v>45798</v>
      </c>
      <c r="AB450" s="68">
        <v>45799</v>
      </c>
      <c r="AC450" s="68">
        <v>45800</v>
      </c>
      <c r="AD450" s="68">
        <v>45801</v>
      </c>
      <c r="AE450" s="68">
        <v>45802</v>
      </c>
      <c r="AF450" s="68">
        <v>45803</v>
      </c>
      <c r="AG450" s="68">
        <v>45804</v>
      </c>
      <c r="AH450" s="68">
        <v>45805</v>
      </c>
      <c r="AI450" s="68">
        <v>45806</v>
      </c>
      <c r="AJ450" s="68">
        <v>45807</v>
      </c>
      <c r="AK450" s="68">
        <v>45808</v>
      </c>
      <c r="AL450" s="65" t="s">
        <v>157</v>
      </c>
      <c r="AM450" s="65"/>
      <c r="AN450" s="65"/>
    </row>
    <row r="451" spans="1:41" ht="12.75" customHeight="1" thickBot="1">
      <c r="A451" s="70"/>
      <c r="B451" s="70"/>
      <c r="C451" s="70"/>
      <c r="D451" s="70"/>
      <c r="E451" s="70"/>
      <c r="F451" s="70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  <c r="AB451" s="68"/>
      <c r="AC451" s="68"/>
      <c r="AD451" s="68"/>
      <c r="AE451" s="68"/>
      <c r="AF451" s="68"/>
      <c r="AG451" s="68"/>
      <c r="AH451" s="68"/>
      <c r="AI451" s="68"/>
      <c r="AJ451" s="68"/>
      <c r="AK451" s="68"/>
      <c r="AL451" s="65"/>
      <c r="AM451" s="65"/>
      <c r="AN451" s="65"/>
    </row>
    <row r="452" spans="1:41" ht="13.5" customHeight="1" thickBot="1">
      <c r="A452" s="70"/>
      <c r="B452" s="70"/>
      <c r="C452" s="70"/>
      <c r="D452" s="70"/>
      <c r="E452" s="70"/>
      <c r="F452" s="70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/>
      <c r="AB452" s="68"/>
      <c r="AC452" s="68"/>
      <c r="AD452" s="68"/>
      <c r="AE452" s="68"/>
      <c r="AF452" s="68"/>
      <c r="AG452" s="68"/>
      <c r="AH452" s="68"/>
      <c r="AI452" s="68"/>
      <c r="AJ452" s="68"/>
      <c r="AK452" s="68"/>
      <c r="AL452" s="65"/>
      <c r="AM452" s="65"/>
      <c r="AN452" s="65"/>
    </row>
    <row r="453" spans="1:41" ht="17.25" customHeight="1">
      <c r="A453" s="69" t="s">
        <v>33</v>
      </c>
      <c r="B453" s="69"/>
      <c r="C453" s="69"/>
      <c r="D453" s="69"/>
      <c r="E453" s="69"/>
      <c r="F453" s="69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  <c r="AB453" s="68"/>
      <c r="AC453" s="68"/>
      <c r="AD453" s="68"/>
      <c r="AE453" s="68"/>
      <c r="AF453" s="68"/>
      <c r="AG453" s="68"/>
      <c r="AH453" s="68"/>
      <c r="AI453" s="68"/>
      <c r="AJ453" s="68"/>
      <c r="AK453" s="68"/>
      <c r="AL453" s="21" t="s">
        <v>5</v>
      </c>
      <c r="AM453" s="21" t="s">
        <v>6</v>
      </c>
      <c r="AN453" s="22" t="s">
        <v>7</v>
      </c>
    </row>
    <row r="454" spans="1:41" ht="17.25" customHeight="1">
      <c r="A454" s="23">
        <v>1</v>
      </c>
      <c r="B454" s="67" t="s">
        <v>34</v>
      </c>
      <c r="C454" s="67"/>
      <c r="D454" s="67"/>
      <c r="E454" s="67"/>
      <c r="F454" s="67"/>
      <c r="G454" s="45">
        <v>1</v>
      </c>
      <c r="H454" s="45">
        <v>5</v>
      </c>
      <c r="I454" s="45">
        <v>21</v>
      </c>
      <c r="J454" s="45">
        <v>21</v>
      </c>
      <c r="K454" s="45">
        <v>22</v>
      </c>
      <c r="L454" s="45">
        <v>22</v>
      </c>
      <c r="M454" s="45">
        <v>24</v>
      </c>
      <c r="N454" s="45">
        <v>66</v>
      </c>
      <c r="O454" s="45">
        <v>61</v>
      </c>
      <c r="P454" s="45">
        <v>60</v>
      </c>
      <c r="Q454" s="45">
        <v>43</v>
      </c>
      <c r="R454" s="45">
        <v>29</v>
      </c>
      <c r="S454" s="45">
        <v>35</v>
      </c>
      <c r="T454" s="45">
        <v>19</v>
      </c>
      <c r="U454" s="45">
        <v>25</v>
      </c>
      <c r="V454" s="45">
        <v>15</v>
      </c>
      <c r="W454" s="45">
        <v>12</v>
      </c>
      <c r="X454" s="45">
        <v>8</v>
      </c>
      <c r="Y454" s="45">
        <v>14</v>
      </c>
      <c r="Z454" s="45">
        <v>7</v>
      </c>
      <c r="AA454" s="45">
        <v>22</v>
      </c>
      <c r="AB454" s="45">
        <v>11</v>
      </c>
      <c r="AC454" s="45">
        <v>34</v>
      </c>
      <c r="AD454" s="45">
        <v>40</v>
      </c>
      <c r="AE454" s="45">
        <v>25</v>
      </c>
      <c r="AF454" s="45">
        <v>3</v>
      </c>
      <c r="AG454" s="45">
        <v>4</v>
      </c>
      <c r="AH454" s="45">
        <v>8</v>
      </c>
      <c r="AI454" s="45">
        <v>12</v>
      </c>
      <c r="AJ454" s="45">
        <v>15</v>
      </c>
      <c r="AK454" s="45">
        <v>12</v>
      </c>
      <c r="AL454" s="24">
        <f>SUM(G454:AK454)</f>
        <v>696</v>
      </c>
      <c r="AM454" s="15">
        <v>8500</v>
      </c>
      <c r="AN454" s="15">
        <f>AM454*AL454</f>
        <v>5916000</v>
      </c>
    </row>
    <row r="455" spans="1:41" ht="17.25" customHeight="1">
      <c r="A455" s="60"/>
      <c r="B455" s="67" t="s">
        <v>797</v>
      </c>
      <c r="C455" s="67"/>
      <c r="D455" s="67"/>
      <c r="E455" s="67"/>
      <c r="F455" s="67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45">
        <f>SUM(AD446,'H3'!AD100,ACONCAGUA!AD102)</f>
        <v>207</v>
      </c>
      <c r="AE455" s="45">
        <f>SUM(AE446,'H3'!AE100,ACONCAGUA!AE102)</f>
        <v>206</v>
      </c>
      <c r="AF455" s="45">
        <f>SUM(AF446,'H3'!AF100,ACONCAGUA!AF102)</f>
        <v>203</v>
      </c>
      <c r="AG455" s="45">
        <f>SUM(AG446,'H3'!AG100,ACONCAGUA!AG102)</f>
        <v>214</v>
      </c>
      <c r="AH455" s="45">
        <f>SUM(AH446,'H3'!AH100,ACONCAGUA!AH102)</f>
        <v>207</v>
      </c>
      <c r="AI455" s="45">
        <f>SUM(AI446,'H3'!AI100,ACONCAGUA!AI102)</f>
        <v>205</v>
      </c>
      <c r="AJ455" s="45">
        <f>SUM(AJ446,'H3'!AJ100,ACONCAGUA!AJ102)</f>
        <v>202</v>
      </c>
      <c r="AK455" s="45">
        <f>SUM(AK446,'H3'!AK100,ACONCAGUA!AK102)</f>
        <v>196</v>
      </c>
      <c r="AL455" s="24">
        <f>SUM(G455:AK455)</f>
        <v>1640</v>
      </c>
      <c r="AM455" s="15">
        <v>1900</v>
      </c>
      <c r="AN455" s="15">
        <f>AM455*AL455</f>
        <v>3116000</v>
      </c>
    </row>
    <row r="457" spans="1:41" ht="20.25">
      <c r="AL457" s="25"/>
      <c r="AM457" s="26" t="s">
        <v>921</v>
      </c>
      <c r="AN457" s="27">
        <f>AN448</f>
        <v>110528000</v>
      </c>
      <c r="AO457" s="25"/>
    </row>
    <row r="458" spans="1:41" ht="20.25">
      <c r="AL458" s="25"/>
      <c r="AM458" s="26" t="s">
        <v>922</v>
      </c>
      <c r="AN458" s="27">
        <f>'H3'!AN102</f>
        <v>28640000</v>
      </c>
      <c r="AO458" s="25"/>
    </row>
    <row r="459" spans="1:41" ht="20.25">
      <c r="AL459" s="25"/>
      <c r="AM459" s="26" t="s">
        <v>923</v>
      </c>
      <c r="AN459" s="27">
        <f>ACONCAGUA!AN104</f>
        <v>15243000</v>
      </c>
      <c r="AO459" s="25"/>
    </row>
    <row r="460" spans="1:41" ht="20.25">
      <c r="AL460" s="25"/>
      <c r="AM460" s="26" t="s">
        <v>925</v>
      </c>
      <c r="AN460" s="27">
        <f>AN454</f>
        <v>5916000</v>
      </c>
      <c r="AO460" s="25"/>
    </row>
    <row r="461" spans="1:41" ht="20.25">
      <c r="AL461" s="25"/>
      <c r="AM461" s="26" t="s">
        <v>924</v>
      </c>
      <c r="AN461" s="27">
        <f>ACONCAGUA!AN113</f>
        <v>17000</v>
      </c>
      <c r="AO461" s="25"/>
    </row>
    <row r="462" spans="1:41" ht="20.25">
      <c r="AL462" s="25"/>
      <c r="AM462" s="26" t="s">
        <v>926</v>
      </c>
      <c r="AN462" s="27">
        <f>AN455</f>
        <v>3116000</v>
      </c>
      <c r="AO462" s="25"/>
    </row>
    <row r="463" spans="1:41" ht="14.25" customHeight="1">
      <c r="AL463" s="25"/>
      <c r="AM463" s="28"/>
      <c r="AN463" s="28"/>
      <c r="AO463" s="25"/>
    </row>
    <row r="464" spans="1:41" ht="14.25" customHeight="1">
      <c r="AL464" s="25"/>
      <c r="AM464" s="29" t="s">
        <v>36</v>
      </c>
      <c r="AN464" s="30">
        <f>SUM(AN457:AN463)</f>
        <v>163460000</v>
      </c>
      <c r="AO464" s="25"/>
    </row>
    <row r="465" spans="3:43" ht="14.25" customHeight="1">
      <c r="AL465" s="25"/>
      <c r="AM465" s="29" t="s">
        <v>37</v>
      </c>
      <c r="AN465" s="30">
        <f>AN464*0.19</f>
        <v>31057400</v>
      </c>
      <c r="AO465" s="25"/>
      <c r="AP465" s="64"/>
      <c r="AQ465" s="64"/>
    </row>
    <row r="466" spans="3:43" ht="14.25" customHeight="1">
      <c r="AL466" s="25"/>
      <c r="AM466" s="29" t="s">
        <v>32</v>
      </c>
      <c r="AN466" s="30">
        <f>+AN464+AN465</f>
        <v>194517400</v>
      </c>
      <c r="AO466" s="25"/>
      <c r="AP466" s="2"/>
      <c r="AQ466" s="2"/>
    </row>
    <row r="467" spans="3:43" ht="14.25" customHeight="1">
      <c r="AL467" s="25"/>
      <c r="AM467" s="25"/>
      <c r="AN467" s="25"/>
      <c r="AO467" s="25"/>
      <c r="AP467" s="2"/>
      <c r="AQ467" s="2"/>
    </row>
    <row r="468" spans="3:43" ht="14.25" customHeight="1">
      <c r="AL468" s="25"/>
      <c r="AM468" s="25"/>
      <c r="AN468" s="25"/>
      <c r="AO468" s="25"/>
      <c r="AP468" s="2"/>
      <c r="AQ468" s="2"/>
    </row>
    <row r="469" spans="3:43" ht="14.25" customHeight="1">
      <c r="AL469" s="28"/>
      <c r="AO469" s="28"/>
      <c r="AP469" s="2"/>
      <c r="AQ469" s="2"/>
    </row>
    <row r="470" spans="3:43" ht="14.25" customHeight="1">
      <c r="AL470" s="25"/>
      <c r="AO470" s="25"/>
      <c r="AP470" s="31"/>
      <c r="AQ470" s="31"/>
    </row>
    <row r="471" spans="3:43" ht="14.25" customHeight="1">
      <c r="AL471" s="25"/>
      <c r="AO471" s="25"/>
      <c r="AP471" s="31"/>
      <c r="AQ471" s="31"/>
    </row>
    <row r="472" spans="3:43" ht="14.25" customHeight="1">
      <c r="AL472" s="25"/>
      <c r="AO472" s="25"/>
    </row>
    <row r="473" spans="3:43" ht="20.25">
      <c r="AL473" s="25"/>
      <c r="AO473" s="25"/>
    </row>
    <row r="474" spans="3:43" ht="20.25">
      <c r="AL474" s="25"/>
      <c r="AO474" s="25"/>
    </row>
    <row r="476" spans="3:43">
      <c r="C476" s="66"/>
      <c r="D476" s="66"/>
    </row>
  </sheetData>
  <autoFilter ref="B9:F444" xr:uid="{DD1DA04F-FEC7-4DF1-B52C-03C46657B1E5}"/>
  <sortState xmlns:xlrd2="http://schemas.microsoft.com/office/spreadsheetml/2017/richdata2" ref="A384:AN420">
    <sortCondition ref="B384:B420"/>
  </sortState>
  <mergeCells count="75">
    <mergeCell ref="AG450:AG453"/>
    <mergeCell ref="AH450:AH453"/>
    <mergeCell ref="AI450:AI453"/>
    <mergeCell ref="AJ450:AJ453"/>
    <mergeCell ref="AF450:AF453"/>
    <mergeCell ref="AK450:AK453"/>
    <mergeCell ref="AO421:AO437"/>
    <mergeCell ref="A1:F5"/>
    <mergeCell ref="G1:AN3"/>
    <mergeCell ref="G4:AN5"/>
    <mergeCell ref="A6:F8"/>
    <mergeCell ref="G6:G9"/>
    <mergeCell ref="H6:H9"/>
    <mergeCell ref="I6:I9"/>
    <mergeCell ref="J6:J9"/>
    <mergeCell ref="K6:K9"/>
    <mergeCell ref="L6:L9"/>
    <mergeCell ref="Z6:Z9"/>
    <mergeCell ref="AA6:AA9"/>
    <mergeCell ref="AB6:AB9"/>
    <mergeCell ref="AC6:AC9"/>
    <mergeCell ref="AL6:AN8"/>
    <mergeCell ref="AD6:AD9"/>
    <mergeCell ref="AE6:AE9"/>
    <mergeCell ref="AF6:AF9"/>
    <mergeCell ref="AG6:AG9"/>
    <mergeCell ref="AH6:AH9"/>
    <mergeCell ref="AI6:AI9"/>
    <mergeCell ref="AJ6:AJ9"/>
    <mergeCell ref="AK6:AK9"/>
    <mergeCell ref="S6:S9"/>
    <mergeCell ref="T6:T9"/>
    <mergeCell ref="U6:U9"/>
    <mergeCell ref="V6:V9"/>
    <mergeCell ref="AC450:AC453"/>
    <mergeCell ref="X6:X9"/>
    <mergeCell ref="Y6:Y9"/>
    <mergeCell ref="W6:W9"/>
    <mergeCell ref="Z450:Z453"/>
    <mergeCell ref="AA450:AA453"/>
    <mergeCell ref="AB450:AB453"/>
    <mergeCell ref="S450:S453"/>
    <mergeCell ref="T450:T453"/>
    <mergeCell ref="O6:O9"/>
    <mergeCell ref="P6:P9"/>
    <mergeCell ref="Q6:Q9"/>
    <mergeCell ref="R6:R9"/>
    <mergeCell ref="A453:F453"/>
    <mergeCell ref="O450:O453"/>
    <mergeCell ref="P450:P453"/>
    <mergeCell ref="Q450:Q453"/>
    <mergeCell ref="R450:R453"/>
    <mergeCell ref="L450:L453"/>
    <mergeCell ref="M450:M453"/>
    <mergeCell ref="N450:N453"/>
    <mergeCell ref="M6:M9"/>
    <mergeCell ref="N6:N9"/>
    <mergeCell ref="A450:F452"/>
    <mergeCell ref="G450:G453"/>
    <mergeCell ref="AP465:AQ465"/>
    <mergeCell ref="AL450:AN452"/>
    <mergeCell ref="C476:D476"/>
    <mergeCell ref="B454:F454"/>
    <mergeCell ref="U450:U453"/>
    <mergeCell ref="V450:V453"/>
    <mergeCell ref="H450:H453"/>
    <mergeCell ref="I450:I453"/>
    <mergeCell ref="J450:J453"/>
    <mergeCell ref="K450:K453"/>
    <mergeCell ref="B455:F455"/>
    <mergeCell ref="W450:W453"/>
    <mergeCell ref="X450:X453"/>
    <mergeCell ref="Y450:Y453"/>
    <mergeCell ref="AD450:AD453"/>
    <mergeCell ref="AE450:AE453"/>
  </mergeCells>
  <phoneticPr fontId="23" type="noConversion"/>
  <conditionalFormatting sqref="B109">
    <cfRule type="containsText" dxfId="5" priority="1" operator="containsText" text="1 DESCANSO">
      <formula>NOT(ISERROR(SEARCH("1 DESCANSO",B109)))</formula>
    </cfRule>
    <cfRule type="containsText" dxfId="4" priority="2" operator="containsText" text="1 LICENCIA">
      <formula>NOT(ISERROR(SEARCH("1 LICENCIA",B109)))</formula>
    </cfRule>
    <cfRule type="containsText" dxfId="3" priority="3" operator="containsText" text="1 PERMISO">
      <formula>NOT(ISERROR(SEARCH("1 PERMISO",B109)))</formula>
    </cfRule>
  </conditionalFormatting>
  <pageMargins left="0.25" right="0.25" top="0.75" bottom="0.75" header="0.511811023622047" footer="0.511811023622047"/>
  <pageSetup scale="7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07AA2-908A-4A32-9084-5DE35C09A3D9}">
  <dimension ref="A1:AQ122"/>
  <sheetViews>
    <sheetView zoomScale="112" zoomScaleNormal="112" workbookViewId="0">
      <pane xSplit="6" ySplit="9" topLeftCell="G65" activePane="bottomRight" state="frozen"/>
      <selection pane="topRight" activeCell="I1" sqref="I1"/>
      <selection pane="bottomLeft" activeCell="A46" sqref="A46"/>
      <selection pane="bottomRight" activeCell="AO89" sqref="AO89"/>
    </sheetView>
  </sheetViews>
  <sheetFormatPr baseColWidth="10" defaultColWidth="11.42578125" defaultRowHeight="12.75"/>
  <cols>
    <col min="1" max="1" width="6.28515625" style="1" customWidth="1"/>
    <col min="2" max="2" width="4.7109375" style="1" customWidth="1"/>
    <col min="3" max="3" width="10.7109375" style="3" customWidth="1"/>
    <col min="4" max="4" width="12.42578125" style="3" customWidth="1"/>
    <col min="5" max="5" width="13.5703125" style="3" customWidth="1"/>
    <col min="6" max="6" width="10.5703125" style="1" customWidth="1"/>
    <col min="7" max="34" width="3.7109375" style="3" customWidth="1"/>
    <col min="35" max="37" width="4.42578125" style="3" bestFit="1" customWidth="1"/>
    <col min="38" max="38" width="5.5703125" style="3" customWidth="1"/>
    <col min="39" max="39" width="18.28515625" style="3" customWidth="1"/>
    <col min="40" max="40" width="15.5703125" style="3" customWidth="1"/>
    <col min="41" max="41" width="12.42578125" style="3" customWidth="1"/>
    <col min="42" max="44" width="3" style="3" customWidth="1"/>
    <col min="45" max="16384" width="11.42578125" style="3"/>
  </cols>
  <sheetData>
    <row r="1" spans="1:40" ht="12.75" customHeight="1" thickBot="1">
      <c r="A1" s="72"/>
      <c r="B1" s="72"/>
      <c r="C1" s="72"/>
      <c r="D1" s="72"/>
      <c r="E1" s="72"/>
      <c r="F1" s="72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</row>
    <row r="2" spans="1:40" ht="12.75" customHeight="1" thickBot="1">
      <c r="A2" s="72"/>
      <c r="B2" s="72"/>
      <c r="C2" s="72"/>
      <c r="D2" s="72"/>
      <c r="E2" s="72"/>
      <c r="F2" s="72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</row>
    <row r="3" spans="1:40" ht="20.25" customHeight="1" thickBot="1">
      <c r="A3" s="72"/>
      <c r="B3" s="72"/>
      <c r="C3" s="72"/>
      <c r="D3" s="72"/>
      <c r="E3" s="72"/>
      <c r="F3" s="72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</row>
    <row r="4" spans="1:40" ht="12.75" customHeight="1" thickBot="1">
      <c r="A4" s="72"/>
      <c r="B4" s="72"/>
      <c r="C4" s="72"/>
      <c r="D4" s="72"/>
      <c r="E4" s="72"/>
      <c r="F4" s="72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</row>
    <row r="5" spans="1:40" ht="7.5" customHeight="1" thickBot="1">
      <c r="A5" s="72"/>
      <c r="B5" s="72"/>
      <c r="C5" s="72"/>
      <c r="D5" s="72"/>
      <c r="E5" s="72"/>
      <c r="F5" s="72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</row>
    <row r="6" spans="1:40" ht="12.75" customHeight="1" thickBot="1">
      <c r="A6" s="70" t="s">
        <v>156</v>
      </c>
      <c r="B6" s="70"/>
      <c r="C6" s="70"/>
      <c r="D6" s="70"/>
      <c r="E6" s="70"/>
      <c r="F6" s="70"/>
      <c r="G6" s="68">
        <v>45778</v>
      </c>
      <c r="H6" s="68">
        <v>45779</v>
      </c>
      <c r="I6" s="68">
        <v>45780</v>
      </c>
      <c r="J6" s="68">
        <v>45781</v>
      </c>
      <c r="K6" s="68">
        <v>45782</v>
      </c>
      <c r="L6" s="68">
        <v>45783</v>
      </c>
      <c r="M6" s="68">
        <v>45784</v>
      </c>
      <c r="N6" s="68">
        <v>45785</v>
      </c>
      <c r="O6" s="68">
        <v>45786</v>
      </c>
      <c r="P6" s="68">
        <v>45787</v>
      </c>
      <c r="Q6" s="68">
        <v>45788</v>
      </c>
      <c r="R6" s="68">
        <v>45789</v>
      </c>
      <c r="S6" s="68">
        <v>45790</v>
      </c>
      <c r="T6" s="68">
        <v>45791</v>
      </c>
      <c r="U6" s="68">
        <v>45792</v>
      </c>
      <c r="V6" s="68">
        <v>45793</v>
      </c>
      <c r="W6" s="68">
        <v>45794</v>
      </c>
      <c r="X6" s="68">
        <v>45795</v>
      </c>
      <c r="Y6" s="68">
        <v>45796</v>
      </c>
      <c r="Z6" s="68">
        <v>45797</v>
      </c>
      <c r="AA6" s="68">
        <v>45798</v>
      </c>
      <c r="AB6" s="68">
        <v>45799</v>
      </c>
      <c r="AC6" s="68">
        <v>45800</v>
      </c>
      <c r="AD6" s="68">
        <v>45801</v>
      </c>
      <c r="AE6" s="68">
        <v>45802</v>
      </c>
      <c r="AF6" s="68">
        <v>45803</v>
      </c>
      <c r="AG6" s="68">
        <v>45804</v>
      </c>
      <c r="AH6" s="68">
        <v>45805</v>
      </c>
      <c r="AI6" s="68">
        <v>45806</v>
      </c>
      <c r="AJ6" s="68">
        <v>45807</v>
      </c>
      <c r="AK6" s="68">
        <v>45808</v>
      </c>
      <c r="AL6" s="65" t="s">
        <v>157</v>
      </c>
      <c r="AM6" s="65"/>
      <c r="AN6" s="65"/>
    </row>
    <row r="7" spans="1:40" ht="15" customHeight="1" thickBot="1">
      <c r="A7" s="70"/>
      <c r="B7" s="70"/>
      <c r="C7" s="70"/>
      <c r="D7" s="70"/>
      <c r="E7" s="70"/>
      <c r="F7" s="70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5"/>
      <c r="AM7" s="65"/>
      <c r="AN7" s="65"/>
    </row>
    <row r="8" spans="1:40" ht="15.75" customHeight="1" thickBot="1">
      <c r="A8" s="70"/>
      <c r="B8" s="70"/>
      <c r="C8" s="70"/>
      <c r="D8" s="70"/>
      <c r="E8" s="70"/>
      <c r="F8" s="70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5"/>
      <c r="AM8" s="65"/>
      <c r="AN8" s="65"/>
    </row>
    <row r="9" spans="1:40" ht="15" customHeight="1">
      <c r="A9" s="4"/>
      <c r="B9" s="4" t="s">
        <v>0</v>
      </c>
      <c r="C9" s="5" t="s">
        <v>1</v>
      </c>
      <c r="D9" s="5" t="s">
        <v>2</v>
      </c>
      <c r="E9" s="5" t="s">
        <v>3</v>
      </c>
      <c r="F9" s="6" t="s">
        <v>4</v>
      </c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7" t="s">
        <v>5</v>
      </c>
      <c r="AM9" s="8" t="s">
        <v>6</v>
      </c>
      <c r="AN9" s="9" t="s">
        <v>7</v>
      </c>
    </row>
    <row r="10" spans="1:40">
      <c r="A10" s="53" t="s">
        <v>561</v>
      </c>
      <c r="B10" s="35">
        <v>51</v>
      </c>
      <c r="C10" s="36" t="s">
        <v>25</v>
      </c>
      <c r="D10" s="36" t="s">
        <v>99</v>
      </c>
      <c r="E10" s="36" t="s">
        <v>100</v>
      </c>
      <c r="F10" s="35" t="s">
        <v>101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34">
        <v>1</v>
      </c>
      <c r="R10" s="34">
        <v>1</v>
      </c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3">
        <f t="shared" ref="AL10:AL27" si="0">SUM(G10:AK10)</f>
        <v>12</v>
      </c>
      <c r="AM10" s="11">
        <v>32000</v>
      </c>
      <c r="AN10" s="11">
        <f t="shared" ref="AN10:AN26" si="1">AM10*AL10</f>
        <v>384000</v>
      </c>
    </row>
    <row r="11" spans="1:40">
      <c r="A11" s="53" t="s">
        <v>561</v>
      </c>
      <c r="B11" s="35">
        <v>51</v>
      </c>
      <c r="C11" s="36" t="s">
        <v>102</v>
      </c>
      <c r="D11" s="36" t="s">
        <v>103</v>
      </c>
      <c r="E11" s="36" t="s">
        <v>104</v>
      </c>
      <c r="F11" s="35" t="s">
        <v>105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10">
        <f t="shared" si="0"/>
        <v>12</v>
      </c>
      <c r="AM11" s="11">
        <v>32000</v>
      </c>
      <c r="AN11" s="12">
        <f t="shared" si="1"/>
        <v>384000</v>
      </c>
    </row>
    <row r="12" spans="1:40">
      <c r="A12" s="53" t="s">
        <v>561</v>
      </c>
      <c r="B12" s="35">
        <v>56</v>
      </c>
      <c r="C12" s="36" t="s">
        <v>107</v>
      </c>
      <c r="D12" s="36" t="s">
        <v>21</v>
      </c>
      <c r="E12" s="36" t="s">
        <v>108</v>
      </c>
      <c r="F12" s="35" t="s">
        <v>109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10">
        <f t="shared" si="0"/>
        <v>12</v>
      </c>
      <c r="AM12" s="11">
        <v>32000</v>
      </c>
      <c r="AN12" s="12">
        <f t="shared" si="1"/>
        <v>384000</v>
      </c>
    </row>
    <row r="13" spans="1:40">
      <c r="A13" s="53" t="s">
        <v>561</v>
      </c>
      <c r="B13" s="35">
        <v>56</v>
      </c>
      <c r="C13" s="36" t="s">
        <v>107</v>
      </c>
      <c r="D13" s="36" t="s">
        <v>21</v>
      </c>
      <c r="E13" s="36" t="s">
        <v>26</v>
      </c>
      <c r="F13" s="35" t="s">
        <v>110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10">
        <f t="shared" si="0"/>
        <v>12</v>
      </c>
      <c r="AM13" s="11">
        <v>32000</v>
      </c>
      <c r="AN13" s="12">
        <f t="shared" si="1"/>
        <v>384000</v>
      </c>
    </row>
    <row r="14" spans="1:40">
      <c r="A14" s="53" t="s">
        <v>561</v>
      </c>
      <c r="B14" s="35">
        <v>57</v>
      </c>
      <c r="C14" s="36" t="s">
        <v>111</v>
      </c>
      <c r="D14" s="36" t="s">
        <v>112</v>
      </c>
      <c r="E14" s="36" t="s">
        <v>104</v>
      </c>
      <c r="F14" s="35" t="s">
        <v>113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10">
        <f t="shared" si="0"/>
        <v>12</v>
      </c>
      <c r="AM14" s="11">
        <v>32000</v>
      </c>
      <c r="AN14" s="12">
        <f t="shared" si="1"/>
        <v>384000</v>
      </c>
    </row>
    <row r="15" spans="1:40">
      <c r="A15" s="53" t="s">
        <v>561</v>
      </c>
      <c r="B15" s="35">
        <v>57</v>
      </c>
      <c r="C15" s="36" t="s">
        <v>114</v>
      </c>
      <c r="D15" s="36" t="s">
        <v>48</v>
      </c>
      <c r="E15" s="36" t="s">
        <v>23</v>
      </c>
      <c r="F15" s="35" t="s">
        <v>115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10">
        <f t="shared" si="0"/>
        <v>12</v>
      </c>
      <c r="AM15" s="11">
        <v>32000</v>
      </c>
      <c r="AN15" s="12">
        <f t="shared" si="1"/>
        <v>384000</v>
      </c>
    </row>
    <row r="16" spans="1:40">
      <c r="A16" s="53" t="s">
        <v>561</v>
      </c>
      <c r="B16" s="35">
        <v>59</v>
      </c>
      <c r="C16" s="36" t="s">
        <v>116</v>
      </c>
      <c r="D16" s="36" t="s">
        <v>117</v>
      </c>
      <c r="E16" s="36" t="s">
        <v>108</v>
      </c>
      <c r="F16" s="35" t="s">
        <v>118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10">
        <f t="shared" si="0"/>
        <v>12</v>
      </c>
      <c r="AM16" s="11">
        <v>32000</v>
      </c>
      <c r="AN16" s="12">
        <f t="shared" si="1"/>
        <v>384000</v>
      </c>
    </row>
    <row r="17" spans="1:40">
      <c r="A17" s="53" t="s">
        <v>561</v>
      </c>
      <c r="B17" s="35">
        <v>59</v>
      </c>
      <c r="C17" s="36" t="s">
        <v>25</v>
      </c>
      <c r="D17" s="36" t="s">
        <v>119</v>
      </c>
      <c r="E17" s="36" t="s">
        <v>120</v>
      </c>
      <c r="F17" s="35" t="s">
        <v>121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10">
        <f t="shared" si="0"/>
        <v>12</v>
      </c>
      <c r="AM17" s="11">
        <v>32000</v>
      </c>
      <c r="AN17" s="12">
        <f t="shared" si="1"/>
        <v>384000</v>
      </c>
    </row>
    <row r="18" spans="1:40">
      <c r="A18" s="53" t="s">
        <v>561</v>
      </c>
      <c r="B18" s="35">
        <v>61</v>
      </c>
      <c r="C18" s="36" t="s">
        <v>20</v>
      </c>
      <c r="D18" s="36" t="s">
        <v>122</v>
      </c>
      <c r="E18" s="36" t="s">
        <v>15</v>
      </c>
      <c r="F18" s="35" t="s">
        <v>123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10">
        <f t="shared" si="0"/>
        <v>12</v>
      </c>
      <c r="AM18" s="11">
        <v>32000</v>
      </c>
      <c r="AN18" s="12">
        <f t="shared" si="1"/>
        <v>384000</v>
      </c>
    </row>
    <row r="19" spans="1:40">
      <c r="A19" s="53" t="s">
        <v>561</v>
      </c>
      <c r="B19" s="35">
        <v>61</v>
      </c>
      <c r="C19" s="36" t="s">
        <v>18</v>
      </c>
      <c r="D19" s="36" t="s">
        <v>10</v>
      </c>
      <c r="E19" s="36" t="s">
        <v>124</v>
      </c>
      <c r="F19" s="35" t="s">
        <v>125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10">
        <f t="shared" si="0"/>
        <v>12</v>
      </c>
      <c r="AM19" s="11">
        <v>32000</v>
      </c>
      <c r="AN19" s="12">
        <f t="shared" si="1"/>
        <v>384000</v>
      </c>
    </row>
    <row r="20" spans="1:40">
      <c r="A20" s="53" t="s">
        <v>561</v>
      </c>
      <c r="B20" s="35">
        <v>65</v>
      </c>
      <c r="C20" s="36" t="s">
        <v>126</v>
      </c>
      <c r="D20" s="36" t="s">
        <v>127</v>
      </c>
      <c r="E20" s="36" t="s">
        <v>128</v>
      </c>
      <c r="F20" s="35" t="s">
        <v>129</v>
      </c>
      <c r="G20" s="34">
        <v>1</v>
      </c>
      <c r="H20" s="34">
        <v>1</v>
      </c>
      <c r="I20" s="34">
        <v>1</v>
      </c>
      <c r="J20" s="34">
        <v>1</v>
      </c>
      <c r="K20" s="34">
        <v>1</v>
      </c>
      <c r="L20" s="34">
        <v>1</v>
      </c>
      <c r="M20" s="34">
        <v>1</v>
      </c>
      <c r="N20" s="34">
        <v>1</v>
      </c>
      <c r="O20" s="34">
        <v>1</v>
      </c>
      <c r="P20" s="34">
        <v>1</v>
      </c>
      <c r="Q20" s="34">
        <v>1</v>
      </c>
      <c r="R20" s="34">
        <v>1</v>
      </c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10">
        <f t="shared" si="0"/>
        <v>12</v>
      </c>
      <c r="AM20" s="11">
        <v>32000</v>
      </c>
      <c r="AN20" s="12">
        <f t="shared" si="1"/>
        <v>384000</v>
      </c>
    </row>
    <row r="21" spans="1:40">
      <c r="A21" s="53" t="s">
        <v>561</v>
      </c>
      <c r="B21" s="35">
        <v>65</v>
      </c>
      <c r="C21" s="36" t="s">
        <v>130</v>
      </c>
      <c r="D21" s="36" t="s">
        <v>131</v>
      </c>
      <c r="E21" s="36" t="s">
        <v>132</v>
      </c>
      <c r="F21" s="35" t="s">
        <v>133</v>
      </c>
      <c r="G21" s="34">
        <v>1</v>
      </c>
      <c r="H21" s="34">
        <v>1</v>
      </c>
      <c r="I21" s="34">
        <v>1</v>
      </c>
      <c r="J21" s="34">
        <v>1</v>
      </c>
      <c r="K21" s="34">
        <v>1</v>
      </c>
      <c r="L21" s="34">
        <v>1</v>
      </c>
      <c r="M21" s="34">
        <v>1</v>
      </c>
      <c r="N21" s="34">
        <v>1</v>
      </c>
      <c r="O21" s="34">
        <v>1</v>
      </c>
      <c r="P21" s="34">
        <v>1</v>
      </c>
      <c r="Q21" s="34">
        <v>1</v>
      </c>
      <c r="R21" s="34">
        <v>1</v>
      </c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10">
        <f t="shared" si="0"/>
        <v>12</v>
      </c>
      <c r="AM21" s="11">
        <v>32000</v>
      </c>
      <c r="AN21" s="12">
        <f t="shared" si="1"/>
        <v>384000</v>
      </c>
    </row>
    <row r="22" spans="1:40">
      <c r="A22" s="53" t="s">
        <v>561</v>
      </c>
      <c r="B22" s="35">
        <v>67</v>
      </c>
      <c r="C22" s="36" t="s">
        <v>134</v>
      </c>
      <c r="D22" s="36" t="s">
        <v>135</v>
      </c>
      <c r="E22" s="36" t="s">
        <v>11</v>
      </c>
      <c r="F22" s="35" t="s">
        <v>136</v>
      </c>
      <c r="G22" s="34">
        <v>1</v>
      </c>
      <c r="H22" s="34">
        <v>1</v>
      </c>
      <c r="I22" s="34">
        <v>1</v>
      </c>
      <c r="J22" s="34">
        <v>1</v>
      </c>
      <c r="K22" s="34">
        <v>1</v>
      </c>
      <c r="L22" s="34">
        <v>1</v>
      </c>
      <c r="M22" s="34">
        <v>1</v>
      </c>
      <c r="N22" s="34">
        <v>1</v>
      </c>
      <c r="O22" s="34">
        <v>1</v>
      </c>
      <c r="P22" s="34">
        <v>1</v>
      </c>
      <c r="Q22" s="34">
        <v>1</v>
      </c>
      <c r="R22" s="34">
        <v>1</v>
      </c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10">
        <f t="shared" si="0"/>
        <v>12</v>
      </c>
      <c r="AM22" s="11">
        <v>32000</v>
      </c>
      <c r="AN22" s="12">
        <f t="shared" si="1"/>
        <v>384000</v>
      </c>
    </row>
    <row r="23" spans="1:40">
      <c r="A23" s="53" t="s">
        <v>561</v>
      </c>
      <c r="B23" s="35">
        <v>67</v>
      </c>
      <c r="C23" s="36" t="s">
        <v>137</v>
      </c>
      <c r="D23" s="36" t="s">
        <v>138</v>
      </c>
      <c r="E23" s="36" t="s">
        <v>11</v>
      </c>
      <c r="F23" s="35"/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4">
        <v>1</v>
      </c>
      <c r="M23" s="34">
        <v>1</v>
      </c>
      <c r="N23" s="34">
        <v>1</v>
      </c>
      <c r="O23" s="34">
        <v>1</v>
      </c>
      <c r="P23" s="34">
        <v>1</v>
      </c>
      <c r="Q23" s="34">
        <v>1</v>
      </c>
      <c r="R23" s="34">
        <v>1</v>
      </c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10">
        <f t="shared" si="0"/>
        <v>12</v>
      </c>
      <c r="AM23" s="11">
        <v>32000</v>
      </c>
      <c r="AN23" s="12">
        <f t="shared" si="1"/>
        <v>384000</v>
      </c>
    </row>
    <row r="24" spans="1:40">
      <c r="A24" s="53" t="s">
        <v>561</v>
      </c>
      <c r="B24" s="35">
        <v>69</v>
      </c>
      <c r="C24" s="36" t="s">
        <v>139</v>
      </c>
      <c r="D24" s="36" t="s">
        <v>52</v>
      </c>
      <c r="E24" s="36" t="s">
        <v>24</v>
      </c>
      <c r="F24" s="35" t="s">
        <v>140</v>
      </c>
      <c r="G24" s="34">
        <v>1</v>
      </c>
      <c r="H24" s="34">
        <v>1</v>
      </c>
      <c r="I24" s="34">
        <v>1</v>
      </c>
      <c r="J24" s="34">
        <v>1</v>
      </c>
      <c r="K24" s="34">
        <v>1</v>
      </c>
      <c r="L24" s="34">
        <v>1</v>
      </c>
      <c r="M24" s="34">
        <v>1</v>
      </c>
      <c r="N24" s="34">
        <v>1</v>
      </c>
      <c r="O24" s="34">
        <v>1</v>
      </c>
      <c r="P24" s="34">
        <v>1</v>
      </c>
      <c r="Q24" s="34">
        <v>1</v>
      </c>
      <c r="R24" s="34">
        <v>1</v>
      </c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10">
        <f t="shared" si="0"/>
        <v>12</v>
      </c>
      <c r="AM24" s="11">
        <v>32000</v>
      </c>
      <c r="AN24" s="12">
        <f t="shared" si="1"/>
        <v>384000</v>
      </c>
    </row>
    <row r="25" spans="1:40">
      <c r="A25" s="53" t="s">
        <v>561</v>
      </c>
      <c r="B25" s="35">
        <v>69</v>
      </c>
      <c r="C25" s="36" t="s">
        <v>141</v>
      </c>
      <c r="D25" s="36" t="s">
        <v>141</v>
      </c>
      <c r="E25" s="36" t="s">
        <v>142</v>
      </c>
      <c r="F25" s="35" t="s">
        <v>143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4">
        <v>1</v>
      </c>
      <c r="M25" s="34">
        <v>1</v>
      </c>
      <c r="N25" s="34">
        <v>1</v>
      </c>
      <c r="O25" s="34">
        <v>1</v>
      </c>
      <c r="P25" s="34">
        <v>1</v>
      </c>
      <c r="Q25" s="34">
        <v>1</v>
      </c>
      <c r="R25" s="34">
        <v>1</v>
      </c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10">
        <f t="shared" si="0"/>
        <v>12</v>
      </c>
      <c r="AM25" s="11">
        <v>32000</v>
      </c>
      <c r="AN25" s="12">
        <f t="shared" si="1"/>
        <v>384000</v>
      </c>
    </row>
    <row r="26" spans="1:40">
      <c r="A26" s="53" t="s">
        <v>561</v>
      </c>
      <c r="B26" s="35">
        <v>71</v>
      </c>
      <c r="C26" s="36" t="s">
        <v>144</v>
      </c>
      <c r="D26" s="36" t="s">
        <v>145</v>
      </c>
      <c r="E26" s="36" t="s">
        <v>146</v>
      </c>
      <c r="F26" s="35" t="s">
        <v>147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4">
        <v>1</v>
      </c>
      <c r="M26" s="34">
        <v>1</v>
      </c>
      <c r="N26" s="34">
        <v>1</v>
      </c>
      <c r="O26" s="34">
        <v>1</v>
      </c>
      <c r="P26" s="34">
        <v>1</v>
      </c>
      <c r="Q26" s="34">
        <v>1</v>
      </c>
      <c r="R26" s="34">
        <v>1</v>
      </c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10">
        <f t="shared" si="0"/>
        <v>12</v>
      </c>
      <c r="AM26" s="11">
        <v>32000</v>
      </c>
      <c r="AN26" s="12">
        <f t="shared" si="1"/>
        <v>384000</v>
      </c>
    </row>
    <row r="27" spans="1:40" ht="15" customHeight="1">
      <c r="A27" s="53" t="s">
        <v>561</v>
      </c>
      <c r="B27" s="35">
        <v>71</v>
      </c>
      <c r="C27" s="36" t="s">
        <v>148</v>
      </c>
      <c r="D27" s="36" t="s">
        <v>149</v>
      </c>
      <c r="E27" s="36" t="s">
        <v>27</v>
      </c>
      <c r="F27" s="35" t="s">
        <v>150</v>
      </c>
      <c r="G27" s="34">
        <v>1</v>
      </c>
      <c r="H27" s="34">
        <v>1</v>
      </c>
      <c r="I27" s="34">
        <v>1</v>
      </c>
      <c r="J27" s="34">
        <v>1</v>
      </c>
      <c r="K27" s="34">
        <v>1</v>
      </c>
      <c r="L27" s="34">
        <v>1</v>
      </c>
      <c r="M27" s="34">
        <v>1</v>
      </c>
      <c r="N27" s="34">
        <v>1</v>
      </c>
      <c r="O27" s="34">
        <v>1</v>
      </c>
      <c r="P27" s="34">
        <v>1</v>
      </c>
      <c r="Q27" s="34">
        <v>1</v>
      </c>
      <c r="R27" s="34">
        <v>1</v>
      </c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10">
        <f t="shared" si="0"/>
        <v>12</v>
      </c>
      <c r="AM27" s="11">
        <v>32000</v>
      </c>
      <c r="AN27" s="12">
        <f>AM27*AL27</f>
        <v>384000</v>
      </c>
    </row>
    <row r="28" spans="1:40">
      <c r="A28" s="53" t="s">
        <v>561</v>
      </c>
      <c r="B28" s="32">
        <v>11</v>
      </c>
      <c r="C28" s="33" t="s">
        <v>517</v>
      </c>
      <c r="D28" s="33" t="s">
        <v>70</v>
      </c>
      <c r="E28" s="33" t="s">
        <v>9</v>
      </c>
      <c r="F28" s="32" t="s">
        <v>518</v>
      </c>
      <c r="G28" s="47"/>
      <c r="H28" s="47"/>
      <c r="I28" s="47"/>
      <c r="J28" s="47"/>
      <c r="K28" s="47"/>
      <c r="L28" s="47"/>
      <c r="M28" s="47"/>
      <c r="N28" s="34">
        <v>1</v>
      </c>
      <c r="O28" s="34">
        <v>1</v>
      </c>
      <c r="P28" s="34">
        <v>1</v>
      </c>
      <c r="Q28" s="34">
        <v>1</v>
      </c>
      <c r="R28" s="34">
        <v>1</v>
      </c>
      <c r="S28" s="34">
        <v>1</v>
      </c>
      <c r="T28" s="34">
        <v>1</v>
      </c>
      <c r="U28" s="34">
        <v>1</v>
      </c>
      <c r="V28" s="34">
        <v>1</v>
      </c>
      <c r="W28" s="34">
        <v>1</v>
      </c>
      <c r="X28" s="34">
        <v>1</v>
      </c>
      <c r="Y28" s="34">
        <v>1</v>
      </c>
      <c r="Z28" s="34">
        <v>1</v>
      </c>
      <c r="AA28" s="34">
        <v>1</v>
      </c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3">
        <f t="shared" ref="AL28:AL59" si="2">SUM(G28:AK28)</f>
        <v>14</v>
      </c>
      <c r="AM28" s="11">
        <v>32000</v>
      </c>
      <c r="AN28" s="11">
        <f t="shared" ref="AN28:AN69" si="3">AM28*AL28</f>
        <v>448000</v>
      </c>
    </row>
    <row r="29" spans="1:40">
      <c r="A29" s="53" t="s">
        <v>561</v>
      </c>
      <c r="B29" s="32">
        <v>11</v>
      </c>
      <c r="C29" s="33" t="s">
        <v>519</v>
      </c>
      <c r="D29" s="33" t="s">
        <v>520</v>
      </c>
      <c r="E29" s="33" t="s">
        <v>15</v>
      </c>
      <c r="F29" s="32" t="s">
        <v>521</v>
      </c>
      <c r="G29" s="47"/>
      <c r="H29" s="47"/>
      <c r="I29" s="47"/>
      <c r="J29" s="47"/>
      <c r="K29" s="47"/>
      <c r="L29" s="47"/>
      <c r="M29" s="47"/>
      <c r="N29" s="34">
        <v>1</v>
      </c>
      <c r="O29" s="34">
        <v>1</v>
      </c>
      <c r="P29" s="34">
        <v>1</v>
      </c>
      <c r="Q29" s="34">
        <v>1</v>
      </c>
      <c r="R29" s="34">
        <v>1</v>
      </c>
      <c r="S29" s="34">
        <v>1</v>
      </c>
      <c r="T29" s="34">
        <v>1</v>
      </c>
      <c r="U29" s="34">
        <v>1</v>
      </c>
      <c r="V29" s="34">
        <v>1</v>
      </c>
      <c r="W29" s="34">
        <v>1</v>
      </c>
      <c r="X29" s="34">
        <v>1</v>
      </c>
      <c r="Y29" s="34">
        <v>1</v>
      </c>
      <c r="Z29" s="34">
        <v>1</v>
      </c>
      <c r="AA29" s="34">
        <v>1</v>
      </c>
      <c r="AB29" s="59"/>
      <c r="AC29" s="59"/>
      <c r="AD29" s="59"/>
      <c r="AE29" s="59"/>
      <c r="AF29" s="47"/>
      <c r="AG29" s="47"/>
      <c r="AH29" s="47"/>
      <c r="AI29" s="47"/>
      <c r="AJ29" s="47"/>
      <c r="AK29" s="47"/>
      <c r="AL29" s="10">
        <f t="shared" si="2"/>
        <v>14</v>
      </c>
      <c r="AM29" s="11">
        <v>32000</v>
      </c>
      <c r="AN29" s="12">
        <f t="shared" si="3"/>
        <v>448000</v>
      </c>
    </row>
    <row r="30" spans="1:40">
      <c r="A30" s="53" t="s">
        <v>561</v>
      </c>
      <c r="B30" s="32">
        <v>15</v>
      </c>
      <c r="C30" s="33" t="s">
        <v>522</v>
      </c>
      <c r="D30" s="33" t="s">
        <v>523</v>
      </c>
      <c r="E30" s="33" t="s">
        <v>524</v>
      </c>
      <c r="F30" s="32" t="s">
        <v>525</v>
      </c>
      <c r="G30" s="47"/>
      <c r="H30" s="47"/>
      <c r="I30" s="47"/>
      <c r="J30" s="47"/>
      <c r="K30" s="47"/>
      <c r="L30" s="47"/>
      <c r="M30" s="47"/>
      <c r="N30" s="34">
        <v>1</v>
      </c>
      <c r="O30" s="34">
        <v>1</v>
      </c>
      <c r="P30" s="34">
        <v>1</v>
      </c>
      <c r="Q30" s="34">
        <v>1</v>
      </c>
      <c r="R30" s="34">
        <v>1</v>
      </c>
      <c r="S30" s="34">
        <v>1</v>
      </c>
      <c r="T30" s="34">
        <v>1</v>
      </c>
      <c r="U30" s="34">
        <v>1</v>
      </c>
      <c r="V30" s="34">
        <v>1</v>
      </c>
      <c r="W30" s="34">
        <v>1</v>
      </c>
      <c r="X30" s="34">
        <v>1</v>
      </c>
      <c r="Y30" s="34">
        <v>1</v>
      </c>
      <c r="Z30" s="34">
        <v>1</v>
      </c>
      <c r="AA30" s="34">
        <v>1</v>
      </c>
      <c r="AB30" s="59"/>
      <c r="AC30" s="59"/>
      <c r="AD30" s="59"/>
      <c r="AE30" s="59"/>
      <c r="AF30" s="47"/>
      <c r="AG30" s="47"/>
      <c r="AH30" s="47"/>
      <c r="AI30" s="47"/>
      <c r="AJ30" s="47"/>
      <c r="AK30" s="47"/>
      <c r="AL30" s="10">
        <f t="shared" si="2"/>
        <v>14</v>
      </c>
      <c r="AM30" s="11">
        <v>32000</v>
      </c>
      <c r="AN30" s="12">
        <f t="shared" si="3"/>
        <v>448000</v>
      </c>
    </row>
    <row r="31" spans="1:40">
      <c r="A31" s="53" t="s">
        <v>561</v>
      </c>
      <c r="B31" s="32">
        <v>15</v>
      </c>
      <c r="C31" s="33" t="s">
        <v>106</v>
      </c>
      <c r="D31" s="33" t="s">
        <v>526</v>
      </c>
      <c r="E31" s="33" t="s">
        <v>465</v>
      </c>
      <c r="F31" s="32" t="s">
        <v>527</v>
      </c>
      <c r="G31" s="47"/>
      <c r="H31" s="47"/>
      <c r="I31" s="47"/>
      <c r="J31" s="47"/>
      <c r="K31" s="47"/>
      <c r="L31" s="47"/>
      <c r="M31" s="47"/>
      <c r="N31" s="34">
        <v>1</v>
      </c>
      <c r="O31" s="34">
        <v>1</v>
      </c>
      <c r="P31" s="34">
        <v>1</v>
      </c>
      <c r="Q31" s="34">
        <v>1</v>
      </c>
      <c r="R31" s="34">
        <v>1</v>
      </c>
      <c r="S31" s="34">
        <v>1</v>
      </c>
      <c r="T31" s="34">
        <v>1</v>
      </c>
      <c r="U31" s="34">
        <v>1</v>
      </c>
      <c r="V31" s="34">
        <v>1</v>
      </c>
      <c r="W31" s="34">
        <v>1</v>
      </c>
      <c r="X31" s="34">
        <v>1</v>
      </c>
      <c r="Y31" s="34">
        <v>1</v>
      </c>
      <c r="Z31" s="34">
        <v>1</v>
      </c>
      <c r="AA31" s="34">
        <v>1</v>
      </c>
      <c r="AB31" s="59"/>
      <c r="AC31" s="59"/>
      <c r="AD31" s="59"/>
      <c r="AE31" s="59"/>
      <c r="AF31" s="47"/>
      <c r="AG31" s="47"/>
      <c r="AH31" s="47"/>
      <c r="AI31" s="47"/>
      <c r="AJ31" s="47"/>
      <c r="AK31" s="47"/>
      <c r="AL31" s="10">
        <f t="shared" si="2"/>
        <v>14</v>
      </c>
      <c r="AM31" s="11">
        <v>32000</v>
      </c>
      <c r="AN31" s="12">
        <f t="shared" si="3"/>
        <v>448000</v>
      </c>
    </row>
    <row r="32" spans="1:40">
      <c r="A32" s="53" t="s">
        <v>561</v>
      </c>
      <c r="B32" s="32">
        <v>17</v>
      </c>
      <c r="C32" s="33" t="s">
        <v>528</v>
      </c>
      <c r="D32" s="33" t="s">
        <v>529</v>
      </c>
      <c r="E32" s="33" t="s">
        <v>347</v>
      </c>
      <c r="F32" s="32" t="s">
        <v>530</v>
      </c>
      <c r="G32" s="47"/>
      <c r="H32" s="47"/>
      <c r="I32" s="47"/>
      <c r="J32" s="47"/>
      <c r="K32" s="47"/>
      <c r="L32" s="47"/>
      <c r="M32" s="47"/>
      <c r="N32" s="34">
        <v>1</v>
      </c>
      <c r="O32" s="34">
        <v>1</v>
      </c>
      <c r="P32" s="34">
        <v>1</v>
      </c>
      <c r="Q32" s="34">
        <v>1</v>
      </c>
      <c r="R32" s="34">
        <v>1</v>
      </c>
      <c r="S32" s="34">
        <v>1</v>
      </c>
      <c r="T32" s="34">
        <v>1</v>
      </c>
      <c r="U32" s="34">
        <v>1</v>
      </c>
      <c r="V32" s="34">
        <v>1</v>
      </c>
      <c r="W32" s="34">
        <v>1</v>
      </c>
      <c r="X32" s="34">
        <v>1</v>
      </c>
      <c r="Y32" s="34">
        <v>1</v>
      </c>
      <c r="Z32" s="34">
        <v>1</v>
      </c>
      <c r="AA32" s="34">
        <v>1</v>
      </c>
      <c r="AB32" s="59"/>
      <c r="AC32" s="59"/>
      <c r="AD32" s="59"/>
      <c r="AE32" s="59"/>
      <c r="AF32" s="47"/>
      <c r="AG32" s="47"/>
      <c r="AH32" s="47"/>
      <c r="AI32" s="47"/>
      <c r="AJ32" s="47"/>
      <c r="AK32" s="47"/>
      <c r="AL32" s="10">
        <f t="shared" si="2"/>
        <v>14</v>
      </c>
      <c r="AM32" s="11">
        <v>32000</v>
      </c>
      <c r="AN32" s="12">
        <f t="shared" si="3"/>
        <v>448000</v>
      </c>
    </row>
    <row r="33" spans="1:40">
      <c r="A33" s="53" t="s">
        <v>561</v>
      </c>
      <c r="B33" s="32">
        <v>17</v>
      </c>
      <c r="C33" s="33" t="s">
        <v>531</v>
      </c>
      <c r="D33" s="33" t="s">
        <v>532</v>
      </c>
      <c r="E33" s="33" t="s">
        <v>9</v>
      </c>
      <c r="F33" s="32" t="s">
        <v>533</v>
      </c>
      <c r="G33" s="47"/>
      <c r="H33" s="47"/>
      <c r="I33" s="47"/>
      <c r="J33" s="47"/>
      <c r="K33" s="47"/>
      <c r="L33" s="47"/>
      <c r="M33" s="47"/>
      <c r="N33" s="34">
        <v>1</v>
      </c>
      <c r="O33" s="34">
        <v>1</v>
      </c>
      <c r="P33" s="34">
        <v>1</v>
      </c>
      <c r="Q33" s="34">
        <v>1</v>
      </c>
      <c r="R33" s="34">
        <v>1</v>
      </c>
      <c r="S33" s="34">
        <v>1</v>
      </c>
      <c r="T33" s="34">
        <v>1</v>
      </c>
      <c r="U33" s="34">
        <v>1</v>
      </c>
      <c r="V33" s="34">
        <v>1</v>
      </c>
      <c r="W33" s="34">
        <v>1</v>
      </c>
      <c r="X33" s="34">
        <v>1</v>
      </c>
      <c r="Y33" s="34">
        <v>1</v>
      </c>
      <c r="Z33" s="34">
        <v>1</v>
      </c>
      <c r="AA33" s="34">
        <v>1</v>
      </c>
      <c r="AB33" s="59"/>
      <c r="AC33" s="59"/>
      <c r="AD33" s="59"/>
      <c r="AE33" s="59"/>
      <c r="AF33" s="47"/>
      <c r="AG33" s="47"/>
      <c r="AH33" s="47"/>
      <c r="AI33" s="47"/>
      <c r="AJ33" s="47"/>
      <c r="AK33" s="47"/>
      <c r="AL33" s="10">
        <f t="shared" si="2"/>
        <v>14</v>
      </c>
      <c r="AM33" s="11">
        <v>32000</v>
      </c>
      <c r="AN33" s="12">
        <f t="shared" si="3"/>
        <v>448000</v>
      </c>
    </row>
    <row r="34" spans="1:40">
      <c r="A34" s="53" t="s">
        <v>561</v>
      </c>
      <c r="B34" s="32">
        <v>29</v>
      </c>
      <c r="C34" s="33" t="s">
        <v>417</v>
      </c>
      <c r="D34" s="33" t="s">
        <v>534</v>
      </c>
      <c r="E34" s="33" t="s">
        <v>83</v>
      </c>
      <c r="F34" s="32" t="s">
        <v>535</v>
      </c>
      <c r="G34" s="47"/>
      <c r="H34" s="47"/>
      <c r="I34" s="47"/>
      <c r="J34" s="47"/>
      <c r="K34" s="47"/>
      <c r="L34" s="47"/>
      <c r="M34" s="47"/>
      <c r="N34" s="34">
        <v>1</v>
      </c>
      <c r="O34" s="34">
        <v>1</v>
      </c>
      <c r="P34" s="34">
        <v>1</v>
      </c>
      <c r="Q34" s="34">
        <v>1</v>
      </c>
      <c r="R34" s="34">
        <v>1</v>
      </c>
      <c r="S34" s="34">
        <v>1</v>
      </c>
      <c r="T34" s="34">
        <v>1</v>
      </c>
      <c r="U34" s="34">
        <v>1</v>
      </c>
      <c r="V34" s="34">
        <v>1</v>
      </c>
      <c r="W34" s="34">
        <v>1</v>
      </c>
      <c r="X34" s="34">
        <v>1</v>
      </c>
      <c r="Y34" s="34">
        <v>1</v>
      </c>
      <c r="Z34" s="34">
        <v>1</v>
      </c>
      <c r="AA34" s="34">
        <v>1</v>
      </c>
      <c r="AB34" s="59"/>
      <c r="AC34" s="59"/>
      <c r="AD34" s="59"/>
      <c r="AE34" s="59"/>
      <c r="AF34" s="47"/>
      <c r="AG34" s="47"/>
      <c r="AH34" s="47"/>
      <c r="AI34" s="47"/>
      <c r="AJ34" s="47"/>
      <c r="AK34" s="47"/>
      <c r="AL34" s="10">
        <f t="shared" si="2"/>
        <v>14</v>
      </c>
      <c r="AM34" s="11">
        <v>32000</v>
      </c>
      <c r="AN34" s="12">
        <f t="shared" si="3"/>
        <v>448000</v>
      </c>
    </row>
    <row r="35" spans="1:40">
      <c r="A35" s="53" t="s">
        <v>561</v>
      </c>
      <c r="B35" s="32">
        <v>29</v>
      </c>
      <c r="C35" s="33" t="s">
        <v>303</v>
      </c>
      <c r="D35" s="33" t="s">
        <v>442</v>
      </c>
      <c r="E35" s="33" t="s">
        <v>536</v>
      </c>
      <c r="F35" s="32" t="s">
        <v>537</v>
      </c>
      <c r="G35" s="47"/>
      <c r="H35" s="47"/>
      <c r="I35" s="47"/>
      <c r="J35" s="47"/>
      <c r="K35" s="47"/>
      <c r="L35" s="47"/>
      <c r="M35" s="47"/>
      <c r="N35" s="34">
        <v>1</v>
      </c>
      <c r="O35" s="34">
        <v>1</v>
      </c>
      <c r="P35" s="34">
        <v>1</v>
      </c>
      <c r="Q35" s="34">
        <v>1</v>
      </c>
      <c r="R35" s="34">
        <v>1</v>
      </c>
      <c r="S35" s="34">
        <v>1</v>
      </c>
      <c r="T35" s="34">
        <v>1</v>
      </c>
      <c r="U35" s="34">
        <v>1</v>
      </c>
      <c r="V35" s="34">
        <v>1</v>
      </c>
      <c r="W35" s="34">
        <v>1</v>
      </c>
      <c r="X35" s="34">
        <v>1</v>
      </c>
      <c r="Y35" s="34">
        <v>1</v>
      </c>
      <c r="Z35" s="34">
        <v>1</v>
      </c>
      <c r="AA35" s="34">
        <v>1</v>
      </c>
      <c r="AB35" s="59"/>
      <c r="AC35" s="59"/>
      <c r="AD35" s="59"/>
      <c r="AE35" s="59"/>
      <c r="AF35" s="47"/>
      <c r="AG35" s="47"/>
      <c r="AH35" s="47"/>
      <c r="AI35" s="47"/>
      <c r="AJ35" s="47"/>
      <c r="AK35" s="47"/>
      <c r="AL35" s="10">
        <f t="shared" si="2"/>
        <v>14</v>
      </c>
      <c r="AM35" s="11">
        <v>32000</v>
      </c>
      <c r="AN35" s="12">
        <f t="shared" si="3"/>
        <v>448000</v>
      </c>
    </row>
    <row r="36" spans="1:40">
      <c r="A36" s="53" t="s">
        <v>561</v>
      </c>
      <c r="B36" s="32">
        <v>30</v>
      </c>
      <c r="C36" s="33" t="s">
        <v>613</v>
      </c>
      <c r="D36" s="33" t="s">
        <v>614</v>
      </c>
      <c r="E36" s="33" t="s">
        <v>615</v>
      </c>
      <c r="F36" s="32" t="s">
        <v>616</v>
      </c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34">
        <v>1</v>
      </c>
      <c r="S36" s="34">
        <v>1</v>
      </c>
      <c r="T36" s="34">
        <v>1</v>
      </c>
      <c r="U36" s="34">
        <v>1</v>
      </c>
      <c r="V36" s="34">
        <v>1</v>
      </c>
      <c r="W36" s="34">
        <v>1</v>
      </c>
      <c r="X36" s="34">
        <v>1</v>
      </c>
      <c r="Y36" s="34">
        <v>1</v>
      </c>
      <c r="Z36" s="34">
        <v>1</v>
      </c>
      <c r="AA36" s="34">
        <v>1</v>
      </c>
      <c r="AB36" s="59"/>
      <c r="AC36" s="59"/>
      <c r="AD36" s="59"/>
      <c r="AE36" s="59"/>
      <c r="AF36" s="47"/>
      <c r="AG36" s="47"/>
      <c r="AH36" s="47"/>
      <c r="AI36" s="47"/>
      <c r="AJ36" s="47"/>
      <c r="AK36" s="47"/>
      <c r="AL36" s="10">
        <f t="shared" si="2"/>
        <v>10</v>
      </c>
      <c r="AM36" s="11">
        <v>32000</v>
      </c>
      <c r="AN36" s="12">
        <f t="shared" si="3"/>
        <v>320000</v>
      </c>
    </row>
    <row r="37" spans="1:40">
      <c r="A37" s="53" t="s">
        <v>561</v>
      </c>
      <c r="B37" s="32">
        <v>34</v>
      </c>
      <c r="C37" s="33" t="s">
        <v>421</v>
      </c>
      <c r="D37" s="33" t="s">
        <v>529</v>
      </c>
      <c r="E37" s="33" t="s">
        <v>15</v>
      </c>
      <c r="F37" s="32" t="s">
        <v>538</v>
      </c>
      <c r="G37" s="47"/>
      <c r="H37" s="47"/>
      <c r="I37" s="47"/>
      <c r="J37" s="47"/>
      <c r="K37" s="47"/>
      <c r="L37" s="47"/>
      <c r="M37" s="47"/>
      <c r="N37" s="34">
        <v>1</v>
      </c>
      <c r="O37" s="34">
        <v>1</v>
      </c>
      <c r="P37" s="34">
        <v>1</v>
      </c>
      <c r="Q37" s="34">
        <v>1</v>
      </c>
      <c r="R37" s="34">
        <v>1</v>
      </c>
      <c r="S37" s="34">
        <v>1</v>
      </c>
      <c r="T37" s="34">
        <v>1</v>
      </c>
      <c r="U37" s="34">
        <v>1</v>
      </c>
      <c r="V37" s="34">
        <v>1</v>
      </c>
      <c r="W37" s="34">
        <v>1</v>
      </c>
      <c r="X37" s="34">
        <v>1</v>
      </c>
      <c r="Y37" s="34">
        <v>1</v>
      </c>
      <c r="Z37" s="34">
        <v>1</v>
      </c>
      <c r="AA37" s="34">
        <v>1</v>
      </c>
      <c r="AB37" s="59"/>
      <c r="AC37" s="59"/>
      <c r="AD37" s="59"/>
      <c r="AE37" s="59"/>
      <c r="AF37" s="47"/>
      <c r="AG37" s="47"/>
      <c r="AH37" s="47"/>
      <c r="AI37" s="47"/>
      <c r="AJ37" s="47"/>
      <c r="AK37" s="47"/>
      <c r="AL37" s="10">
        <f t="shared" si="2"/>
        <v>14</v>
      </c>
      <c r="AM37" s="11">
        <v>32000</v>
      </c>
      <c r="AN37" s="12">
        <f t="shared" si="3"/>
        <v>448000</v>
      </c>
    </row>
    <row r="38" spans="1:40">
      <c r="A38" s="53" t="s">
        <v>561</v>
      </c>
      <c r="B38" s="32">
        <v>34</v>
      </c>
      <c r="C38" s="33" t="s">
        <v>539</v>
      </c>
      <c r="D38" s="33" t="s">
        <v>149</v>
      </c>
      <c r="E38" s="33" t="s">
        <v>289</v>
      </c>
      <c r="F38" s="32" t="s">
        <v>540</v>
      </c>
      <c r="G38" s="47"/>
      <c r="H38" s="47"/>
      <c r="I38" s="47"/>
      <c r="J38" s="47"/>
      <c r="K38" s="47"/>
      <c r="L38" s="47"/>
      <c r="M38" s="47"/>
      <c r="N38" s="34">
        <v>1</v>
      </c>
      <c r="O38" s="34">
        <v>1</v>
      </c>
      <c r="P38" s="34">
        <v>1</v>
      </c>
      <c r="Q38" s="34">
        <v>1</v>
      </c>
      <c r="R38" s="34">
        <v>1</v>
      </c>
      <c r="S38" s="34">
        <v>1</v>
      </c>
      <c r="T38" s="34">
        <v>1</v>
      </c>
      <c r="U38" s="34">
        <v>1</v>
      </c>
      <c r="V38" s="34">
        <v>1</v>
      </c>
      <c r="W38" s="34">
        <v>1</v>
      </c>
      <c r="X38" s="34">
        <v>1</v>
      </c>
      <c r="Y38" s="34">
        <v>1</v>
      </c>
      <c r="Z38" s="34">
        <v>1</v>
      </c>
      <c r="AA38" s="34">
        <v>1</v>
      </c>
      <c r="AB38" s="59"/>
      <c r="AC38" s="59"/>
      <c r="AD38" s="59"/>
      <c r="AE38" s="59"/>
      <c r="AF38" s="47"/>
      <c r="AG38" s="47"/>
      <c r="AH38" s="47"/>
      <c r="AI38" s="47"/>
      <c r="AJ38" s="47"/>
      <c r="AK38" s="47"/>
      <c r="AL38" s="10">
        <f t="shared" si="2"/>
        <v>14</v>
      </c>
      <c r="AM38" s="11">
        <v>32000</v>
      </c>
      <c r="AN38" s="12">
        <f t="shared" si="3"/>
        <v>448000</v>
      </c>
    </row>
    <row r="39" spans="1:40">
      <c r="A39" s="53" t="s">
        <v>561</v>
      </c>
      <c r="B39" s="32">
        <v>40</v>
      </c>
      <c r="C39" s="33" t="s">
        <v>562</v>
      </c>
      <c r="D39" s="33" t="s">
        <v>563</v>
      </c>
      <c r="E39" s="33" t="s">
        <v>564</v>
      </c>
      <c r="F39" s="32" t="s">
        <v>565</v>
      </c>
      <c r="G39" s="47"/>
      <c r="H39" s="47"/>
      <c r="I39" s="47"/>
      <c r="J39" s="47"/>
      <c r="K39" s="47"/>
      <c r="L39" s="47"/>
      <c r="M39" s="47"/>
      <c r="N39" s="34">
        <v>1</v>
      </c>
      <c r="O39" s="34">
        <v>1</v>
      </c>
      <c r="P39" s="34">
        <v>1</v>
      </c>
      <c r="Q39" s="34">
        <v>1</v>
      </c>
      <c r="R39" s="34">
        <v>1</v>
      </c>
      <c r="S39" s="34">
        <v>1</v>
      </c>
      <c r="T39" s="34">
        <v>1</v>
      </c>
      <c r="U39" s="34">
        <v>1</v>
      </c>
      <c r="V39" s="34">
        <v>1</v>
      </c>
      <c r="W39" s="34">
        <v>1</v>
      </c>
      <c r="X39" s="34">
        <v>1</v>
      </c>
      <c r="Y39" s="34">
        <v>1</v>
      </c>
      <c r="Z39" s="34">
        <v>1</v>
      </c>
      <c r="AA39" s="34">
        <v>1</v>
      </c>
      <c r="AB39" s="59"/>
      <c r="AC39" s="59"/>
      <c r="AD39" s="59"/>
      <c r="AE39" s="59"/>
      <c r="AF39" s="47"/>
      <c r="AG39" s="47"/>
      <c r="AH39" s="47"/>
      <c r="AI39" s="47"/>
      <c r="AJ39" s="47"/>
      <c r="AK39" s="47"/>
      <c r="AL39" s="10">
        <f t="shared" si="2"/>
        <v>14</v>
      </c>
      <c r="AM39" s="11">
        <v>32000</v>
      </c>
      <c r="AN39" s="12">
        <f t="shared" si="3"/>
        <v>448000</v>
      </c>
    </row>
    <row r="40" spans="1:40">
      <c r="A40" s="53" t="s">
        <v>561</v>
      </c>
      <c r="B40" s="32">
        <v>40</v>
      </c>
      <c r="C40" s="33" t="s">
        <v>566</v>
      </c>
      <c r="D40" s="33" t="s">
        <v>155</v>
      </c>
      <c r="E40" s="33" t="s">
        <v>286</v>
      </c>
      <c r="F40" s="32" t="s">
        <v>567</v>
      </c>
      <c r="G40" s="47"/>
      <c r="H40" s="47"/>
      <c r="I40" s="47"/>
      <c r="J40" s="47"/>
      <c r="K40" s="47"/>
      <c r="L40" s="47"/>
      <c r="M40" s="47"/>
      <c r="N40" s="34">
        <v>1</v>
      </c>
      <c r="O40" s="34">
        <v>1</v>
      </c>
      <c r="P40" s="34">
        <v>1</v>
      </c>
      <c r="Q40" s="34">
        <v>1</v>
      </c>
      <c r="R40" s="34">
        <v>1</v>
      </c>
      <c r="S40" s="34">
        <v>1</v>
      </c>
      <c r="T40" s="34">
        <v>1</v>
      </c>
      <c r="U40" s="34">
        <v>1</v>
      </c>
      <c r="V40" s="34">
        <v>1</v>
      </c>
      <c r="W40" s="34">
        <v>1</v>
      </c>
      <c r="X40" s="34">
        <v>1</v>
      </c>
      <c r="Y40" s="34">
        <v>1</v>
      </c>
      <c r="Z40" s="34">
        <v>1</v>
      </c>
      <c r="AA40" s="34">
        <v>1</v>
      </c>
      <c r="AB40" s="59"/>
      <c r="AC40" s="59"/>
      <c r="AD40" s="59"/>
      <c r="AE40" s="59"/>
      <c r="AF40" s="47"/>
      <c r="AG40" s="47"/>
      <c r="AH40" s="47"/>
      <c r="AI40" s="47"/>
      <c r="AJ40" s="47"/>
      <c r="AK40" s="47"/>
      <c r="AL40" s="10">
        <f t="shared" si="2"/>
        <v>14</v>
      </c>
      <c r="AM40" s="11">
        <v>32000</v>
      </c>
      <c r="AN40" s="12">
        <f t="shared" si="3"/>
        <v>448000</v>
      </c>
    </row>
    <row r="41" spans="1:40">
      <c r="A41" s="53" t="s">
        <v>561</v>
      </c>
      <c r="B41" s="32">
        <v>42</v>
      </c>
      <c r="C41" s="33" t="s">
        <v>541</v>
      </c>
      <c r="D41" s="33" t="s">
        <v>541</v>
      </c>
      <c r="E41" s="33" t="s">
        <v>542</v>
      </c>
      <c r="F41" s="32" t="s">
        <v>543</v>
      </c>
      <c r="G41" s="47"/>
      <c r="H41" s="47"/>
      <c r="I41" s="47"/>
      <c r="J41" s="47"/>
      <c r="K41" s="47"/>
      <c r="L41" s="47"/>
      <c r="M41" s="47"/>
      <c r="N41" s="34">
        <v>1</v>
      </c>
      <c r="O41" s="34">
        <v>1</v>
      </c>
      <c r="P41" s="34">
        <v>1</v>
      </c>
      <c r="Q41" s="34">
        <v>1</v>
      </c>
      <c r="R41" s="34">
        <v>1</v>
      </c>
      <c r="S41" s="34">
        <v>1</v>
      </c>
      <c r="T41" s="34">
        <v>1</v>
      </c>
      <c r="U41" s="34">
        <v>1</v>
      </c>
      <c r="V41" s="34">
        <v>1</v>
      </c>
      <c r="W41" s="34">
        <v>1</v>
      </c>
      <c r="X41" s="34">
        <v>1</v>
      </c>
      <c r="Y41" s="34">
        <v>1</v>
      </c>
      <c r="Z41" s="34">
        <v>1</v>
      </c>
      <c r="AA41" s="34">
        <v>1</v>
      </c>
      <c r="AB41" s="59"/>
      <c r="AC41" s="59"/>
      <c r="AD41" s="59"/>
      <c r="AE41" s="59"/>
      <c r="AF41" s="47"/>
      <c r="AG41" s="47"/>
      <c r="AH41" s="47"/>
      <c r="AI41" s="47"/>
      <c r="AJ41" s="47"/>
      <c r="AK41" s="47"/>
      <c r="AL41" s="10">
        <f t="shared" si="2"/>
        <v>14</v>
      </c>
      <c r="AM41" s="11">
        <v>32000</v>
      </c>
      <c r="AN41" s="12">
        <f t="shared" si="3"/>
        <v>448000</v>
      </c>
    </row>
    <row r="42" spans="1:40" ht="13.5" customHeight="1">
      <c r="A42" s="53" t="s">
        <v>561</v>
      </c>
      <c r="B42" s="32">
        <v>42</v>
      </c>
      <c r="C42" s="33" t="s">
        <v>544</v>
      </c>
      <c r="D42" s="33"/>
      <c r="E42" s="33" t="s">
        <v>545</v>
      </c>
      <c r="F42" s="32" t="s">
        <v>546</v>
      </c>
      <c r="G42" s="47"/>
      <c r="H42" s="47"/>
      <c r="I42" s="47"/>
      <c r="J42" s="47"/>
      <c r="K42" s="47"/>
      <c r="L42" s="47"/>
      <c r="M42" s="47"/>
      <c r="N42" s="34">
        <v>1</v>
      </c>
      <c r="O42" s="34">
        <v>1</v>
      </c>
      <c r="P42" s="34">
        <v>1</v>
      </c>
      <c r="Q42" s="34">
        <v>1</v>
      </c>
      <c r="R42" s="34">
        <v>1</v>
      </c>
      <c r="S42" s="34">
        <v>1</v>
      </c>
      <c r="T42" s="34">
        <v>1</v>
      </c>
      <c r="U42" s="34">
        <v>1</v>
      </c>
      <c r="V42" s="34">
        <v>1</v>
      </c>
      <c r="W42" s="34">
        <v>1</v>
      </c>
      <c r="X42" s="34">
        <v>1</v>
      </c>
      <c r="Y42" s="34">
        <v>1</v>
      </c>
      <c r="Z42" s="34">
        <v>1</v>
      </c>
      <c r="AA42" s="34">
        <v>1</v>
      </c>
      <c r="AB42" s="59"/>
      <c r="AC42" s="59"/>
      <c r="AD42" s="59"/>
      <c r="AE42" s="59"/>
      <c r="AF42" s="47"/>
      <c r="AG42" s="47"/>
      <c r="AH42" s="47"/>
      <c r="AI42" s="47"/>
      <c r="AJ42" s="47"/>
      <c r="AK42" s="47"/>
      <c r="AL42" s="10">
        <f t="shared" si="2"/>
        <v>14</v>
      </c>
      <c r="AM42" s="11">
        <v>32000</v>
      </c>
      <c r="AN42" s="12">
        <f t="shared" si="3"/>
        <v>448000</v>
      </c>
    </row>
    <row r="43" spans="1:40" ht="13.5" customHeight="1">
      <c r="A43" s="53" t="s">
        <v>561</v>
      </c>
      <c r="B43" s="32">
        <v>43</v>
      </c>
      <c r="C43" s="33" t="s">
        <v>568</v>
      </c>
      <c r="D43" s="33" t="s">
        <v>569</v>
      </c>
      <c r="E43" s="33" t="s">
        <v>570</v>
      </c>
      <c r="F43" s="32" t="s">
        <v>571</v>
      </c>
      <c r="G43" s="47"/>
      <c r="H43" s="47"/>
      <c r="I43" s="47"/>
      <c r="J43" s="47"/>
      <c r="K43" s="47"/>
      <c r="L43" s="47"/>
      <c r="M43" s="47"/>
      <c r="N43" s="34">
        <v>1</v>
      </c>
      <c r="O43" s="34">
        <v>1</v>
      </c>
      <c r="P43" s="34">
        <v>1</v>
      </c>
      <c r="Q43" s="34">
        <v>1</v>
      </c>
      <c r="R43" s="34">
        <v>1</v>
      </c>
      <c r="S43" s="34">
        <v>1</v>
      </c>
      <c r="T43" s="34">
        <v>1</v>
      </c>
      <c r="U43" s="34">
        <v>1</v>
      </c>
      <c r="V43" s="34">
        <v>1</v>
      </c>
      <c r="W43" s="34">
        <v>1</v>
      </c>
      <c r="X43" s="34">
        <v>1</v>
      </c>
      <c r="Y43" s="34">
        <v>1</v>
      </c>
      <c r="Z43" s="34">
        <v>1</v>
      </c>
      <c r="AA43" s="34">
        <v>1</v>
      </c>
      <c r="AB43" s="59"/>
      <c r="AC43" s="59"/>
      <c r="AD43" s="59"/>
      <c r="AE43" s="59"/>
      <c r="AF43" s="47"/>
      <c r="AG43" s="47"/>
      <c r="AH43" s="47"/>
      <c r="AI43" s="47"/>
      <c r="AJ43" s="47"/>
      <c r="AK43" s="47"/>
      <c r="AL43" s="10">
        <f t="shared" si="2"/>
        <v>14</v>
      </c>
      <c r="AM43" s="11">
        <v>32000</v>
      </c>
      <c r="AN43" s="12">
        <f t="shared" si="3"/>
        <v>448000</v>
      </c>
    </row>
    <row r="44" spans="1:40" ht="13.5" customHeight="1">
      <c r="A44" s="53" t="s">
        <v>561</v>
      </c>
      <c r="B44" s="32">
        <v>43</v>
      </c>
      <c r="C44" s="33" t="s">
        <v>572</v>
      </c>
      <c r="D44" s="33" t="s">
        <v>573</v>
      </c>
      <c r="E44" s="33" t="s">
        <v>574</v>
      </c>
      <c r="F44" s="32" t="s">
        <v>575</v>
      </c>
      <c r="G44" s="47"/>
      <c r="H44" s="47"/>
      <c r="I44" s="47"/>
      <c r="J44" s="47"/>
      <c r="K44" s="47"/>
      <c r="L44" s="47"/>
      <c r="M44" s="47"/>
      <c r="N44" s="34">
        <v>1</v>
      </c>
      <c r="O44" s="34">
        <v>1</v>
      </c>
      <c r="P44" s="34">
        <v>1</v>
      </c>
      <c r="Q44" s="34">
        <v>1</v>
      </c>
      <c r="R44" s="34">
        <v>1</v>
      </c>
      <c r="S44" s="34">
        <v>1</v>
      </c>
      <c r="T44" s="34">
        <v>1</v>
      </c>
      <c r="U44" s="34">
        <v>1</v>
      </c>
      <c r="V44" s="34">
        <v>1</v>
      </c>
      <c r="W44" s="34">
        <v>1</v>
      </c>
      <c r="X44" s="34">
        <v>1</v>
      </c>
      <c r="Y44" s="34">
        <v>1</v>
      </c>
      <c r="Z44" s="34">
        <v>1</v>
      </c>
      <c r="AA44" s="34">
        <v>1</v>
      </c>
      <c r="AB44" s="59"/>
      <c r="AC44" s="59"/>
      <c r="AD44" s="59"/>
      <c r="AE44" s="59"/>
      <c r="AF44" s="47"/>
      <c r="AG44" s="47"/>
      <c r="AH44" s="47"/>
      <c r="AI44" s="47"/>
      <c r="AJ44" s="47"/>
      <c r="AK44" s="47"/>
      <c r="AL44" s="10">
        <f t="shared" si="2"/>
        <v>14</v>
      </c>
      <c r="AM44" s="11">
        <v>32000</v>
      </c>
      <c r="AN44" s="12">
        <f t="shared" si="3"/>
        <v>448000</v>
      </c>
    </row>
    <row r="45" spans="1:40" ht="13.5" customHeight="1">
      <c r="A45" s="53" t="s">
        <v>561</v>
      </c>
      <c r="B45" s="32">
        <v>47</v>
      </c>
      <c r="C45" s="33" t="s">
        <v>576</v>
      </c>
      <c r="D45" s="33" t="s">
        <v>577</v>
      </c>
      <c r="E45" s="33" t="s">
        <v>578</v>
      </c>
      <c r="F45" s="32" t="s">
        <v>579</v>
      </c>
      <c r="G45" s="47"/>
      <c r="H45" s="47"/>
      <c r="I45" s="47"/>
      <c r="J45" s="47"/>
      <c r="K45" s="47"/>
      <c r="L45" s="47"/>
      <c r="M45" s="47"/>
      <c r="N45" s="34">
        <v>1</v>
      </c>
      <c r="O45" s="34">
        <v>1</v>
      </c>
      <c r="P45" s="34">
        <v>1</v>
      </c>
      <c r="Q45" s="34">
        <v>1</v>
      </c>
      <c r="R45" s="34">
        <v>1</v>
      </c>
      <c r="S45" s="34">
        <v>1</v>
      </c>
      <c r="T45" s="34">
        <v>1</v>
      </c>
      <c r="U45" s="34">
        <v>1</v>
      </c>
      <c r="V45" s="34">
        <v>1</v>
      </c>
      <c r="W45" s="34">
        <v>1</v>
      </c>
      <c r="X45" s="34">
        <v>1</v>
      </c>
      <c r="Y45" s="34">
        <v>1</v>
      </c>
      <c r="Z45" s="34">
        <v>1</v>
      </c>
      <c r="AA45" s="34">
        <v>1</v>
      </c>
      <c r="AB45" s="59"/>
      <c r="AC45" s="59"/>
      <c r="AD45" s="59"/>
      <c r="AE45" s="59"/>
      <c r="AF45" s="47"/>
      <c r="AG45" s="47"/>
      <c r="AH45" s="47"/>
      <c r="AI45" s="47"/>
      <c r="AJ45" s="47"/>
      <c r="AK45" s="47"/>
      <c r="AL45" s="10">
        <f t="shared" si="2"/>
        <v>14</v>
      </c>
      <c r="AM45" s="11">
        <v>32000</v>
      </c>
      <c r="AN45" s="12">
        <f t="shared" si="3"/>
        <v>448000</v>
      </c>
    </row>
    <row r="46" spans="1:40" ht="13.5" customHeight="1">
      <c r="A46" s="53" t="s">
        <v>561</v>
      </c>
      <c r="B46" s="32">
        <v>47</v>
      </c>
      <c r="C46" s="33" t="s">
        <v>580</v>
      </c>
      <c r="D46" s="33" t="s">
        <v>416</v>
      </c>
      <c r="E46" s="33" t="s">
        <v>581</v>
      </c>
      <c r="F46" s="32" t="s">
        <v>582</v>
      </c>
      <c r="G46" s="47"/>
      <c r="H46" s="47"/>
      <c r="I46" s="47"/>
      <c r="J46" s="47"/>
      <c r="K46" s="47"/>
      <c r="L46" s="47"/>
      <c r="M46" s="47"/>
      <c r="N46" s="34">
        <v>1</v>
      </c>
      <c r="O46" s="34">
        <v>1</v>
      </c>
      <c r="P46" s="34">
        <v>1</v>
      </c>
      <c r="Q46" s="34">
        <v>1</v>
      </c>
      <c r="R46" s="34">
        <v>1</v>
      </c>
      <c r="S46" s="34">
        <v>1</v>
      </c>
      <c r="T46" s="34">
        <v>1</v>
      </c>
      <c r="U46" s="34">
        <v>1</v>
      </c>
      <c r="V46" s="34">
        <v>1</v>
      </c>
      <c r="W46" s="34">
        <v>1</v>
      </c>
      <c r="X46" s="34">
        <v>1</v>
      </c>
      <c r="Y46" s="34">
        <v>1</v>
      </c>
      <c r="Z46" s="34">
        <v>1</v>
      </c>
      <c r="AA46" s="34">
        <v>1</v>
      </c>
      <c r="AB46" s="59"/>
      <c r="AC46" s="59"/>
      <c r="AD46" s="59"/>
      <c r="AE46" s="59"/>
      <c r="AF46" s="47"/>
      <c r="AG46" s="47"/>
      <c r="AH46" s="47"/>
      <c r="AI46" s="47"/>
      <c r="AJ46" s="47"/>
      <c r="AK46" s="47"/>
      <c r="AL46" s="10">
        <f t="shared" si="2"/>
        <v>14</v>
      </c>
      <c r="AM46" s="11">
        <v>32000</v>
      </c>
      <c r="AN46" s="12">
        <f t="shared" si="3"/>
        <v>448000</v>
      </c>
    </row>
    <row r="47" spans="1:40" ht="13.5" customHeight="1">
      <c r="A47" s="53" t="s">
        <v>561</v>
      </c>
      <c r="B47" s="32">
        <v>47</v>
      </c>
      <c r="C47" s="33" t="s">
        <v>114</v>
      </c>
      <c r="D47" s="33" t="s">
        <v>48</v>
      </c>
      <c r="E47" s="33" t="s">
        <v>23</v>
      </c>
      <c r="F47" s="32" t="s">
        <v>115</v>
      </c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34">
        <v>1</v>
      </c>
      <c r="T47" s="34">
        <v>1</v>
      </c>
      <c r="U47" s="34">
        <v>1</v>
      </c>
      <c r="V47" s="34">
        <v>1</v>
      </c>
      <c r="W47" s="34">
        <v>1</v>
      </c>
      <c r="X47" s="34">
        <v>1</v>
      </c>
      <c r="Y47" s="34">
        <v>1</v>
      </c>
      <c r="Z47" s="34">
        <v>1</v>
      </c>
      <c r="AA47" s="34">
        <v>1</v>
      </c>
      <c r="AB47" s="37">
        <v>1</v>
      </c>
      <c r="AC47" s="37">
        <v>1</v>
      </c>
      <c r="AD47" s="37">
        <v>1</v>
      </c>
      <c r="AE47" s="37">
        <v>1</v>
      </c>
      <c r="AF47" s="47"/>
      <c r="AG47" s="47"/>
      <c r="AH47" s="47"/>
      <c r="AI47" s="47"/>
      <c r="AJ47" s="47"/>
      <c r="AK47" s="47"/>
      <c r="AL47" s="10">
        <f t="shared" si="2"/>
        <v>13</v>
      </c>
      <c r="AM47" s="11">
        <v>32000</v>
      </c>
      <c r="AN47" s="12">
        <f t="shared" si="3"/>
        <v>416000</v>
      </c>
    </row>
    <row r="48" spans="1:40" ht="13.5" customHeight="1">
      <c r="A48" s="53" t="s">
        <v>561</v>
      </c>
      <c r="B48" s="32">
        <v>47</v>
      </c>
      <c r="C48" s="33" t="s">
        <v>107</v>
      </c>
      <c r="D48" s="33" t="s">
        <v>21</v>
      </c>
      <c r="E48" s="33" t="s">
        <v>26</v>
      </c>
      <c r="F48" s="32" t="s">
        <v>110</v>
      </c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34">
        <v>1</v>
      </c>
      <c r="T48" s="34">
        <v>1</v>
      </c>
      <c r="U48" s="34">
        <v>1</v>
      </c>
      <c r="V48" s="34">
        <v>1</v>
      </c>
      <c r="W48" s="34">
        <v>1</v>
      </c>
      <c r="X48" s="34">
        <v>1</v>
      </c>
      <c r="Y48" s="34">
        <v>1</v>
      </c>
      <c r="Z48" s="34">
        <v>1</v>
      </c>
      <c r="AA48" s="34">
        <v>1</v>
      </c>
      <c r="AB48" s="37">
        <v>1</v>
      </c>
      <c r="AC48" s="37">
        <v>1</v>
      </c>
      <c r="AD48" s="37">
        <v>1</v>
      </c>
      <c r="AE48" s="37">
        <v>1</v>
      </c>
      <c r="AF48" s="47"/>
      <c r="AG48" s="47"/>
      <c r="AH48" s="47"/>
      <c r="AI48" s="47"/>
      <c r="AJ48" s="47"/>
      <c r="AK48" s="47"/>
      <c r="AL48" s="10">
        <f t="shared" si="2"/>
        <v>13</v>
      </c>
      <c r="AM48" s="11">
        <v>32000</v>
      </c>
      <c r="AN48" s="12">
        <f t="shared" si="3"/>
        <v>416000</v>
      </c>
    </row>
    <row r="49" spans="1:40" ht="13.5" customHeight="1">
      <c r="A49" s="53" t="s">
        <v>561</v>
      </c>
      <c r="B49" s="32">
        <v>48</v>
      </c>
      <c r="C49" s="33" t="s">
        <v>547</v>
      </c>
      <c r="D49" s="33" t="s">
        <v>548</v>
      </c>
      <c r="E49" s="33" t="s">
        <v>23</v>
      </c>
      <c r="F49" s="32" t="s">
        <v>549</v>
      </c>
      <c r="G49" s="47"/>
      <c r="H49" s="47"/>
      <c r="I49" s="47"/>
      <c r="J49" s="47"/>
      <c r="K49" s="47"/>
      <c r="L49" s="47"/>
      <c r="M49" s="47"/>
      <c r="N49" s="34">
        <v>1</v>
      </c>
      <c r="O49" s="34">
        <v>1</v>
      </c>
      <c r="P49" s="34">
        <v>1</v>
      </c>
      <c r="Q49" s="34">
        <v>1</v>
      </c>
      <c r="R49" s="34">
        <v>1</v>
      </c>
      <c r="S49" s="34">
        <v>1</v>
      </c>
      <c r="T49" s="34">
        <v>1</v>
      </c>
      <c r="U49" s="34">
        <v>1</v>
      </c>
      <c r="V49" s="34">
        <v>1</v>
      </c>
      <c r="W49" s="34">
        <v>1</v>
      </c>
      <c r="X49" s="34">
        <v>1</v>
      </c>
      <c r="Y49" s="34">
        <v>1</v>
      </c>
      <c r="Z49" s="34">
        <v>1</v>
      </c>
      <c r="AA49" s="34">
        <v>1</v>
      </c>
      <c r="AB49" s="59"/>
      <c r="AC49" s="59"/>
      <c r="AD49" s="59"/>
      <c r="AE49" s="59"/>
      <c r="AF49" s="47"/>
      <c r="AG49" s="47"/>
      <c r="AH49" s="47"/>
      <c r="AI49" s="47"/>
      <c r="AJ49" s="47"/>
      <c r="AK49" s="47"/>
      <c r="AL49" s="10">
        <f t="shared" si="2"/>
        <v>14</v>
      </c>
      <c r="AM49" s="11">
        <v>32000</v>
      </c>
      <c r="AN49" s="12">
        <f t="shared" si="3"/>
        <v>448000</v>
      </c>
    </row>
    <row r="50" spans="1:40" ht="13.5" customHeight="1">
      <c r="A50" s="53" t="s">
        <v>561</v>
      </c>
      <c r="B50" s="32">
        <v>48</v>
      </c>
      <c r="C50" s="33" t="s">
        <v>550</v>
      </c>
      <c r="D50" s="33" t="s">
        <v>551</v>
      </c>
      <c r="E50" s="33" t="s">
        <v>361</v>
      </c>
      <c r="F50" s="32" t="s">
        <v>552</v>
      </c>
      <c r="G50" s="47"/>
      <c r="H50" s="47"/>
      <c r="I50" s="47"/>
      <c r="J50" s="47"/>
      <c r="K50" s="47"/>
      <c r="L50" s="47"/>
      <c r="M50" s="47"/>
      <c r="N50" s="34">
        <v>1</v>
      </c>
      <c r="O50" s="34">
        <v>1</v>
      </c>
      <c r="P50" s="34">
        <v>1</v>
      </c>
      <c r="Q50" s="34">
        <v>1</v>
      </c>
      <c r="R50" s="34">
        <v>1</v>
      </c>
      <c r="S50" s="34">
        <v>1</v>
      </c>
      <c r="T50" s="34">
        <v>1</v>
      </c>
      <c r="U50" s="34">
        <v>1</v>
      </c>
      <c r="V50" s="34">
        <v>1</v>
      </c>
      <c r="W50" s="34">
        <v>1</v>
      </c>
      <c r="X50" s="34">
        <v>1</v>
      </c>
      <c r="Y50" s="34">
        <v>1</v>
      </c>
      <c r="Z50" s="34">
        <v>1</v>
      </c>
      <c r="AA50" s="34">
        <v>1</v>
      </c>
      <c r="AB50" s="59"/>
      <c r="AC50" s="59"/>
      <c r="AD50" s="59"/>
      <c r="AE50" s="59"/>
      <c r="AF50" s="47"/>
      <c r="AG50" s="47"/>
      <c r="AH50" s="47"/>
      <c r="AI50" s="47"/>
      <c r="AJ50" s="47"/>
      <c r="AK50" s="47"/>
      <c r="AL50" s="10">
        <f t="shared" si="2"/>
        <v>14</v>
      </c>
      <c r="AM50" s="11">
        <v>32000</v>
      </c>
      <c r="AN50" s="12">
        <f t="shared" si="3"/>
        <v>448000</v>
      </c>
    </row>
    <row r="51" spans="1:40" ht="13.5" customHeight="1">
      <c r="A51" s="53" t="s">
        <v>561</v>
      </c>
      <c r="B51" s="32">
        <v>49</v>
      </c>
      <c r="C51" s="33" t="s">
        <v>583</v>
      </c>
      <c r="D51" s="33" t="s">
        <v>204</v>
      </c>
      <c r="E51" s="33" t="s">
        <v>23</v>
      </c>
      <c r="F51" s="32" t="s">
        <v>584</v>
      </c>
      <c r="G51" s="47"/>
      <c r="H51" s="47"/>
      <c r="I51" s="47"/>
      <c r="J51" s="47"/>
      <c r="K51" s="47"/>
      <c r="L51" s="47"/>
      <c r="M51" s="47"/>
      <c r="N51" s="47"/>
      <c r="O51" s="34">
        <v>1</v>
      </c>
      <c r="P51" s="34">
        <v>1</v>
      </c>
      <c r="Q51" s="34">
        <v>1</v>
      </c>
      <c r="R51" s="34">
        <v>1</v>
      </c>
      <c r="S51" s="34">
        <v>1</v>
      </c>
      <c r="T51" s="34">
        <v>1</v>
      </c>
      <c r="U51" s="34">
        <v>1</v>
      </c>
      <c r="V51" s="34">
        <v>1</v>
      </c>
      <c r="W51" s="34">
        <v>1</v>
      </c>
      <c r="X51" s="34">
        <v>1</v>
      </c>
      <c r="Y51" s="34">
        <v>1</v>
      </c>
      <c r="Z51" s="34">
        <v>1</v>
      </c>
      <c r="AA51" s="34">
        <v>1</v>
      </c>
      <c r="AB51" s="34">
        <v>1</v>
      </c>
      <c r="AC51" s="59"/>
      <c r="AD51" s="59"/>
      <c r="AE51" s="59"/>
      <c r="AF51" s="47"/>
      <c r="AG51" s="47"/>
      <c r="AH51" s="47"/>
      <c r="AI51" s="47"/>
      <c r="AJ51" s="47"/>
      <c r="AK51" s="47"/>
      <c r="AL51" s="10">
        <f t="shared" si="2"/>
        <v>14</v>
      </c>
      <c r="AM51" s="11">
        <v>32000</v>
      </c>
      <c r="AN51" s="12">
        <f t="shared" si="3"/>
        <v>448000</v>
      </c>
    </row>
    <row r="52" spans="1:40" ht="13.5" customHeight="1">
      <c r="A52" s="53" t="s">
        <v>561</v>
      </c>
      <c r="B52" s="32">
        <v>49</v>
      </c>
      <c r="C52" s="33" t="s">
        <v>585</v>
      </c>
      <c r="D52" s="33" t="s">
        <v>586</v>
      </c>
      <c r="E52" s="33" t="s">
        <v>587</v>
      </c>
      <c r="F52" s="32" t="s">
        <v>588</v>
      </c>
      <c r="G52" s="47"/>
      <c r="H52" s="47"/>
      <c r="I52" s="47"/>
      <c r="J52" s="47"/>
      <c r="K52" s="47"/>
      <c r="L52" s="47"/>
      <c r="M52" s="47"/>
      <c r="N52" s="47"/>
      <c r="O52" s="34">
        <v>1</v>
      </c>
      <c r="P52" s="34">
        <v>1</v>
      </c>
      <c r="Q52" s="34">
        <v>1</v>
      </c>
      <c r="R52" s="34">
        <v>1</v>
      </c>
      <c r="S52" s="34">
        <v>1</v>
      </c>
      <c r="T52" s="34">
        <v>1</v>
      </c>
      <c r="U52" s="34">
        <v>1</v>
      </c>
      <c r="V52" s="34">
        <v>1</v>
      </c>
      <c r="W52" s="34">
        <v>1</v>
      </c>
      <c r="X52" s="34">
        <v>1</v>
      </c>
      <c r="Y52" s="34">
        <v>1</v>
      </c>
      <c r="Z52" s="34">
        <v>1</v>
      </c>
      <c r="AA52" s="34">
        <v>1</v>
      </c>
      <c r="AB52" s="34">
        <v>1</v>
      </c>
      <c r="AC52" s="59"/>
      <c r="AD52" s="59"/>
      <c r="AE52" s="59"/>
      <c r="AF52" s="47"/>
      <c r="AG52" s="47"/>
      <c r="AH52" s="47"/>
      <c r="AI52" s="47"/>
      <c r="AJ52" s="47"/>
      <c r="AK52" s="47"/>
      <c r="AL52" s="10">
        <f t="shared" si="2"/>
        <v>14</v>
      </c>
      <c r="AM52" s="11">
        <v>32000</v>
      </c>
      <c r="AN52" s="12">
        <f t="shared" si="3"/>
        <v>448000</v>
      </c>
    </row>
    <row r="53" spans="1:40" ht="13.5" customHeight="1">
      <c r="A53" s="53" t="s">
        <v>561</v>
      </c>
      <c r="B53" s="32">
        <v>49</v>
      </c>
      <c r="C53" s="33" t="s">
        <v>555</v>
      </c>
      <c r="D53" s="33" t="s">
        <v>618</v>
      </c>
      <c r="E53" s="33" t="s">
        <v>43</v>
      </c>
      <c r="F53" s="32" t="s">
        <v>623</v>
      </c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34">
        <v>1</v>
      </c>
      <c r="T53" s="34">
        <v>1</v>
      </c>
      <c r="U53" s="34">
        <v>1</v>
      </c>
      <c r="V53" s="34">
        <v>1</v>
      </c>
      <c r="W53" s="34">
        <v>1</v>
      </c>
      <c r="X53" s="34">
        <v>1</v>
      </c>
      <c r="Y53" s="34">
        <v>1</v>
      </c>
      <c r="Z53" s="34">
        <v>1</v>
      </c>
      <c r="AA53" s="34">
        <v>1</v>
      </c>
      <c r="AB53" s="37">
        <v>1</v>
      </c>
      <c r="AC53" s="37">
        <v>1</v>
      </c>
      <c r="AD53" s="37">
        <v>1</v>
      </c>
      <c r="AE53" s="37">
        <v>1</v>
      </c>
      <c r="AF53" s="47"/>
      <c r="AG53" s="47"/>
      <c r="AH53" s="47"/>
      <c r="AI53" s="47"/>
      <c r="AJ53" s="47"/>
      <c r="AK53" s="47"/>
      <c r="AL53" s="10">
        <f t="shared" si="2"/>
        <v>13</v>
      </c>
      <c r="AM53" s="11">
        <v>32000</v>
      </c>
      <c r="AN53" s="12">
        <f t="shared" si="3"/>
        <v>416000</v>
      </c>
    </row>
    <row r="54" spans="1:40" ht="13.5" customHeight="1">
      <c r="A54" s="53" t="s">
        <v>561</v>
      </c>
      <c r="B54" s="32">
        <v>51</v>
      </c>
      <c r="C54" s="33" t="s">
        <v>356</v>
      </c>
      <c r="D54" s="33" t="s">
        <v>589</v>
      </c>
      <c r="E54" s="33" t="s">
        <v>590</v>
      </c>
      <c r="F54" s="32" t="s">
        <v>591</v>
      </c>
      <c r="G54" s="47"/>
      <c r="H54" s="47"/>
      <c r="I54" s="47"/>
      <c r="J54" s="47"/>
      <c r="K54" s="47"/>
      <c r="L54" s="47"/>
      <c r="M54" s="47"/>
      <c r="N54" s="47"/>
      <c r="O54" s="34">
        <v>1</v>
      </c>
      <c r="P54" s="34">
        <v>1</v>
      </c>
      <c r="Q54" s="34">
        <v>1</v>
      </c>
      <c r="R54" s="34">
        <v>1</v>
      </c>
      <c r="S54" s="34">
        <v>1</v>
      </c>
      <c r="T54" s="34">
        <v>1</v>
      </c>
      <c r="U54" s="34">
        <v>1</v>
      </c>
      <c r="V54" s="34">
        <v>1</v>
      </c>
      <c r="W54" s="34">
        <v>1</v>
      </c>
      <c r="X54" s="34">
        <v>1</v>
      </c>
      <c r="Y54" s="34">
        <v>1</v>
      </c>
      <c r="Z54" s="34">
        <v>1</v>
      </c>
      <c r="AA54" s="34">
        <v>1</v>
      </c>
      <c r="AB54" s="34">
        <v>1</v>
      </c>
      <c r="AC54" s="59"/>
      <c r="AD54" s="59"/>
      <c r="AE54" s="59"/>
      <c r="AF54" s="47"/>
      <c r="AG54" s="47"/>
      <c r="AH54" s="47"/>
      <c r="AI54" s="47"/>
      <c r="AJ54" s="47"/>
      <c r="AK54" s="47"/>
      <c r="AL54" s="10">
        <f t="shared" si="2"/>
        <v>14</v>
      </c>
      <c r="AM54" s="11">
        <v>32000</v>
      </c>
      <c r="AN54" s="12">
        <f t="shared" si="3"/>
        <v>448000</v>
      </c>
    </row>
    <row r="55" spans="1:40" ht="13.5" customHeight="1">
      <c r="A55" s="53" t="s">
        <v>561</v>
      </c>
      <c r="B55" s="32">
        <v>51</v>
      </c>
      <c r="C55" s="33" t="s">
        <v>592</v>
      </c>
      <c r="D55" s="33" t="s">
        <v>593</v>
      </c>
      <c r="E55" s="33" t="s">
        <v>594</v>
      </c>
      <c r="F55" s="32" t="s">
        <v>595</v>
      </c>
      <c r="G55" s="47"/>
      <c r="H55" s="47"/>
      <c r="I55" s="47"/>
      <c r="J55" s="47"/>
      <c r="K55" s="47"/>
      <c r="L55" s="47"/>
      <c r="M55" s="47"/>
      <c r="N55" s="47"/>
      <c r="O55" s="34">
        <v>1</v>
      </c>
      <c r="P55" s="34">
        <v>1</v>
      </c>
      <c r="Q55" s="34">
        <v>1</v>
      </c>
      <c r="R55" s="34">
        <v>1</v>
      </c>
      <c r="S55" s="34">
        <v>1</v>
      </c>
      <c r="T55" s="34">
        <v>1</v>
      </c>
      <c r="U55" s="34">
        <v>1</v>
      </c>
      <c r="V55" s="34">
        <v>1</v>
      </c>
      <c r="W55" s="34">
        <v>1</v>
      </c>
      <c r="X55" s="34">
        <v>1</v>
      </c>
      <c r="Y55" s="34">
        <v>1</v>
      </c>
      <c r="Z55" s="34">
        <v>1</v>
      </c>
      <c r="AA55" s="34">
        <v>1</v>
      </c>
      <c r="AB55" s="34">
        <v>1</v>
      </c>
      <c r="AC55" s="59"/>
      <c r="AD55" s="59"/>
      <c r="AE55" s="59"/>
      <c r="AF55" s="47"/>
      <c r="AG55" s="47"/>
      <c r="AH55" s="47"/>
      <c r="AI55" s="47"/>
      <c r="AJ55" s="47"/>
      <c r="AK55" s="47"/>
      <c r="AL55" s="10">
        <f t="shared" si="2"/>
        <v>14</v>
      </c>
      <c r="AM55" s="11">
        <v>32000</v>
      </c>
      <c r="AN55" s="12">
        <f t="shared" si="3"/>
        <v>448000</v>
      </c>
    </row>
    <row r="56" spans="1:40" ht="13.5" customHeight="1">
      <c r="A56" s="53" t="s">
        <v>561</v>
      </c>
      <c r="B56" s="32">
        <v>52</v>
      </c>
      <c r="C56" s="33" t="s">
        <v>596</v>
      </c>
      <c r="D56" s="33" t="s">
        <v>155</v>
      </c>
      <c r="E56" s="33" t="s">
        <v>11</v>
      </c>
      <c r="F56" s="32" t="s">
        <v>597</v>
      </c>
      <c r="G56" s="47"/>
      <c r="H56" s="47"/>
      <c r="I56" s="47"/>
      <c r="J56" s="47"/>
      <c r="K56" s="47"/>
      <c r="L56" s="47"/>
      <c r="M56" s="47"/>
      <c r="N56" s="47"/>
      <c r="O56" s="34">
        <v>1</v>
      </c>
      <c r="P56" s="34">
        <v>1</v>
      </c>
      <c r="Q56" s="34">
        <v>1</v>
      </c>
      <c r="R56" s="34">
        <v>1</v>
      </c>
      <c r="S56" s="34">
        <v>1</v>
      </c>
      <c r="T56" s="34">
        <v>1</v>
      </c>
      <c r="U56" s="34">
        <v>1</v>
      </c>
      <c r="V56" s="34">
        <v>1</v>
      </c>
      <c r="W56" s="34">
        <v>1</v>
      </c>
      <c r="X56" s="34">
        <v>1</v>
      </c>
      <c r="Y56" s="34">
        <v>1</v>
      </c>
      <c r="Z56" s="34">
        <v>1</v>
      </c>
      <c r="AA56" s="34">
        <v>1</v>
      </c>
      <c r="AB56" s="34">
        <v>1</v>
      </c>
      <c r="AC56" s="59"/>
      <c r="AD56" s="59"/>
      <c r="AE56" s="59"/>
      <c r="AF56" s="47"/>
      <c r="AG56" s="47"/>
      <c r="AH56" s="47"/>
      <c r="AI56" s="47"/>
      <c r="AJ56" s="47"/>
      <c r="AK56" s="47"/>
      <c r="AL56" s="10">
        <f t="shared" si="2"/>
        <v>14</v>
      </c>
      <c r="AM56" s="11">
        <v>32000</v>
      </c>
      <c r="AN56" s="12">
        <f t="shared" si="3"/>
        <v>448000</v>
      </c>
    </row>
    <row r="57" spans="1:40" ht="13.5" customHeight="1">
      <c r="A57" s="53" t="s">
        <v>561</v>
      </c>
      <c r="B57" s="32">
        <v>52</v>
      </c>
      <c r="C57" s="33" t="s">
        <v>598</v>
      </c>
      <c r="D57" s="33" t="s">
        <v>112</v>
      </c>
      <c r="E57" s="33" t="s">
        <v>480</v>
      </c>
      <c r="F57" s="32" t="s">
        <v>599</v>
      </c>
      <c r="G57" s="47"/>
      <c r="H57" s="47"/>
      <c r="I57" s="47"/>
      <c r="J57" s="47"/>
      <c r="K57" s="47"/>
      <c r="L57" s="47"/>
      <c r="M57" s="47"/>
      <c r="N57" s="47"/>
      <c r="O57" s="34">
        <v>1</v>
      </c>
      <c r="P57" s="34">
        <v>1</v>
      </c>
      <c r="Q57" s="34">
        <v>1</v>
      </c>
      <c r="R57" s="34">
        <v>1</v>
      </c>
      <c r="S57" s="34">
        <v>1</v>
      </c>
      <c r="T57" s="34">
        <v>1</v>
      </c>
      <c r="U57" s="34">
        <v>1</v>
      </c>
      <c r="V57" s="34">
        <v>1</v>
      </c>
      <c r="W57" s="34">
        <v>1</v>
      </c>
      <c r="X57" s="34">
        <v>1</v>
      </c>
      <c r="Y57" s="34">
        <v>1</v>
      </c>
      <c r="Z57" s="34">
        <v>1</v>
      </c>
      <c r="AA57" s="34">
        <v>1</v>
      </c>
      <c r="AB57" s="34">
        <v>1</v>
      </c>
      <c r="AC57" s="59"/>
      <c r="AD57" s="59"/>
      <c r="AE57" s="59"/>
      <c r="AF57" s="47"/>
      <c r="AG57" s="47"/>
      <c r="AH57" s="47"/>
      <c r="AI57" s="47"/>
      <c r="AJ57" s="47"/>
      <c r="AK57" s="47"/>
      <c r="AL57" s="10">
        <f t="shared" si="2"/>
        <v>14</v>
      </c>
      <c r="AM57" s="11">
        <v>32000</v>
      </c>
      <c r="AN57" s="12">
        <f t="shared" si="3"/>
        <v>448000</v>
      </c>
    </row>
    <row r="58" spans="1:40">
      <c r="A58" s="53" t="s">
        <v>561</v>
      </c>
      <c r="B58" s="32">
        <v>53</v>
      </c>
      <c r="C58" s="33" t="s">
        <v>600</v>
      </c>
      <c r="D58" s="33" t="s">
        <v>601</v>
      </c>
      <c r="E58" s="33" t="s">
        <v>602</v>
      </c>
      <c r="F58" s="32">
        <v>23269394</v>
      </c>
      <c r="G58" s="47"/>
      <c r="H58" s="47"/>
      <c r="I58" s="47"/>
      <c r="J58" s="47"/>
      <c r="K58" s="47"/>
      <c r="L58" s="47"/>
      <c r="M58" s="47"/>
      <c r="N58" s="47"/>
      <c r="O58" s="34">
        <v>1</v>
      </c>
      <c r="P58" s="34">
        <v>1</v>
      </c>
      <c r="Q58" s="34">
        <v>1</v>
      </c>
      <c r="R58" s="34">
        <v>1</v>
      </c>
      <c r="S58" s="34">
        <v>1</v>
      </c>
      <c r="T58" s="34">
        <v>1</v>
      </c>
      <c r="U58" s="34">
        <v>1</v>
      </c>
      <c r="V58" s="34">
        <v>1</v>
      </c>
      <c r="W58" s="34">
        <v>1</v>
      </c>
      <c r="X58" s="34">
        <v>1</v>
      </c>
      <c r="Y58" s="34">
        <v>1</v>
      </c>
      <c r="Z58" s="34">
        <v>1</v>
      </c>
      <c r="AA58" s="34">
        <v>1</v>
      </c>
      <c r="AB58" s="34">
        <v>1</v>
      </c>
      <c r="AC58" s="59"/>
      <c r="AD58" s="59"/>
      <c r="AE58" s="59"/>
      <c r="AF58" s="47"/>
      <c r="AG58" s="47"/>
      <c r="AH58" s="47"/>
      <c r="AI58" s="47"/>
      <c r="AJ58" s="47"/>
      <c r="AK58" s="47"/>
      <c r="AL58" s="10">
        <f t="shared" si="2"/>
        <v>14</v>
      </c>
      <c r="AM58" s="11">
        <v>32000</v>
      </c>
      <c r="AN58" s="12">
        <f t="shared" si="3"/>
        <v>448000</v>
      </c>
    </row>
    <row r="59" spans="1:40">
      <c r="A59" s="53" t="s">
        <v>561</v>
      </c>
      <c r="B59" s="32">
        <v>53</v>
      </c>
      <c r="C59" s="33" t="s">
        <v>265</v>
      </c>
      <c r="D59" s="33" t="s">
        <v>603</v>
      </c>
      <c r="E59" s="33" t="s">
        <v>437</v>
      </c>
      <c r="F59" s="32" t="s">
        <v>604</v>
      </c>
      <c r="G59" s="47"/>
      <c r="H59" s="47"/>
      <c r="I59" s="47"/>
      <c r="J59" s="47"/>
      <c r="K59" s="47"/>
      <c r="L59" s="47"/>
      <c r="M59" s="47"/>
      <c r="N59" s="47"/>
      <c r="O59" s="34">
        <v>1</v>
      </c>
      <c r="P59" s="34">
        <v>1</v>
      </c>
      <c r="Q59" s="34">
        <v>1</v>
      </c>
      <c r="R59" s="34">
        <v>1</v>
      </c>
      <c r="S59" s="34">
        <v>1</v>
      </c>
      <c r="T59" s="34">
        <v>1</v>
      </c>
      <c r="U59" s="34">
        <v>1</v>
      </c>
      <c r="V59" s="34">
        <v>1</v>
      </c>
      <c r="W59" s="34">
        <v>1</v>
      </c>
      <c r="X59" s="34">
        <v>1</v>
      </c>
      <c r="Y59" s="34">
        <v>1</v>
      </c>
      <c r="Z59" s="34">
        <v>1</v>
      </c>
      <c r="AA59" s="34">
        <v>1</v>
      </c>
      <c r="AB59" s="34">
        <v>1</v>
      </c>
      <c r="AC59" s="47"/>
      <c r="AD59" s="47"/>
      <c r="AE59" s="47"/>
      <c r="AF59" s="47"/>
      <c r="AG59" s="47"/>
      <c r="AH59" s="47"/>
      <c r="AI59" s="47"/>
      <c r="AJ59" s="47"/>
      <c r="AK59" s="47"/>
      <c r="AL59" s="10">
        <f t="shared" si="2"/>
        <v>14</v>
      </c>
      <c r="AM59" s="11">
        <v>32000</v>
      </c>
      <c r="AN59" s="12">
        <f t="shared" si="3"/>
        <v>448000</v>
      </c>
    </row>
    <row r="60" spans="1:40">
      <c r="A60" s="53" t="s">
        <v>561</v>
      </c>
      <c r="B60" s="32">
        <v>53</v>
      </c>
      <c r="C60" s="33" t="s">
        <v>99</v>
      </c>
      <c r="D60" s="33" t="s">
        <v>619</v>
      </c>
      <c r="E60" s="33" t="s">
        <v>361</v>
      </c>
      <c r="F60" s="32" t="s">
        <v>622</v>
      </c>
      <c r="G60" s="47"/>
      <c r="H60" s="47"/>
      <c r="I60" s="47"/>
      <c r="J60" s="47"/>
      <c r="K60" s="47"/>
      <c r="L60" s="47"/>
      <c r="M60" s="47"/>
      <c r="N60" s="47"/>
      <c r="O60" s="34">
        <v>1</v>
      </c>
      <c r="P60" s="34">
        <v>1</v>
      </c>
      <c r="Q60" s="34">
        <v>1</v>
      </c>
      <c r="R60" s="34">
        <v>1</v>
      </c>
      <c r="S60" s="34">
        <v>1</v>
      </c>
      <c r="T60" s="34">
        <v>1</v>
      </c>
      <c r="U60" s="34">
        <v>1</v>
      </c>
      <c r="V60" s="34">
        <v>1</v>
      </c>
      <c r="W60" s="34">
        <v>1</v>
      </c>
      <c r="X60" s="34">
        <v>1</v>
      </c>
      <c r="Y60" s="34">
        <v>1</v>
      </c>
      <c r="Z60" s="34">
        <v>1</v>
      </c>
      <c r="AA60" s="34">
        <v>1</v>
      </c>
      <c r="AB60" s="34">
        <v>1</v>
      </c>
      <c r="AC60" s="47"/>
      <c r="AD60" s="47"/>
      <c r="AE60" s="47"/>
      <c r="AF60" s="47"/>
      <c r="AG60" s="47"/>
      <c r="AH60" s="47"/>
      <c r="AI60" s="47"/>
      <c r="AJ60" s="47"/>
      <c r="AK60" s="47"/>
      <c r="AL60" s="10">
        <f t="shared" ref="AL60:AL91" si="4">SUM(G60:AK60)</f>
        <v>14</v>
      </c>
      <c r="AM60" s="11">
        <v>32000</v>
      </c>
      <c r="AN60" s="12">
        <f t="shared" si="3"/>
        <v>448000</v>
      </c>
    </row>
    <row r="61" spans="1:40">
      <c r="A61" s="53" t="s">
        <v>561</v>
      </c>
      <c r="B61" s="32">
        <v>60</v>
      </c>
      <c r="C61" s="33" t="s">
        <v>577</v>
      </c>
      <c r="D61" s="33" t="s">
        <v>605</v>
      </c>
      <c r="E61" s="33" t="s">
        <v>606</v>
      </c>
      <c r="F61" s="32" t="s">
        <v>607</v>
      </c>
      <c r="G61" s="47"/>
      <c r="H61" s="47"/>
      <c r="I61" s="47"/>
      <c r="J61" s="47"/>
      <c r="K61" s="47"/>
      <c r="L61" s="47"/>
      <c r="M61" s="47"/>
      <c r="N61" s="47"/>
      <c r="O61" s="34">
        <v>1</v>
      </c>
      <c r="P61" s="34">
        <v>1</v>
      </c>
      <c r="Q61" s="34">
        <v>1</v>
      </c>
      <c r="R61" s="34">
        <v>1</v>
      </c>
      <c r="S61" s="34">
        <v>1</v>
      </c>
      <c r="T61" s="34">
        <v>1</v>
      </c>
      <c r="U61" s="34">
        <v>1</v>
      </c>
      <c r="V61" s="34">
        <v>1</v>
      </c>
      <c r="W61" s="34">
        <v>1</v>
      </c>
      <c r="X61" s="34">
        <v>1</v>
      </c>
      <c r="Y61" s="34">
        <v>1</v>
      </c>
      <c r="Z61" s="34">
        <v>1</v>
      </c>
      <c r="AA61" s="34">
        <v>1</v>
      </c>
      <c r="AB61" s="34">
        <v>1</v>
      </c>
      <c r="AC61" s="47"/>
      <c r="AD61" s="47"/>
      <c r="AE61" s="47"/>
      <c r="AF61" s="47"/>
      <c r="AG61" s="47"/>
      <c r="AH61" s="47"/>
      <c r="AI61" s="47"/>
      <c r="AJ61" s="47"/>
      <c r="AK61" s="47"/>
      <c r="AL61" s="10">
        <f t="shared" si="4"/>
        <v>14</v>
      </c>
      <c r="AM61" s="11">
        <v>32000</v>
      </c>
      <c r="AN61" s="12">
        <f t="shared" si="3"/>
        <v>448000</v>
      </c>
    </row>
    <row r="62" spans="1:40">
      <c r="A62" s="53" t="s">
        <v>561</v>
      </c>
      <c r="B62" s="32">
        <v>60</v>
      </c>
      <c r="C62" s="33" t="s">
        <v>550</v>
      </c>
      <c r="D62" s="33" t="s">
        <v>155</v>
      </c>
      <c r="E62" s="33" t="s">
        <v>608</v>
      </c>
      <c r="F62" s="32" t="s">
        <v>609</v>
      </c>
      <c r="G62" s="47"/>
      <c r="H62" s="47"/>
      <c r="I62" s="47"/>
      <c r="J62" s="47"/>
      <c r="K62" s="47"/>
      <c r="L62" s="47"/>
      <c r="M62" s="47"/>
      <c r="N62" s="47"/>
      <c r="O62" s="34">
        <v>1</v>
      </c>
      <c r="P62" s="34">
        <v>1</v>
      </c>
      <c r="Q62" s="34">
        <v>1</v>
      </c>
      <c r="R62" s="34">
        <v>1</v>
      </c>
      <c r="S62" s="34">
        <v>1</v>
      </c>
      <c r="T62" s="34">
        <v>1</v>
      </c>
      <c r="U62" s="34">
        <v>1</v>
      </c>
      <c r="V62" s="34">
        <v>1</v>
      </c>
      <c r="W62" s="34">
        <v>1</v>
      </c>
      <c r="X62" s="34">
        <v>1</v>
      </c>
      <c r="Y62" s="34">
        <v>1</v>
      </c>
      <c r="Z62" s="34">
        <v>1</v>
      </c>
      <c r="AA62" s="34">
        <v>1</v>
      </c>
      <c r="AB62" s="34">
        <v>1</v>
      </c>
      <c r="AC62" s="47"/>
      <c r="AD62" s="47"/>
      <c r="AE62" s="47"/>
      <c r="AF62" s="47"/>
      <c r="AG62" s="47"/>
      <c r="AH62" s="47"/>
      <c r="AI62" s="47"/>
      <c r="AJ62" s="47"/>
      <c r="AK62" s="47"/>
      <c r="AL62" s="10">
        <f t="shared" si="4"/>
        <v>14</v>
      </c>
      <c r="AM62" s="11">
        <v>32000</v>
      </c>
      <c r="AN62" s="12">
        <f t="shared" si="3"/>
        <v>448000</v>
      </c>
    </row>
    <row r="63" spans="1:40">
      <c r="A63" s="53" t="s">
        <v>561</v>
      </c>
      <c r="B63" s="32">
        <v>61</v>
      </c>
      <c r="C63" s="33" t="s">
        <v>13</v>
      </c>
      <c r="D63" s="33" t="s">
        <v>193</v>
      </c>
      <c r="E63" s="33" t="s">
        <v>208</v>
      </c>
      <c r="F63" s="32" t="s">
        <v>553</v>
      </c>
      <c r="G63" s="47"/>
      <c r="H63" s="47"/>
      <c r="I63" s="47"/>
      <c r="J63" s="47"/>
      <c r="K63" s="47"/>
      <c r="L63" s="47"/>
      <c r="M63" s="47"/>
      <c r="N63" s="47"/>
      <c r="O63" s="34">
        <v>1</v>
      </c>
      <c r="P63" s="34">
        <v>1</v>
      </c>
      <c r="Q63" s="34">
        <v>1</v>
      </c>
      <c r="R63" s="34">
        <v>1</v>
      </c>
      <c r="S63" s="34">
        <v>1</v>
      </c>
      <c r="T63" s="34">
        <v>1</v>
      </c>
      <c r="U63" s="34">
        <v>1</v>
      </c>
      <c r="V63" s="34">
        <v>1</v>
      </c>
      <c r="W63" s="34">
        <v>1</v>
      </c>
      <c r="X63" s="34">
        <v>1</v>
      </c>
      <c r="Y63" s="34">
        <v>1</v>
      </c>
      <c r="Z63" s="34">
        <v>1</v>
      </c>
      <c r="AA63" s="34">
        <v>1</v>
      </c>
      <c r="AB63" s="34">
        <v>1</v>
      </c>
      <c r="AC63" s="47"/>
      <c r="AD63" s="47"/>
      <c r="AE63" s="47"/>
      <c r="AF63" s="47"/>
      <c r="AG63" s="47"/>
      <c r="AH63" s="47"/>
      <c r="AI63" s="47"/>
      <c r="AJ63" s="47"/>
      <c r="AK63" s="47"/>
      <c r="AL63" s="10">
        <f t="shared" si="4"/>
        <v>14</v>
      </c>
      <c r="AM63" s="11">
        <v>32000</v>
      </c>
      <c r="AN63" s="12">
        <f t="shared" si="3"/>
        <v>448000</v>
      </c>
    </row>
    <row r="64" spans="1:40" ht="13.5" customHeight="1">
      <c r="A64" s="53" t="s">
        <v>561</v>
      </c>
      <c r="B64" s="32">
        <v>61</v>
      </c>
      <c r="C64" s="33" t="s">
        <v>90</v>
      </c>
      <c r="D64" s="33" t="s">
        <v>152</v>
      </c>
      <c r="E64" s="33" t="s">
        <v>43</v>
      </c>
      <c r="F64" s="32" t="s">
        <v>94</v>
      </c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34">
        <v>1</v>
      </c>
      <c r="T64" s="34">
        <v>1</v>
      </c>
      <c r="U64" s="34">
        <v>1</v>
      </c>
      <c r="V64" s="34">
        <v>1</v>
      </c>
      <c r="W64" s="34">
        <v>1</v>
      </c>
      <c r="X64" s="34">
        <v>1</v>
      </c>
      <c r="Y64" s="34">
        <v>1</v>
      </c>
      <c r="Z64" s="34">
        <v>1</v>
      </c>
      <c r="AA64" s="34">
        <v>1</v>
      </c>
      <c r="AB64" s="34">
        <v>1</v>
      </c>
      <c r="AC64" s="34">
        <v>1</v>
      </c>
      <c r="AD64" s="34">
        <v>1</v>
      </c>
      <c r="AE64" s="34">
        <v>1</v>
      </c>
      <c r="AF64" s="47"/>
      <c r="AG64" s="47"/>
      <c r="AH64" s="47"/>
      <c r="AI64" s="47"/>
      <c r="AJ64" s="47"/>
      <c r="AK64" s="47"/>
      <c r="AL64" s="10">
        <f t="shared" si="4"/>
        <v>13</v>
      </c>
      <c r="AM64" s="11">
        <v>32000</v>
      </c>
      <c r="AN64" s="12">
        <f t="shared" si="3"/>
        <v>416000</v>
      </c>
    </row>
    <row r="65" spans="1:40" ht="13.5" customHeight="1">
      <c r="A65" s="53" t="s">
        <v>561</v>
      </c>
      <c r="B65" s="32">
        <v>62</v>
      </c>
      <c r="C65" s="33" t="s">
        <v>620</v>
      </c>
      <c r="D65" s="33" t="s">
        <v>70</v>
      </c>
      <c r="E65" s="33" t="s">
        <v>276</v>
      </c>
      <c r="F65" s="32" t="s">
        <v>621</v>
      </c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34">
        <v>1</v>
      </c>
      <c r="T65" s="34">
        <v>1</v>
      </c>
      <c r="U65" s="34">
        <v>1</v>
      </c>
      <c r="V65" s="34">
        <v>1</v>
      </c>
      <c r="W65" s="34">
        <v>1</v>
      </c>
      <c r="X65" s="34">
        <v>1</v>
      </c>
      <c r="Y65" s="34">
        <v>1</v>
      </c>
      <c r="Z65" s="34">
        <v>1</v>
      </c>
      <c r="AA65" s="34">
        <v>1</v>
      </c>
      <c r="AB65" s="34">
        <v>1</v>
      </c>
      <c r="AC65" s="34">
        <v>1</v>
      </c>
      <c r="AD65" s="34">
        <v>1</v>
      </c>
      <c r="AE65" s="34">
        <v>1</v>
      </c>
      <c r="AF65" s="47"/>
      <c r="AG65" s="47"/>
      <c r="AH65" s="47"/>
      <c r="AI65" s="47"/>
      <c r="AJ65" s="47"/>
      <c r="AK65" s="47"/>
      <c r="AL65" s="10">
        <f t="shared" si="4"/>
        <v>13</v>
      </c>
      <c r="AM65" s="11">
        <v>32000</v>
      </c>
      <c r="AN65" s="12">
        <f t="shared" si="3"/>
        <v>416000</v>
      </c>
    </row>
    <row r="66" spans="1:40">
      <c r="A66" s="53" t="s">
        <v>561</v>
      </c>
      <c r="B66" s="32">
        <v>81</v>
      </c>
      <c r="C66" s="33" t="s">
        <v>610</v>
      </c>
      <c r="D66" s="33" t="s">
        <v>611</v>
      </c>
      <c r="E66" s="33" t="s">
        <v>612</v>
      </c>
      <c r="F66" s="32" t="s">
        <v>617</v>
      </c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34">
        <v>1</v>
      </c>
      <c r="T66" s="34">
        <v>1</v>
      </c>
      <c r="U66" s="34">
        <v>1</v>
      </c>
      <c r="V66" s="34">
        <v>1</v>
      </c>
      <c r="W66" s="34">
        <v>1</v>
      </c>
      <c r="X66" s="34">
        <v>1</v>
      </c>
      <c r="Y66" s="34">
        <v>1</v>
      </c>
      <c r="Z66" s="34">
        <v>1</v>
      </c>
      <c r="AA66" s="34">
        <v>1</v>
      </c>
      <c r="AB66" s="34">
        <v>1</v>
      </c>
      <c r="AC66" s="34">
        <v>1</v>
      </c>
      <c r="AD66" s="34">
        <v>1</v>
      </c>
      <c r="AE66" s="34">
        <v>1</v>
      </c>
      <c r="AF66" s="47"/>
      <c r="AG66" s="47"/>
      <c r="AH66" s="47"/>
      <c r="AI66" s="47"/>
      <c r="AJ66" s="47"/>
      <c r="AK66" s="47"/>
      <c r="AL66" s="10">
        <f t="shared" si="4"/>
        <v>13</v>
      </c>
      <c r="AM66" s="11">
        <v>32000</v>
      </c>
      <c r="AN66" s="12">
        <f t="shared" si="3"/>
        <v>416000</v>
      </c>
    </row>
    <row r="67" spans="1:40">
      <c r="A67" s="53" t="s">
        <v>561</v>
      </c>
      <c r="B67" s="32">
        <v>81</v>
      </c>
      <c r="C67" s="33" t="s">
        <v>210</v>
      </c>
      <c r="D67" s="33" t="s">
        <v>211</v>
      </c>
      <c r="E67" s="33" t="s">
        <v>212</v>
      </c>
      <c r="F67" s="32" t="s">
        <v>213</v>
      </c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34">
        <v>1</v>
      </c>
      <c r="T67" s="34">
        <v>1</v>
      </c>
      <c r="U67" s="34">
        <v>1</v>
      </c>
      <c r="V67" s="34">
        <v>1</v>
      </c>
      <c r="W67" s="34">
        <v>1</v>
      </c>
      <c r="X67" s="34">
        <v>1</v>
      </c>
      <c r="Y67" s="34">
        <v>1</v>
      </c>
      <c r="Z67" s="34">
        <v>1</v>
      </c>
      <c r="AA67" s="34">
        <v>1</v>
      </c>
      <c r="AB67" s="34">
        <v>1</v>
      </c>
      <c r="AC67" s="34">
        <v>1</v>
      </c>
      <c r="AD67" s="34">
        <v>1</v>
      </c>
      <c r="AE67" s="34">
        <v>1</v>
      </c>
      <c r="AF67" s="47"/>
      <c r="AG67" s="47"/>
      <c r="AH67" s="47"/>
      <c r="AI67" s="47"/>
      <c r="AJ67" s="47"/>
      <c r="AK67" s="47"/>
      <c r="AL67" s="10">
        <f t="shared" si="4"/>
        <v>13</v>
      </c>
      <c r="AM67" s="11">
        <v>32000</v>
      </c>
      <c r="AN67" s="12">
        <f t="shared" si="3"/>
        <v>416000</v>
      </c>
    </row>
    <row r="68" spans="1:40">
      <c r="A68" s="53" t="s">
        <v>561</v>
      </c>
      <c r="B68" s="32">
        <v>81</v>
      </c>
      <c r="C68" s="33" t="s">
        <v>95</v>
      </c>
      <c r="D68" s="33" t="s">
        <v>18</v>
      </c>
      <c r="E68" s="33" t="s">
        <v>96</v>
      </c>
      <c r="F68" s="32" t="s">
        <v>97</v>
      </c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34">
        <v>1</v>
      </c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10">
        <f t="shared" si="4"/>
        <v>1</v>
      </c>
      <c r="AM68" s="11">
        <v>32000</v>
      </c>
      <c r="AN68" s="12">
        <f t="shared" si="3"/>
        <v>32000</v>
      </c>
    </row>
    <row r="69" spans="1:40">
      <c r="A69" s="53" t="s">
        <v>561</v>
      </c>
      <c r="B69" s="32">
        <v>81</v>
      </c>
      <c r="C69" s="33" t="s">
        <v>12</v>
      </c>
      <c r="D69" s="33" t="s">
        <v>116</v>
      </c>
      <c r="E69" s="33" t="s">
        <v>85</v>
      </c>
      <c r="F69" s="32" t="s">
        <v>89</v>
      </c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34">
        <v>1</v>
      </c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10">
        <f t="shared" si="4"/>
        <v>1</v>
      </c>
      <c r="AM69" s="11">
        <v>32000</v>
      </c>
      <c r="AN69" s="12">
        <f t="shared" si="3"/>
        <v>32000</v>
      </c>
    </row>
    <row r="70" spans="1:40">
      <c r="A70" s="53" t="s">
        <v>561</v>
      </c>
      <c r="B70" s="32">
        <v>46</v>
      </c>
      <c r="C70" s="33" t="s">
        <v>488</v>
      </c>
      <c r="D70" s="33" t="s">
        <v>21</v>
      </c>
      <c r="E70" s="33" t="s">
        <v>898</v>
      </c>
      <c r="F70" s="32" t="s">
        <v>919</v>
      </c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34">
        <v>1</v>
      </c>
      <c r="AD70" s="34">
        <v>1</v>
      </c>
      <c r="AE70" s="34">
        <v>1</v>
      </c>
      <c r="AF70" s="47"/>
      <c r="AG70" s="47"/>
      <c r="AH70" s="47"/>
      <c r="AI70" s="47"/>
      <c r="AJ70" s="47"/>
      <c r="AK70" s="47"/>
      <c r="AL70" s="10">
        <f t="shared" si="4"/>
        <v>3</v>
      </c>
      <c r="AM70" s="11">
        <v>32000</v>
      </c>
      <c r="AN70" s="12">
        <f t="shared" ref="AN70:AN82" si="5">AM70*AL70</f>
        <v>96000</v>
      </c>
    </row>
    <row r="71" spans="1:40">
      <c r="A71" s="53" t="s">
        <v>561</v>
      </c>
      <c r="B71" s="32">
        <v>46</v>
      </c>
      <c r="C71" s="33" t="s">
        <v>275</v>
      </c>
      <c r="D71" s="33" t="s">
        <v>275</v>
      </c>
      <c r="E71" s="33" t="s">
        <v>899</v>
      </c>
      <c r="F71" s="32" t="s">
        <v>918</v>
      </c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34">
        <v>1</v>
      </c>
      <c r="AD71" s="34">
        <v>1</v>
      </c>
      <c r="AE71" s="34">
        <v>1</v>
      </c>
      <c r="AF71" s="47"/>
      <c r="AG71" s="47"/>
      <c r="AH71" s="47"/>
      <c r="AI71" s="47"/>
      <c r="AJ71" s="47"/>
      <c r="AK71" s="47"/>
      <c r="AL71" s="10">
        <f t="shared" si="4"/>
        <v>3</v>
      </c>
      <c r="AM71" s="11">
        <v>32000</v>
      </c>
      <c r="AN71" s="12">
        <f t="shared" si="5"/>
        <v>96000</v>
      </c>
    </row>
    <row r="72" spans="1:40">
      <c r="A72" s="53" t="s">
        <v>561</v>
      </c>
      <c r="B72" s="32">
        <v>48</v>
      </c>
      <c r="C72" s="33" t="s">
        <v>592</v>
      </c>
      <c r="D72" s="33" t="s">
        <v>149</v>
      </c>
      <c r="E72" s="33" t="s">
        <v>26</v>
      </c>
      <c r="F72" s="32" t="s">
        <v>917</v>
      </c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34">
        <v>1</v>
      </c>
      <c r="AD72" s="34">
        <v>1</v>
      </c>
      <c r="AE72" s="34">
        <v>1</v>
      </c>
      <c r="AF72" s="47"/>
      <c r="AG72" s="47"/>
      <c r="AH72" s="47"/>
      <c r="AI72" s="47"/>
      <c r="AJ72" s="47"/>
      <c r="AK72" s="47"/>
      <c r="AL72" s="10">
        <f t="shared" si="4"/>
        <v>3</v>
      </c>
      <c r="AM72" s="11">
        <v>32000</v>
      </c>
      <c r="AN72" s="12">
        <f t="shared" si="5"/>
        <v>96000</v>
      </c>
    </row>
    <row r="73" spans="1:40">
      <c r="A73" s="53" t="s">
        <v>561</v>
      </c>
      <c r="B73" s="32">
        <v>48</v>
      </c>
      <c r="C73" s="33" t="s">
        <v>900</v>
      </c>
      <c r="D73" s="33" t="s">
        <v>901</v>
      </c>
      <c r="E73" s="33" t="s">
        <v>100</v>
      </c>
      <c r="F73" s="32" t="s">
        <v>916</v>
      </c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34">
        <v>1</v>
      </c>
      <c r="AD73" s="34">
        <v>1</v>
      </c>
      <c r="AE73" s="34">
        <v>1</v>
      </c>
      <c r="AF73" s="47"/>
      <c r="AG73" s="47"/>
      <c r="AH73" s="47"/>
      <c r="AI73" s="47"/>
      <c r="AJ73" s="47"/>
      <c r="AK73" s="47"/>
      <c r="AL73" s="10">
        <f t="shared" si="4"/>
        <v>3</v>
      </c>
      <c r="AM73" s="11">
        <v>32000</v>
      </c>
      <c r="AN73" s="12">
        <f t="shared" si="5"/>
        <v>96000</v>
      </c>
    </row>
    <row r="74" spans="1:40">
      <c r="A74" s="53" t="s">
        <v>561</v>
      </c>
      <c r="B74" s="32">
        <v>51</v>
      </c>
      <c r="C74" s="33" t="s">
        <v>901</v>
      </c>
      <c r="D74" s="33" t="s">
        <v>872</v>
      </c>
      <c r="E74" s="33" t="s">
        <v>61</v>
      </c>
      <c r="F74" s="32" t="s">
        <v>915</v>
      </c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34">
        <v>1</v>
      </c>
      <c r="AD74" s="34">
        <v>1</v>
      </c>
      <c r="AE74" s="34">
        <v>1</v>
      </c>
      <c r="AF74" s="47"/>
      <c r="AG74" s="47"/>
      <c r="AH74" s="47"/>
      <c r="AI74" s="47"/>
      <c r="AJ74" s="47"/>
      <c r="AK74" s="47"/>
      <c r="AL74" s="10">
        <f t="shared" si="4"/>
        <v>3</v>
      </c>
      <c r="AM74" s="11">
        <v>32000</v>
      </c>
      <c r="AN74" s="12">
        <f t="shared" si="5"/>
        <v>96000</v>
      </c>
    </row>
    <row r="75" spans="1:40">
      <c r="A75" s="53" t="s">
        <v>561</v>
      </c>
      <c r="B75" s="32">
        <v>51</v>
      </c>
      <c r="C75" s="33" t="s">
        <v>723</v>
      </c>
      <c r="D75" s="33" t="s">
        <v>358</v>
      </c>
      <c r="E75" s="33" t="s">
        <v>494</v>
      </c>
      <c r="F75" s="32" t="s">
        <v>914</v>
      </c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34">
        <v>1</v>
      </c>
      <c r="AD75" s="34">
        <v>1</v>
      </c>
      <c r="AE75" s="34">
        <v>1</v>
      </c>
      <c r="AF75" s="47"/>
      <c r="AG75" s="47"/>
      <c r="AH75" s="47"/>
      <c r="AI75" s="47"/>
      <c r="AJ75" s="47"/>
      <c r="AK75" s="47"/>
      <c r="AL75" s="10">
        <f t="shared" si="4"/>
        <v>3</v>
      </c>
      <c r="AM75" s="11">
        <v>32000</v>
      </c>
      <c r="AN75" s="12">
        <f t="shared" si="5"/>
        <v>96000</v>
      </c>
    </row>
    <row r="76" spans="1:40">
      <c r="A76" s="53" t="s">
        <v>561</v>
      </c>
      <c r="B76" s="32">
        <v>61</v>
      </c>
      <c r="C76" s="33" t="s">
        <v>346</v>
      </c>
      <c r="D76" s="33" t="s">
        <v>397</v>
      </c>
      <c r="E76" s="33" t="s">
        <v>524</v>
      </c>
      <c r="F76" s="32" t="s">
        <v>913</v>
      </c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34">
        <v>1</v>
      </c>
      <c r="AD76" s="34">
        <v>1</v>
      </c>
      <c r="AE76" s="34">
        <v>1</v>
      </c>
      <c r="AF76" s="47"/>
      <c r="AG76" s="47"/>
      <c r="AH76" s="47"/>
      <c r="AI76" s="47"/>
      <c r="AJ76" s="47"/>
      <c r="AK76" s="47"/>
      <c r="AL76" s="10">
        <f t="shared" si="4"/>
        <v>3</v>
      </c>
      <c r="AM76" s="11">
        <v>32000</v>
      </c>
      <c r="AN76" s="12">
        <f t="shared" si="5"/>
        <v>96000</v>
      </c>
    </row>
    <row r="77" spans="1:40">
      <c r="A77" s="53" t="s">
        <v>561</v>
      </c>
      <c r="B77" s="32">
        <v>2</v>
      </c>
      <c r="C77" s="33" t="s">
        <v>902</v>
      </c>
      <c r="D77" s="33" t="s">
        <v>903</v>
      </c>
      <c r="E77" s="33" t="s">
        <v>11</v>
      </c>
      <c r="F77" s="32" t="s">
        <v>912</v>
      </c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34">
        <v>1</v>
      </c>
      <c r="AD77" s="34">
        <v>1</v>
      </c>
      <c r="AE77" s="34">
        <v>1</v>
      </c>
      <c r="AF77" s="47"/>
      <c r="AG77" s="47"/>
      <c r="AH77" s="47"/>
      <c r="AI77" s="47"/>
      <c r="AJ77" s="47"/>
      <c r="AK77" s="47"/>
      <c r="AL77" s="10">
        <f t="shared" si="4"/>
        <v>3</v>
      </c>
      <c r="AM77" s="11">
        <v>32000</v>
      </c>
      <c r="AN77" s="12">
        <f t="shared" si="5"/>
        <v>96000</v>
      </c>
    </row>
    <row r="78" spans="1:40">
      <c r="A78" s="53" t="s">
        <v>561</v>
      </c>
      <c r="B78" s="32">
        <v>2</v>
      </c>
      <c r="C78" s="33" t="s">
        <v>904</v>
      </c>
      <c r="D78" s="33" t="s">
        <v>905</v>
      </c>
      <c r="E78" s="33" t="s">
        <v>906</v>
      </c>
      <c r="F78" s="32" t="s">
        <v>911</v>
      </c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34">
        <v>1</v>
      </c>
      <c r="AD78" s="34">
        <v>1</v>
      </c>
      <c r="AE78" s="34">
        <v>1</v>
      </c>
      <c r="AF78" s="47"/>
      <c r="AG78" s="47"/>
      <c r="AH78" s="47"/>
      <c r="AI78" s="47"/>
      <c r="AJ78" s="47"/>
      <c r="AK78" s="47"/>
      <c r="AL78" s="10">
        <f t="shared" si="4"/>
        <v>3</v>
      </c>
      <c r="AM78" s="11">
        <v>32000</v>
      </c>
      <c r="AN78" s="12">
        <f t="shared" si="5"/>
        <v>96000</v>
      </c>
    </row>
    <row r="79" spans="1:40">
      <c r="A79" s="53" t="s">
        <v>561</v>
      </c>
      <c r="B79" s="32">
        <v>29</v>
      </c>
      <c r="C79" s="33" t="s">
        <v>493</v>
      </c>
      <c r="D79" s="33" t="s">
        <v>783</v>
      </c>
      <c r="E79" s="33" t="s">
        <v>907</v>
      </c>
      <c r="F79" s="32" t="s">
        <v>910</v>
      </c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34">
        <v>1</v>
      </c>
      <c r="AD79" s="34">
        <v>1</v>
      </c>
      <c r="AE79" s="34">
        <v>1</v>
      </c>
      <c r="AF79" s="47"/>
      <c r="AG79" s="47"/>
      <c r="AH79" s="47"/>
      <c r="AI79" s="47"/>
      <c r="AJ79" s="47"/>
      <c r="AK79" s="47"/>
      <c r="AL79" s="10">
        <f t="shared" si="4"/>
        <v>3</v>
      </c>
      <c r="AM79" s="11">
        <v>32000</v>
      </c>
      <c r="AN79" s="12">
        <f t="shared" si="5"/>
        <v>96000</v>
      </c>
    </row>
    <row r="80" spans="1:40">
      <c r="A80" s="53" t="s">
        <v>561</v>
      </c>
      <c r="B80" s="32">
        <v>29</v>
      </c>
      <c r="C80" s="33" t="s">
        <v>908</v>
      </c>
      <c r="D80" s="33" t="s">
        <v>908</v>
      </c>
      <c r="E80" s="33" t="s">
        <v>9</v>
      </c>
      <c r="F80" s="32" t="s">
        <v>909</v>
      </c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34">
        <v>1</v>
      </c>
      <c r="AD80" s="34">
        <v>1</v>
      </c>
      <c r="AE80" s="34">
        <v>1</v>
      </c>
      <c r="AF80" s="47"/>
      <c r="AG80" s="47"/>
      <c r="AH80" s="47"/>
      <c r="AI80" s="47"/>
      <c r="AJ80" s="47"/>
      <c r="AK80" s="47"/>
      <c r="AL80" s="10">
        <f t="shared" si="4"/>
        <v>3</v>
      </c>
      <c r="AM80" s="11">
        <v>32000</v>
      </c>
      <c r="AN80" s="12">
        <f t="shared" si="5"/>
        <v>96000</v>
      </c>
    </row>
    <row r="81" spans="1:40">
      <c r="A81" s="53" t="s">
        <v>561</v>
      </c>
      <c r="B81" s="32">
        <v>61</v>
      </c>
      <c r="C81" s="33" t="s">
        <v>709</v>
      </c>
      <c r="D81" s="33" t="s">
        <v>363</v>
      </c>
      <c r="E81" s="33" t="s">
        <v>710</v>
      </c>
      <c r="F81" s="32" t="s">
        <v>920</v>
      </c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34">
        <v>1</v>
      </c>
      <c r="AD81" s="34">
        <v>1</v>
      </c>
      <c r="AE81" s="34">
        <v>1</v>
      </c>
      <c r="AF81" s="47"/>
      <c r="AG81" s="47"/>
      <c r="AH81" s="47"/>
      <c r="AI81" s="47"/>
      <c r="AJ81" s="47"/>
      <c r="AK81" s="47"/>
      <c r="AL81" s="10">
        <f t="shared" si="4"/>
        <v>3</v>
      </c>
      <c r="AM81" s="11">
        <v>32000</v>
      </c>
      <c r="AN81" s="12">
        <f>AM81*AL81</f>
        <v>96000</v>
      </c>
    </row>
    <row r="82" spans="1:40">
      <c r="A82" s="53" t="s">
        <v>561</v>
      </c>
      <c r="B82" s="52" t="s">
        <v>151</v>
      </c>
      <c r="C82" s="33" t="s">
        <v>554</v>
      </c>
      <c r="D82" s="33" t="s">
        <v>555</v>
      </c>
      <c r="E82" s="33" t="s">
        <v>556</v>
      </c>
      <c r="F82" s="32" t="s">
        <v>557</v>
      </c>
      <c r="G82" s="47"/>
      <c r="H82" s="47"/>
      <c r="I82" s="47"/>
      <c r="J82" s="47"/>
      <c r="K82" s="47"/>
      <c r="L82" s="47"/>
      <c r="M82" s="47"/>
      <c r="N82" s="34">
        <v>1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10">
        <f t="shared" si="4"/>
        <v>1</v>
      </c>
      <c r="AM82" s="11">
        <v>32000</v>
      </c>
      <c r="AN82" s="12">
        <f t="shared" si="5"/>
        <v>32000</v>
      </c>
    </row>
    <row r="83" spans="1:40" ht="13.5" thickBot="1">
      <c r="A83" s="62" t="s">
        <v>561</v>
      </c>
      <c r="B83" s="63" t="s">
        <v>151</v>
      </c>
      <c r="C83" s="39" t="s">
        <v>558</v>
      </c>
      <c r="D83" s="39" t="s">
        <v>559</v>
      </c>
      <c r="E83" s="39" t="s">
        <v>9</v>
      </c>
      <c r="F83" s="38" t="s">
        <v>560</v>
      </c>
      <c r="G83" s="47"/>
      <c r="H83" s="47"/>
      <c r="I83" s="47"/>
      <c r="J83" s="47"/>
      <c r="K83" s="47"/>
      <c r="L83" s="47"/>
      <c r="M83" s="47"/>
      <c r="N83" s="40">
        <v>1</v>
      </c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13">
        <f t="shared" si="4"/>
        <v>1</v>
      </c>
      <c r="AM83" s="14">
        <v>32000</v>
      </c>
      <c r="AN83" s="14">
        <f>AM83*AL83</f>
        <v>32000</v>
      </c>
    </row>
    <row r="84" spans="1:40">
      <c r="A84" s="53" t="s">
        <v>561</v>
      </c>
      <c r="B84" s="32">
        <v>2</v>
      </c>
      <c r="C84" s="33" t="s">
        <v>902</v>
      </c>
      <c r="D84" s="33" t="s">
        <v>903</v>
      </c>
      <c r="E84" s="33" t="s">
        <v>11</v>
      </c>
      <c r="F84" s="32" t="s">
        <v>912</v>
      </c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34">
        <v>1</v>
      </c>
      <c r="AG84" s="34">
        <v>1</v>
      </c>
      <c r="AH84" s="34">
        <v>1</v>
      </c>
      <c r="AI84" s="34">
        <v>1</v>
      </c>
      <c r="AJ84" s="34">
        <v>1</v>
      </c>
      <c r="AK84" s="34">
        <v>1</v>
      </c>
      <c r="AL84" s="43">
        <f t="shared" si="4"/>
        <v>6</v>
      </c>
      <c r="AM84" s="11">
        <v>32000</v>
      </c>
      <c r="AN84" s="11">
        <f t="shared" ref="AN84:AN97" si="6">AM84*AL84</f>
        <v>192000</v>
      </c>
    </row>
    <row r="85" spans="1:40">
      <c r="A85" s="53" t="s">
        <v>561</v>
      </c>
      <c r="B85" s="32">
        <v>2</v>
      </c>
      <c r="C85" s="33" t="s">
        <v>904</v>
      </c>
      <c r="D85" s="33" t="s">
        <v>905</v>
      </c>
      <c r="E85" s="33" t="s">
        <v>906</v>
      </c>
      <c r="F85" s="32" t="s">
        <v>911</v>
      </c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34">
        <v>1</v>
      </c>
      <c r="AG85" s="34">
        <v>1</v>
      </c>
      <c r="AH85" s="34">
        <v>1</v>
      </c>
      <c r="AI85" s="34">
        <v>1</v>
      </c>
      <c r="AJ85" s="34">
        <v>1</v>
      </c>
      <c r="AK85" s="34">
        <v>1</v>
      </c>
      <c r="AL85" s="10">
        <f t="shared" si="4"/>
        <v>6</v>
      </c>
      <c r="AM85" s="11">
        <v>32000</v>
      </c>
      <c r="AN85" s="12">
        <f t="shared" si="6"/>
        <v>192000</v>
      </c>
    </row>
    <row r="86" spans="1:40">
      <c r="A86" s="53" t="s">
        <v>561</v>
      </c>
      <c r="B86" s="32">
        <v>29</v>
      </c>
      <c r="C86" s="33" t="s">
        <v>493</v>
      </c>
      <c r="D86" s="33" t="s">
        <v>783</v>
      </c>
      <c r="E86" s="33" t="s">
        <v>907</v>
      </c>
      <c r="F86" s="32" t="s">
        <v>910</v>
      </c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34">
        <v>1</v>
      </c>
      <c r="AG86" s="34">
        <v>1</v>
      </c>
      <c r="AH86" s="34">
        <v>1</v>
      </c>
      <c r="AI86" s="34">
        <v>1</v>
      </c>
      <c r="AJ86" s="34">
        <v>1</v>
      </c>
      <c r="AK86" s="34">
        <v>1</v>
      </c>
      <c r="AL86" s="10">
        <f t="shared" si="4"/>
        <v>6</v>
      </c>
      <c r="AM86" s="11">
        <v>32000</v>
      </c>
      <c r="AN86" s="12">
        <f t="shared" si="6"/>
        <v>192000</v>
      </c>
    </row>
    <row r="87" spans="1:40">
      <c r="A87" s="53" t="s">
        <v>561</v>
      </c>
      <c r="B87" s="32">
        <v>29</v>
      </c>
      <c r="C87" s="33" t="s">
        <v>908</v>
      </c>
      <c r="D87" s="33" t="s">
        <v>908</v>
      </c>
      <c r="E87" s="33" t="s">
        <v>9</v>
      </c>
      <c r="F87" s="32" t="s">
        <v>909</v>
      </c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34">
        <v>1</v>
      </c>
      <c r="AG87" s="34">
        <v>1</v>
      </c>
      <c r="AH87" s="34">
        <v>1</v>
      </c>
      <c r="AI87" s="34">
        <v>1</v>
      </c>
      <c r="AJ87" s="34">
        <v>1</v>
      </c>
      <c r="AK87" s="34">
        <v>1</v>
      </c>
      <c r="AL87" s="10">
        <f t="shared" si="4"/>
        <v>6</v>
      </c>
      <c r="AM87" s="11">
        <v>32000</v>
      </c>
      <c r="AN87" s="12">
        <f t="shared" si="6"/>
        <v>192000</v>
      </c>
    </row>
    <row r="88" spans="1:40">
      <c r="A88" s="53" t="s">
        <v>561</v>
      </c>
      <c r="B88" s="32">
        <v>46</v>
      </c>
      <c r="C88" s="33" t="s">
        <v>488</v>
      </c>
      <c r="D88" s="33" t="s">
        <v>21</v>
      </c>
      <c r="E88" s="33" t="s">
        <v>898</v>
      </c>
      <c r="F88" s="32" t="s">
        <v>919</v>
      </c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34">
        <v>1</v>
      </c>
      <c r="AG88" s="34">
        <v>1</v>
      </c>
      <c r="AH88" s="34">
        <v>1</v>
      </c>
      <c r="AI88" s="34">
        <v>1</v>
      </c>
      <c r="AJ88" s="34">
        <v>1</v>
      </c>
      <c r="AK88" s="34">
        <v>1</v>
      </c>
      <c r="AL88" s="10">
        <f t="shared" si="4"/>
        <v>6</v>
      </c>
      <c r="AM88" s="11">
        <v>32000</v>
      </c>
      <c r="AN88" s="12">
        <f t="shared" si="6"/>
        <v>192000</v>
      </c>
    </row>
    <row r="89" spans="1:40">
      <c r="A89" s="53" t="s">
        <v>561</v>
      </c>
      <c r="B89" s="32">
        <v>46</v>
      </c>
      <c r="C89" s="33" t="s">
        <v>275</v>
      </c>
      <c r="D89" s="33" t="s">
        <v>275</v>
      </c>
      <c r="E89" s="33" t="s">
        <v>899</v>
      </c>
      <c r="F89" s="32" t="s">
        <v>918</v>
      </c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34">
        <v>1</v>
      </c>
      <c r="AG89" s="34">
        <v>1</v>
      </c>
      <c r="AH89" s="34">
        <v>1</v>
      </c>
      <c r="AI89" s="34">
        <v>1</v>
      </c>
      <c r="AJ89" s="34">
        <v>1</v>
      </c>
      <c r="AK89" s="34">
        <v>1</v>
      </c>
      <c r="AL89" s="10">
        <f t="shared" si="4"/>
        <v>6</v>
      </c>
      <c r="AM89" s="11">
        <v>32000</v>
      </c>
      <c r="AN89" s="12">
        <f t="shared" si="6"/>
        <v>192000</v>
      </c>
    </row>
    <row r="90" spans="1:40">
      <c r="A90" s="53" t="s">
        <v>561</v>
      </c>
      <c r="B90" s="32">
        <v>48</v>
      </c>
      <c r="C90" s="33" t="s">
        <v>592</v>
      </c>
      <c r="D90" s="33" t="s">
        <v>149</v>
      </c>
      <c r="E90" s="33" t="s">
        <v>26</v>
      </c>
      <c r="F90" s="32" t="s">
        <v>917</v>
      </c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34">
        <v>1</v>
      </c>
      <c r="AG90" s="34">
        <v>1</v>
      </c>
      <c r="AH90" s="34">
        <v>1</v>
      </c>
      <c r="AI90" s="34">
        <v>1</v>
      </c>
      <c r="AJ90" s="34">
        <v>1</v>
      </c>
      <c r="AK90" s="34">
        <v>1</v>
      </c>
      <c r="AL90" s="10">
        <f t="shared" si="4"/>
        <v>6</v>
      </c>
      <c r="AM90" s="11">
        <v>32000</v>
      </c>
      <c r="AN90" s="12">
        <f t="shared" si="6"/>
        <v>192000</v>
      </c>
    </row>
    <row r="91" spans="1:40">
      <c r="A91" s="53" t="s">
        <v>561</v>
      </c>
      <c r="B91" s="32">
        <v>48</v>
      </c>
      <c r="C91" s="33" t="s">
        <v>900</v>
      </c>
      <c r="D91" s="33" t="s">
        <v>901</v>
      </c>
      <c r="E91" s="33" t="s">
        <v>100</v>
      </c>
      <c r="F91" s="32" t="s">
        <v>916</v>
      </c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34">
        <v>1</v>
      </c>
      <c r="AG91" s="34">
        <v>1</v>
      </c>
      <c r="AH91" s="34">
        <v>1</v>
      </c>
      <c r="AI91" s="34">
        <v>1</v>
      </c>
      <c r="AJ91" s="34">
        <v>1</v>
      </c>
      <c r="AK91" s="34">
        <v>1</v>
      </c>
      <c r="AL91" s="10">
        <f t="shared" si="4"/>
        <v>6</v>
      </c>
      <c r="AM91" s="11">
        <v>32000</v>
      </c>
      <c r="AN91" s="12">
        <f t="shared" si="6"/>
        <v>192000</v>
      </c>
    </row>
    <row r="92" spans="1:40">
      <c r="A92" s="53" t="s">
        <v>561</v>
      </c>
      <c r="B92" s="32">
        <v>49</v>
      </c>
      <c r="C92" s="33" t="s">
        <v>555</v>
      </c>
      <c r="D92" s="33" t="s">
        <v>618</v>
      </c>
      <c r="E92" s="33" t="s">
        <v>43</v>
      </c>
      <c r="F92" s="32" t="s">
        <v>623</v>
      </c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34">
        <v>1</v>
      </c>
      <c r="AG92" s="34">
        <v>1</v>
      </c>
      <c r="AH92" s="34">
        <v>1</v>
      </c>
      <c r="AI92" s="34">
        <v>1</v>
      </c>
      <c r="AJ92" s="34">
        <v>1</v>
      </c>
      <c r="AK92" s="34">
        <v>1</v>
      </c>
      <c r="AL92" s="10">
        <f t="shared" ref="AL92:AL97" si="7">SUM(G92:AK92)</f>
        <v>6</v>
      </c>
      <c r="AM92" s="11">
        <v>32000</v>
      </c>
      <c r="AN92" s="12">
        <f t="shared" si="6"/>
        <v>192000</v>
      </c>
    </row>
    <row r="93" spans="1:40">
      <c r="A93" s="53" t="s">
        <v>561</v>
      </c>
      <c r="B93" s="32">
        <v>51</v>
      </c>
      <c r="C93" s="33" t="s">
        <v>901</v>
      </c>
      <c r="D93" s="33" t="s">
        <v>872</v>
      </c>
      <c r="E93" s="33" t="s">
        <v>61</v>
      </c>
      <c r="F93" s="32" t="s">
        <v>915</v>
      </c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34">
        <v>1</v>
      </c>
      <c r="AG93" s="34">
        <v>1</v>
      </c>
      <c r="AH93" s="34">
        <v>1</v>
      </c>
      <c r="AI93" s="34">
        <v>1</v>
      </c>
      <c r="AJ93" s="34">
        <v>1</v>
      </c>
      <c r="AK93" s="34">
        <v>1</v>
      </c>
      <c r="AL93" s="10">
        <f t="shared" si="7"/>
        <v>6</v>
      </c>
      <c r="AM93" s="11">
        <v>32000</v>
      </c>
      <c r="AN93" s="12">
        <f t="shared" si="6"/>
        <v>192000</v>
      </c>
    </row>
    <row r="94" spans="1:40">
      <c r="A94" s="53" t="s">
        <v>561</v>
      </c>
      <c r="B94" s="32">
        <v>51</v>
      </c>
      <c r="C94" s="33" t="s">
        <v>723</v>
      </c>
      <c r="D94" s="33" t="s">
        <v>358</v>
      </c>
      <c r="E94" s="33" t="s">
        <v>494</v>
      </c>
      <c r="F94" s="32" t="s">
        <v>914</v>
      </c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34">
        <v>1</v>
      </c>
      <c r="AG94" s="34">
        <v>1</v>
      </c>
      <c r="AH94" s="34">
        <v>1</v>
      </c>
      <c r="AI94" s="34">
        <v>1</v>
      </c>
      <c r="AJ94" s="34">
        <v>1</v>
      </c>
      <c r="AK94" s="34">
        <v>1</v>
      </c>
      <c r="AL94" s="10">
        <f t="shared" si="7"/>
        <v>6</v>
      </c>
      <c r="AM94" s="11">
        <v>32000</v>
      </c>
      <c r="AN94" s="12">
        <f t="shared" si="6"/>
        <v>192000</v>
      </c>
    </row>
    <row r="95" spans="1:40">
      <c r="A95" s="53" t="s">
        <v>561</v>
      </c>
      <c r="B95" s="32">
        <v>53</v>
      </c>
      <c r="C95" s="33" t="s">
        <v>99</v>
      </c>
      <c r="D95" s="33" t="s">
        <v>619</v>
      </c>
      <c r="E95" s="33" t="s">
        <v>361</v>
      </c>
      <c r="F95" s="32" t="s">
        <v>622</v>
      </c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34">
        <v>1</v>
      </c>
      <c r="AG95" s="34">
        <v>1</v>
      </c>
      <c r="AH95" s="34">
        <v>1</v>
      </c>
      <c r="AI95" s="34">
        <v>1</v>
      </c>
      <c r="AJ95" s="34">
        <v>1</v>
      </c>
      <c r="AK95" s="34">
        <v>1</v>
      </c>
      <c r="AL95" s="10">
        <f t="shared" si="7"/>
        <v>6</v>
      </c>
      <c r="AM95" s="11">
        <v>32000</v>
      </c>
      <c r="AN95" s="12">
        <f t="shared" si="6"/>
        <v>192000</v>
      </c>
    </row>
    <row r="96" spans="1:40">
      <c r="A96" s="53" t="s">
        <v>561</v>
      </c>
      <c r="B96" s="32">
        <v>53</v>
      </c>
      <c r="C96" s="33" t="s">
        <v>620</v>
      </c>
      <c r="D96" s="33" t="s">
        <v>70</v>
      </c>
      <c r="E96" s="33" t="s">
        <v>276</v>
      </c>
      <c r="F96" s="32" t="s">
        <v>621</v>
      </c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34">
        <v>1</v>
      </c>
      <c r="AG96" s="34">
        <v>1</v>
      </c>
      <c r="AH96" s="34">
        <v>1</v>
      </c>
      <c r="AI96" s="34">
        <v>1</v>
      </c>
      <c r="AJ96" s="34">
        <v>1</v>
      </c>
      <c r="AK96" s="34">
        <v>1</v>
      </c>
      <c r="AL96" s="10">
        <f t="shared" si="7"/>
        <v>6</v>
      </c>
      <c r="AM96" s="11">
        <v>32000</v>
      </c>
      <c r="AN96" s="12">
        <f t="shared" si="6"/>
        <v>192000</v>
      </c>
    </row>
    <row r="97" spans="1:41">
      <c r="A97" s="53" t="s">
        <v>561</v>
      </c>
      <c r="B97" s="32">
        <v>61</v>
      </c>
      <c r="C97" s="33" t="s">
        <v>346</v>
      </c>
      <c r="D97" s="33" t="s">
        <v>397</v>
      </c>
      <c r="E97" s="33" t="s">
        <v>524</v>
      </c>
      <c r="F97" s="32" t="s">
        <v>913</v>
      </c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34">
        <v>1</v>
      </c>
      <c r="AG97" s="34">
        <v>1</v>
      </c>
      <c r="AH97" s="34">
        <v>1</v>
      </c>
      <c r="AI97" s="34">
        <v>1</v>
      </c>
      <c r="AJ97" s="34">
        <v>1</v>
      </c>
      <c r="AK97" s="34">
        <v>1</v>
      </c>
      <c r="AL97" s="10">
        <f t="shared" si="7"/>
        <v>6</v>
      </c>
      <c r="AM97" s="11">
        <v>32000</v>
      </c>
      <c r="AN97" s="12">
        <f t="shared" si="6"/>
        <v>192000</v>
      </c>
    </row>
    <row r="98" spans="1:41">
      <c r="A98" s="53" t="s">
        <v>561</v>
      </c>
      <c r="B98" s="32">
        <v>61</v>
      </c>
      <c r="C98" s="33" t="s">
        <v>709</v>
      </c>
      <c r="D98" s="33" t="s">
        <v>363</v>
      </c>
      <c r="E98" s="33" t="s">
        <v>710</v>
      </c>
      <c r="F98" s="32" t="s">
        <v>920</v>
      </c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34">
        <v>1</v>
      </c>
      <c r="AG98" s="34">
        <v>1</v>
      </c>
      <c r="AH98" s="34">
        <v>1</v>
      </c>
      <c r="AI98" s="34">
        <v>1</v>
      </c>
      <c r="AJ98" s="34">
        <v>1</v>
      </c>
      <c r="AK98" s="34">
        <v>1</v>
      </c>
      <c r="AL98" s="10">
        <f t="shared" ref="AL98" si="8">SUM(G98:AK98)</f>
        <v>6</v>
      </c>
      <c r="AM98" s="11">
        <v>32000</v>
      </c>
      <c r="AN98" s="12">
        <f t="shared" ref="AN98" si="9">AM98*AL98</f>
        <v>192000</v>
      </c>
    </row>
    <row r="99" spans="1:41" ht="12.75" customHeight="1">
      <c r="A99" s="41"/>
      <c r="B99" s="41"/>
      <c r="C99" s="42"/>
      <c r="D99" s="42"/>
      <c r="E99" s="42"/>
      <c r="F99" s="41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43"/>
      <c r="AM99" s="44"/>
      <c r="AN99" s="44"/>
    </row>
    <row r="100" spans="1:41">
      <c r="A100" s="3"/>
      <c r="G100" s="16">
        <f t="shared" ref="G100:AK100" si="10">SUM(G28:G99)</f>
        <v>0</v>
      </c>
      <c r="H100" s="16">
        <f t="shared" si="10"/>
        <v>0</v>
      </c>
      <c r="I100" s="16">
        <f t="shared" si="10"/>
        <v>0</v>
      </c>
      <c r="J100" s="16">
        <f t="shared" si="10"/>
        <v>0</v>
      </c>
      <c r="K100" s="16">
        <f t="shared" si="10"/>
        <v>0</v>
      </c>
      <c r="L100" s="16">
        <f t="shared" si="10"/>
        <v>0</v>
      </c>
      <c r="M100" s="16">
        <f t="shared" si="10"/>
        <v>0</v>
      </c>
      <c r="N100" s="16">
        <f t="shared" si="10"/>
        <v>22</v>
      </c>
      <c r="O100" s="16">
        <f t="shared" si="10"/>
        <v>32</v>
      </c>
      <c r="P100" s="16">
        <f t="shared" si="10"/>
        <v>32</v>
      </c>
      <c r="Q100" s="16">
        <f t="shared" si="10"/>
        <v>32</v>
      </c>
      <c r="R100" s="16">
        <f t="shared" si="10"/>
        <v>33</v>
      </c>
      <c r="S100" s="16">
        <f t="shared" si="10"/>
        <v>42</v>
      </c>
      <c r="T100" s="16">
        <f t="shared" si="10"/>
        <v>40</v>
      </c>
      <c r="U100" s="16">
        <f t="shared" si="10"/>
        <v>40</v>
      </c>
      <c r="V100" s="16">
        <f t="shared" si="10"/>
        <v>40</v>
      </c>
      <c r="W100" s="16">
        <f t="shared" si="10"/>
        <v>40</v>
      </c>
      <c r="X100" s="16">
        <f t="shared" si="10"/>
        <v>40</v>
      </c>
      <c r="Y100" s="16">
        <f t="shared" si="10"/>
        <v>40</v>
      </c>
      <c r="Z100" s="16">
        <f t="shared" si="10"/>
        <v>40</v>
      </c>
      <c r="AA100" s="16">
        <f t="shared" si="10"/>
        <v>40</v>
      </c>
      <c r="AB100" s="16">
        <f t="shared" si="10"/>
        <v>19</v>
      </c>
      <c r="AC100" s="16">
        <f t="shared" si="10"/>
        <v>19</v>
      </c>
      <c r="AD100" s="16">
        <f t="shared" si="10"/>
        <v>19</v>
      </c>
      <c r="AE100" s="16">
        <f t="shared" si="10"/>
        <v>19</v>
      </c>
      <c r="AF100" s="16">
        <f t="shared" si="10"/>
        <v>15</v>
      </c>
      <c r="AG100" s="16">
        <f t="shared" si="10"/>
        <v>15</v>
      </c>
      <c r="AH100" s="16">
        <f t="shared" si="10"/>
        <v>15</v>
      </c>
      <c r="AI100" s="16">
        <f t="shared" si="10"/>
        <v>15</v>
      </c>
      <c r="AJ100" s="16">
        <f t="shared" si="10"/>
        <v>15</v>
      </c>
      <c r="AK100" s="16">
        <f t="shared" si="10"/>
        <v>15</v>
      </c>
      <c r="AL100" s="16">
        <f>SUM(AL10:AL99)</f>
        <v>895</v>
      </c>
      <c r="AO100" s="3" t="s">
        <v>31</v>
      </c>
    </row>
    <row r="101" spans="1:41">
      <c r="A101" s="3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41">
      <c r="A102" s="3"/>
      <c r="AM102" s="17" t="s">
        <v>32</v>
      </c>
      <c r="AN102" s="18">
        <f>SUM(AN10:AN101)</f>
        <v>28640000</v>
      </c>
    </row>
    <row r="103" spans="1:41" ht="17.25" customHeight="1" thickBot="1">
      <c r="A103" s="19"/>
      <c r="B103" s="20"/>
      <c r="C103" s="19"/>
      <c r="D103" s="19"/>
      <c r="E103" s="19"/>
    </row>
    <row r="104" spans="1:41" ht="17.25" customHeight="1" thickBot="1">
      <c r="A104" s="70" t="s">
        <v>156</v>
      </c>
      <c r="B104" s="70"/>
      <c r="C104" s="70"/>
      <c r="D104" s="70"/>
      <c r="E104" s="70"/>
      <c r="F104" s="70"/>
      <c r="G104" s="68">
        <v>45778</v>
      </c>
      <c r="H104" s="68">
        <v>45779</v>
      </c>
      <c r="I104" s="68">
        <v>45780</v>
      </c>
      <c r="J104" s="68">
        <v>45781</v>
      </c>
      <c r="K104" s="68">
        <v>45782</v>
      </c>
      <c r="L104" s="68">
        <v>45783</v>
      </c>
      <c r="M104" s="68">
        <v>45784</v>
      </c>
      <c r="N104" s="68">
        <v>45785</v>
      </c>
      <c r="O104" s="68">
        <v>45786</v>
      </c>
      <c r="P104" s="68">
        <v>45787</v>
      </c>
      <c r="Q104" s="68">
        <v>45788</v>
      </c>
      <c r="R104" s="68">
        <v>45789</v>
      </c>
      <c r="S104" s="68">
        <v>45790</v>
      </c>
      <c r="T104" s="68">
        <v>45791</v>
      </c>
      <c r="U104" s="68">
        <v>45792</v>
      </c>
      <c r="V104" s="68">
        <v>45793</v>
      </c>
      <c r="W104" s="68">
        <v>45794</v>
      </c>
      <c r="X104" s="68">
        <v>45795</v>
      </c>
      <c r="Y104" s="68">
        <v>45796</v>
      </c>
      <c r="Z104" s="68">
        <v>45797</v>
      </c>
      <c r="AA104" s="68">
        <v>45798</v>
      </c>
      <c r="AB104" s="68">
        <v>45799</v>
      </c>
      <c r="AC104" s="68">
        <v>45800</v>
      </c>
      <c r="AD104" s="68">
        <v>45801</v>
      </c>
      <c r="AE104" s="68">
        <v>45802</v>
      </c>
      <c r="AF104" s="68">
        <v>45803</v>
      </c>
      <c r="AG104" s="68">
        <v>45804</v>
      </c>
      <c r="AH104" s="68">
        <v>45805</v>
      </c>
      <c r="AI104" s="68">
        <v>45806</v>
      </c>
      <c r="AJ104" s="68">
        <v>45807</v>
      </c>
      <c r="AK104" s="68">
        <v>45808</v>
      </c>
      <c r="AL104" s="65" t="s">
        <v>157</v>
      </c>
      <c r="AM104" s="65"/>
      <c r="AN104" s="65"/>
    </row>
    <row r="105" spans="1:41" ht="12.75" customHeight="1" thickBot="1">
      <c r="A105" s="70"/>
      <c r="B105" s="70"/>
      <c r="C105" s="70"/>
      <c r="D105" s="70"/>
      <c r="E105" s="70"/>
      <c r="F105" s="70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8"/>
      <c r="AL105" s="65"/>
      <c r="AM105" s="65"/>
      <c r="AN105" s="65"/>
    </row>
    <row r="106" spans="1:41" ht="11.25" hidden="1" customHeight="1" thickBot="1">
      <c r="A106" s="70"/>
      <c r="B106" s="70"/>
      <c r="C106" s="70"/>
      <c r="D106" s="70"/>
      <c r="E106" s="70"/>
      <c r="F106" s="70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5"/>
      <c r="AM106" s="65"/>
      <c r="AN106" s="65"/>
    </row>
    <row r="107" spans="1:41" ht="17.25" customHeight="1">
      <c r="A107" s="69" t="s">
        <v>33</v>
      </c>
      <c r="B107" s="69"/>
      <c r="C107" s="69"/>
      <c r="D107" s="69"/>
      <c r="E107" s="69"/>
      <c r="F107" s="69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  <c r="AH107" s="68"/>
      <c r="AI107" s="68"/>
      <c r="AJ107" s="68"/>
      <c r="AK107" s="68"/>
      <c r="AL107" s="21" t="s">
        <v>5</v>
      </c>
      <c r="AM107" s="21" t="s">
        <v>6</v>
      </c>
      <c r="AN107" s="22" t="s">
        <v>7</v>
      </c>
    </row>
    <row r="108" spans="1:41" ht="17.25" customHeight="1">
      <c r="A108" s="23">
        <v>1</v>
      </c>
      <c r="B108" s="67" t="s">
        <v>34</v>
      </c>
      <c r="C108" s="67"/>
      <c r="D108" s="67"/>
      <c r="E108" s="67"/>
      <c r="F108" s="67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24">
        <f>SUM(G108:AK108)</f>
        <v>0</v>
      </c>
      <c r="AM108" s="15">
        <v>8500</v>
      </c>
      <c r="AN108" s="15">
        <f>AM108*AL108</f>
        <v>0</v>
      </c>
    </row>
    <row r="110" spans="1:41" ht="11.25" customHeight="1">
      <c r="AL110" s="25"/>
      <c r="AM110" s="26" t="s">
        <v>35</v>
      </c>
      <c r="AN110" s="27">
        <f>AN102</f>
        <v>28640000</v>
      </c>
      <c r="AO110" s="25"/>
    </row>
    <row r="111" spans="1:41" ht="11.25" customHeight="1">
      <c r="AL111" s="25"/>
      <c r="AM111" s="26" t="s">
        <v>34</v>
      </c>
      <c r="AN111" s="27">
        <f>AN108</f>
        <v>0</v>
      </c>
      <c r="AO111" s="25"/>
    </row>
    <row r="112" spans="1:41" ht="14.25" customHeight="1">
      <c r="AL112" s="25"/>
      <c r="AM112" s="28"/>
      <c r="AN112" s="28"/>
      <c r="AO112" s="25"/>
    </row>
    <row r="113" spans="3:43" ht="14.25" customHeight="1">
      <c r="AL113" s="25"/>
      <c r="AM113" s="25"/>
      <c r="AN113" s="25"/>
      <c r="AO113" s="25"/>
      <c r="AP113" s="2"/>
      <c r="AQ113" s="2"/>
    </row>
    <row r="114" spans="3:43" ht="14.25" customHeight="1">
      <c r="AL114" s="25"/>
      <c r="AM114" s="25"/>
      <c r="AN114" s="25"/>
      <c r="AO114" s="25"/>
      <c r="AP114" s="2"/>
      <c r="AQ114" s="2"/>
    </row>
    <row r="115" spans="3:43" ht="14.25" customHeight="1">
      <c r="AL115" s="28"/>
      <c r="AO115" s="28"/>
      <c r="AP115" s="2"/>
      <c r="AQ115" s="2"/>
    </row>
    <row r="116" spans="3:43" ht="14.25" customHeight="1">
      <c r="AL116" s="25"/>
      <c r="AO116" s="25"/>
      <c r="AP116" s="31"/>
      <c r="AQ116" s="31"/>
    </row>
    <row r="117" spans="3:43" ht="14.25" customHeight="1">
      <c r="AL117" s="25"/>
      <c r="AO117" s="25"/>
      <c r="AP117" s="31"/>
      <c r="AQ117" s="31"/>
    </row>
    <row r="118" spans="3:43" ht="14.25" customHeight="1">
      <c r="AL118" s="25"/>
      <c r="AO118" s="25"/>
    </row>
    <row r="119" spans="3:43" ht="20.25">
      <c r="AL119" s="25"/>
      <c r="AO119" s="25"/>
    </row>
    <row r="120" spans="3:43" ht="20.25">
      <c r="AL120" s="25"/>
      <c r="AO120" s="25"/>
    </row>
    <row r="122" spans="3:43">
      <c r="C122" s="66"/>
      <c r="D122" s="66"/>
    </row>
  </sheetData>
  <autoFilter ref="AL9:AN83" xr:uid="{00000000-0001-0000-0000-000000000000}"/>
  <sortState xmlns:xlrd2="http://schemas.microsoft.com/office/spreadsheetml/2017/richdata2" ref="A28:AN69">
    <sortCondition ref="B28:B69"/>
  </sortState>
  <mergeCells count="72">
    <mergeCell ref="AJ104:AJ107"/>
    <mergeCell ref="AK104:AK107"/>
    <mergeCell ref="AG6:AG9"/>
    <mergeCell ref="AH6:AH9"/>
    <mergeCell ref="AI6:AI9"/>
    <mergeCell ref="AJ6:AJ9"/>
    <mergeCell ref="AK6:AK9"/>
    <mergeCell ref="AI104:AI107"/>
    <mergeCell ref="A1:F5"/>
    <mergeCell ref="G1:AN3"/>
    <mergeCell ref="G4:AN5"/>
    <mergeCell ref="A6:F8"/>
    <mergeCell ref="AL6:AN8"/>
    <mergeCell ref="V6:V9"/>
    <mergeCell ref="W6:W9"/>
    <mergeCell ref="X6:X9"/>
    <mergeCell ref="AD6:AD9"/>
    <mergeCell ref="AE6:AE9"/>
    <mergeCell ref="AF6:AF9"/>
    <mergeCell ref="Y6:Y9"/>
    <mergeCell ref="Z6:Z9"/>
    <mergeCell ref="AA6:AA9"/>
    <mergeCell ref="AB6:AB9"/>
    <mergeCell ref="AC6:AC9"/>
    <mergeCell ref="G6:G9"/>
    <mergeCell ref="O6:O9"/>
    <mergeCell ref="P6:P9"/>
    <mergeCell ref="Q6:Q9"/>
    <mergeCell ref="R6:R9"/>
    <mergeCell ref="H6:H9"/>
    <mergeCell ref="I6:I9"/>
    <mergeCell ref="J6:J9"/>
    <mergeCell ref="K6:K9"/>
    <mergeCell ref="L6:L9"/>
    <mergeCell ref="M6:M9"/>
    <mergeCell ref="N6:N9"/>
    <mergeCell ref="S6:S9"/>
    <mergeCell ref="T6:T9"/>
    <mergeCell ref="U6:U9"/>
    <mergeCell ref="S104:S107"/>
    <mergeCell ref="M104:M107"/>
    <mergeCell ref="AL104:AN106"/>
    <mergeCell ref="A107:F107"/>
    <mergeCell ref="B108:F108"/>
    <mergeCell ref="G104:G107"/>
    <mergeCell ref="O104:O107"/>
    <mergeCell ref="P104:P107"/>
    <mergeCell ref="Q104:Q107"/>
    <mergeCell ref="R104:R107"/>
    <mergeCell ref="Y104:Y107"/>
    <mergeCell ref="Z104:Z107"/>
    <mergeCell ref="AA104:AA107"/>
    <mergeCell ref="AB104:AB107"/>
    <mergeCell ref="AC104:AC107"/>
    <mergeCell ref="AG104:AG107"/>
    <mergeCell ref="AH104:AH107"/>
    <mergeCell ref="N104:N107"/>
    <mergeCell ref="C122:D122"/>
    <mergeCell ref="AD104:AD107"/>
    <mergeCell ref="AE104:AE107"/>
    <mergeCell ref="AF104:AF107"/>
    <mergeCell ref="T104:T107"/>
    <mergeCell ref="U104:U107"/>
    <mergeCell ref="A104:F106"/>
    <mergeCell ref="V104:V107"/>
    <mergeCell ref="W104:W107"/>
    <mergeCell ref="X104:X107"/>
    <mergeCell ref="H104:H107"/>
    <mergeCell ref="I104:I107"/>
    <mergeCell ref="J104:J107"/>
    <mergeCell ref="K104:K107"/>
    <mergeCell ref="L104:L107"/>
  </mergeCells>
  <conditionalFormatting sqref="B29">
    <cfRule type="containsText" dxfId="2" priority="5" operator="containsText" text="1 DESCANSO">
      <formula>NOT(ISERROR(SEARCH("1 DESCANSO",B29)))</formula>
    </cfRule>
    <cfRule type="containsText" dxfId="1" priority="6" operator="containsText" text="1 LICENCIA">
      <formula>NOT(ISERROR(SEARCH("1 LICENCIA",B29)))</formula>
    </cfRule>
    <cfRule type="containsText" dxfId="0" priority="7" operator="containsText" text="1 PERMISO">
      <formula>NOT(ISERROR(SEARCH("1 PERMISO",B29)))</formula>
    </cfRule>
  </conditionalFormatting>
  <pageMargins left="0.25" right="0.25" top="0.75" bottom="0.75" header="0.511811023622047" footer="0.511811023622047"/>
  <pageSetup scale="70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27"/>
  <sheetViews>
    <sheetView zoomScale="98" zoomScaleNormal="98" workbookViewId="0">
      <pane xSplit="6" ySplit="9" topLeftCell="G88" activePane="bottomRight" state="frozen"/>
      <selection pane="topRight" activeCell="I1" sqref="I1"/>
      <selection pane="bottomLeft" activeCell="A46" sqref="A46"/>
      <selection pane="bottomRight" activeCell="AM98" sqref="AM98"/>
    </sheetView>
  </sheetViews>
  <sheetFormatPr baseColWidth="10" defaultColWidth="11.42578125" defaultRowHeight="12.75"/>
  <cols>
    <col min="1" max="1" width="6.28515625" style="1" customWidth="1"/>
    <col min="2" max="2" width="5.140625" style="1" bestFit="1" customWidth="1"/>
    <col min="3" max="3" width="10.7109375" style="3" customWidth="1"/>
    <col min="4" max="4" width="12.42578125" style="3" customWidth="1"/>
    <col min="5" max="5" width="13.5703125" style="3" customWidth="1"/>
    <col min="6" max="6" width="10.5703125" style="1" customWidth="1"/>
    <col min="7" max="19" width="3.7109375" style="3" customWidth="1"/>
    <col min="20" max="20" width="3.140625" style="3" bestFit="1" customWidth="1"/>
    <col min="21" max="37" width="3.7109375" style="3" customWidth="1"/>
    <col min="38" max="38" width="5.5703125" style="3" customWidth="1"/>
    <col min="39" max="39" width="18.28515625" style="3" customWidth="1"/>
    <col min="40" max="40" width="15.5703125" style="3" customWidth="1"/>
    <col min="41" max="41" width="12.42578125" style="3" customWidth="1"/>
    <col min="42" max="44" width="3" style="3" customWidth="1"/>
    <col min="45" max="16384" width="11.42578125" style="3"/>
  </cols>
  <sheetData>
    <row r="1" spans="1:40" ht="12.75" customHeight="1" thickBot="1">
      <c r="A1" s="72"/>
      <c r="B1" s="72"/>
      <c r="C1" s="72"/>
      <c r="D1" s="72"/>
      <c r="E1" s="72"/>
      <c r="F1" s="72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</row>
    <row r="2" spans="1:40" ht="12.75" customHeight="1" thickBot="1">
      <c r="A2" s="72"/>
      <c r="B2" s="72"/>
      <c r="C2" s="72"/>
      <c r="D2" s="72"/>
      <c r="E2" s="72"/>
      <c r="F2" s="72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</row>
    <row r="3" spans="1:40" ht="20.25" customHeight="1" thickBot="1">
      <c r="A3" s="72"/>
      <c r="B3" s="72"/>
      <c r="C3" s="72"/>
      <c r="D3" s="72"/>
      <c r="E3" s="72"/>
      <c r="F3" s="72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</row>
    <row r="4" spans="1:40" ht="12.75" customHeight="1" thickBot="1">
      <c r="A4" s="72"/>
      <c r="B4" s="72"/>
      <c r="C4" s="72"/>
      <c r="D4" s="72"/>
      <c r="E4" s="72"/>
      <c r="F4" s="72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</row>
    <row r="5" spans="1:40" ht="7.5" customHeight="1" thickBot="1">
      <c r="A5" s="72"/>
      <c r="B5" s="72"/>
      <c r="C5" s="72"/>
      <c r="D5" s="72"/>
      <c r="E5" s="72"/>
      <c r="F5" s="72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</row>
    <row r="6" spans="1:40" ht="12.75" customHeight="1" thickBot="1">
      <c r="A6" s="70" t="s">
        <v>156</v>
      </c>
      <c r="B6" s="70"/>
      <c r="C6" s="70"/>
      <c r="D6" s="70"/>
      <c r="E6" s="70"/>
      <c r="F6" s="70"/>
      <c r="G6" s="68">
        <v>45778</v>
      </c>
      <c r="H6" s="68">
        <v>45779</v>
      </c>
      <c r="I6" s="68">
        <v>45780</v>
      </c>
      <c r="J6" s="68">
        <v>45781</v>
      </c>
      <c r="K6" s="68">
        <v>45782</v>
      </c>
      <c r="L6" s="68">
        <v>45783</v>
      </c>
      <c r="M6" s="68">
        <v>45784</v>
      </c>
      <c r="N6" s="68">
        <v>45785</v>
      </c>
      <c r="O6" s="68">
        <v>45786</v>
      </c>
      <c r="P6" s="68">
        <v>45787</v>
      </c>
      <c r="Q6" s="68">
        <v>45788</v>
      </c>
      <c r="R6" s="68">
        <v>45789</v>
      </c>
      <c r="S6" s="68">
        <v>45790</v>
      </c>
      <c r="T6" s="68">
        <v>45791</v>
      </c>
      <c r="U6" s="68">
        <v>45792</v>
      </c>
      <c r="V6" s="68">
        <v>45793</v>
      </c>
      <c r="W6" s="68">
        <v>45794</v>
      </c>
      <c r="X6" s="68">
        <v>45795</v>
      </c>
      <c r="Y6" s="68">
        <v>45796</v>
      </c>
      <c r="Z6" s="68">
        <v>45797</v>
      </c>
      <c r="AA6" s="68">
        <v>45798</v>
      </c>
      <c r="AB6" s="68">
        <v>45799</v>
      </c>
      <c r="AC6" s="68">
        <v>45800</v>
      </c>
      <c r="AD6" s="68">
        <v>45801</v>
      </c>
      <c r="AE6" s="68">
        <v>45802</v>
      </c>
      <c r="AF6" s="68">
        <v>45803</v>
      </c>
      <c r="AG6" s="68">
        <v>45804</v>
      </c>
      <c r="AH6" s="68">
        <v>45805</v>
      </c>
      <c r="AI6" s="68">
        <v>45806</v>
      </c>
      <c r="AJ6" s="68">
        <v>45807</v>
      </c>
      <c r="AK6" s="68">
        <v>45808</v>
      </c>
      <c r="AL6" s="65" t="s">
        <v>157</v>
      </c>
      <c r="AM6" s="65"/>
      <c r="AN6" s="65"/>
    </row>
    <row r="7" spans="1:40" ht="15" customHeight="1" thickBot="1">
      <c r="A7" s="70"/>
      <c r="B7" s="70"/>
      <c r="C7" s="70"/>
      <c r="D7" s="70"/>
      <c r="E7" s="70"/>
      <c r="F7" s="70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5"/>
      <c r="AM7" s="65"/>
      <c r="AN7" s="65"/>
    </row>
    <row r="8" spans="1:40" ht="15.75" customHeight="1" thickBot="1">
      <c r="A8" s="70"/>
      <c r="B8" s="70"/>
      <c r="C8" s="70"/>
      <c r="D8" s="70"/>
      <c r="E8" s="70"/>
      <c r="F8" s="70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5"/>
      <c r="AM8" s="65"/>
      <c r="AN8" s="65"/>
    </row>
    <row r="9" spans="1:40" ht="15" customHeight="1">
      <c r="A9" s="4"/>
      <c r="B9" s="4" t="s">
        <v>0</v>
      </c>
      <c r="C9" s="5" t="s">
        <v>1</v>
      </c>
      <c r="D9" s="5" t="s">
        <v>2</v>
      </c>
      <c r="E9" s="5" t="s">
        <v>3</v>
      </c>
      <c r="F9" s="6" t="s">
        <v>4</v>
      </c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7" t="s">
        <v>5</v>
      </c>
      <c r="AM9" s="8" t="s">
        <v>6</v>
      </c>
      <c r="AN9" s="9" t="s">
        <v>7</v>
      </c>
    </row>
    <row r="10" spans="1:40">
      <c r="A10" s="46" t="s">
        <v>39</v>
      </c>
      <c r="B10" s="32">
        <v>205</v>
      </c>
      <c r="C10" s="33" t="s">
        <v>71</v>
      </c>
      <c r="D10" s="33"/>
      <c r="E10" s="33" t="s">
        <v>72</v>
      </c>
      <c r="F10" s="32" t="s">
        <v>73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3">
        <f t="shared" ref="AL10:AL41" si="0">SUM(G10:AK10)</f>
        <v>6</v>
      </c>
      <c r="AM10" s="11">
        <v>33000</v>
      </c>
      <c r="AN10" s="11">
        <f>AM10*AL10</f>
        <v>198000</v>
      </c>
    </row>
    <row r="11" spans="1:40">
      <c r="A11" s="46" t="s">
        <v>39</v>
      </c>
      <c r="B11" s="32">
        <v>205</v>
      </c>
      <c r="C11" s="33" t="s">
        <v>12</v>
      </c>
      <c r="D11" s="33"/>
      <c r="E11" s="33" t="s">
        <v>85</v>
      </c>
      <c r="F11" s="35" t="s">
        <v>89</v>
      </c>
      <c r="G11" s="37">
        <v>1</v>
      </c>
      <c r="H11" s="37">
        <v>1</v>
      </c>
      <c r="I11" s="37">
        <v>1</v>
      </c>
      <c r="J11" s="37">
        <v>1</v>
      </c>
      <c r="K11" s="37">
        <v>1</v>
      </c>
      <c r="L11" s="37">
        <v>1</v>
      </c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10">
        <f t="shared" si="0"/>
        <v>6</v>
      </c>
      <c r="AM11" s="11">
        <v>33000</v>
      </c>
      <c r="AN11" s="12">
        <f>AM11*AL11</f>
        <v>198000</v>
      </c>
    </row>
    <row r="12" spans="1:40">
      <c r="A12" s="46" t="s">
        <v>39</v>
      </c>
      <c r="B12" s="35">
        <v>302</v>
      </c>
      <c r="C12" s="36" t="s">
        <v>86</v>
      </c>
      <c r="D12" s="36"/>
      <c r="E12" s="36" t="s">
        <v>87</v>
      </c>
      <c r="F12" s="35" t="s">
        <v>88</v>
      </c>
      <c r="G12" s="37">
        <v>1</v>
      </c>
      <c r="H12" s="37">
        <v>1</v>
      </c>
      <c r="I12" s="37">
        <v>1</v>
      </c>
      <c r="J12" s="37">
        <v>1</v>
      </c>
      <c r="K12" s="37">
        <v>1</v>
      </c>
      <c r="L12" s="37">
        <v>1</v>
      </c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3">
        <f t="shared" si="0"/>
        <v>6</v>
      </c>
      <c r="AM12" s="11">
        <v>33000</v>
      </c>
      <c r="AN12" s="11">
        <f t="shared" ref="AN12:AN33" si="1">AM12*AL12</f>
        <v>198000</v>
      </c>
    </row>
    <row r="13" spans="1:40">
      <c r="A13" s="46" t="s">
        <v>39</v>
      </c>
      <c r="B13" s="35">
        <v>302</v>
      </c>
      <c r="C13" s="36" t="s">
        <v>95</v>
      </c>
      <c r="D13" s="36" t="s">
        <v>18</v>
      </c>
      <c r="E13" s="36" t="s">
        <v>96</v>
      </c>
      <c r="F13" s="35" t="s">
        <v>97</v>
      </c>
      <c r="G13" s="37">
        <v>1</v>
      </c>
      <c r="H13" s="37">
        <v>1</v>
      </c>
      <c r="I13" s="37">
        <v>1</v>
      </c>
      <c r="J13" s="37">
        <v>1</v>
      </c>
      <c r="K13" s="37">
        <v>1</v>
      </c>
      <c r="L13" s="37">
        <v>1</v>
      </c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10">
        <f t="shared" si="0"/>
        <v>6</v>
      </c>
      <c r="AM13" s="11">
        <v>33000</v>
      </c>
      <c r="AN13" s="12">
        <f t="shared" si="1"/>
        <v>198000</v>
      </c>
    </row>
    <row r="14" spans="1:40">
      <c r="A14" s="46" t="s">
        <v>39</v>
      </c>
      <c r="B14" s="49">
        <v>401</v>
      </c>
      <c r="C14" s="36" t="s">
        <v>57</v>
      </c>
      <c r="D14" s="36"/>
      <c r="E14" s="36" t="s">
        <v>9</v>
      </c>
      <c r="F14" s="35" t="s">
        <v>58</v>
      </c>
      <c r="G14" s="37">
        <v>1</v>
      </c>
      <c r="H14" s="59"/>
      <c r="I14" s="59"/>
      <c r="J14" s="59"/>
      <c r="K14" s="59"/>
      <c r="L14" s="59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61">
        <f t="shared" si="0"/>
        <v>1</v>
      </c>
      <c r="AM14" s="11">
        <v>60000</v>
      </c>
      <c r="AN14" s="11">
        <f t="shared" si="1"/>
        <v>60000</v>
      </c>
    </row>
    <row r="15" spans="1:40">
      <c r="A15" s="46" t="s">
        <v>39</v>
      </c>
      <c r="B15" s="35">
        <v>401</v>
      </c>
      <c r="C15" s="36" t="s">
        <v>70</v>
      </c>
      <c r="D15" s="36" t="s">
        <v>67</v>
      </c>
      <c r="E15" s="36" t="s">
        <v>27</v>
      </c>
      <c r="F15" s="35" t="s">
        <v>794</v>
      </c>
      <c r="G15" s="59"/>
      <c r="H15" s="37">
        <v>1</v>
      </c>
      <c r="I15" s="37">
        <v>1</v>
      </c>
      <c r="J15" s="59"/>
      <c r="K15" s="59"/>
      <c r="L15" s="59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10">
        <f t="shared" si="0"/>
        <v>2</v>
      </c>
      <c r="AM15" s="11">
        <v>33000</v>
      </c>
      <c r="AN15" s="12">
        <f t="shared" si="1"/>
        <v>66000</v>
      </c>
    </row>
    <row r="16" spans="1:40">
      <c r="A16" s="46" t="s">
        <v>39</v>
      </c>
      <c r="B16" s="35">
        <v>401</v>
      </c>
      <c r="C16" s="36" t="s">
        <v>274</v>
      </c>
      <c r="D16" s="36"/>
      <c r="E16" s="36" t="s">
        <v>15</v>
      </c>
      <c r="F16" s="35" t="s">
        <v>791</v>
      </c>
      <c r="G16" s="59"/>
      <c r="H16" s="37">
        <v>1</v>
      </c>
      <c r="I16" s="37">
        <v>1</v>
      </c>
      <c r="J16" s="59"/>
      <c r="K16" s="59"/>
      <c r="L16" s="59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3">
        <f t="shared" si="0"/>
        <v>2</v>
      </c>
      <c r="AM16" s="11">
        <v>33000</v>
      </c>
      <c r="AN16" s="11">
        <f t="shared" si="1"/>
        <v>66000</v>
      </c>
    </row>
    <row r="17" spans="1:40">
      <c r="A17" s="46" t="s">
        <v>39</v>
      </c>
      <c r="B17" s="35">
        <v>401</v>
      </c>
      <c r="C17" s="36" t="s">
        <v>57</v>
      </c>
      <c r="D17" s="36"/>
      <c r="E17" s="36" t="s">
        <v>9</v>
      </c>
      <c r="F17" s="35" t="s">
        <v>58</v>
      </c>
      <c r="G17" s="59"/>
      <c r="H17" s="59"/>
      <c r="I17" s="59"/>
      <c r="J17" s="59"/>
      <c r="K17" s="37">
        <v>1</v>
      </c>
      <c r="L17" s="37">
        <v>1</v>
      </c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10">
        <f t="shared" si="0"/>
        <v>2</v>
      </c>
      <c r="AM17" s="11">
        <v>33000</v>
      </c>
      <c r="AN17" s="12">
        <f t="shared" si="1"/>
        <v>66000</v>
      </c>
    </row>
    <row r="18" spans="1:40">
      <c r="A18" s="46" t="s">
        <v>39</v>
      </c>
      <c r="B18" s="35">
        <v>401</v>
      </c>
      <c r="C18" s="36" t="s">
        <v>59</v>
      </c>
      <c r="D18" s="36"/>
      <c r="E18" s="36" t="s">
        <v>43</v>
      </c>
      <c r="F18" s="36" t="s">
        <v>804</v>
      </c>
      <c r="G18" s="59"/>
      <c r="H18" s="59"/>
      <c r="I18" s="59"/>
      <c r="J18" s="59"/>
      <c r="K18" s="59"/>
      <c r="L18" s="37">
        <v>1</v>
      </c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3">
        <f t="shared" si="0"/>
        <v>1</v>
      </c>
      <c r="AM18" s="11">
        <v>33000</v>
      </c>
      <c r="AN18" s="11">
        <f t="shared" si="1"/>
        <v>33000</v>
      </c>
    </row>
    <row r="19" spans="1:40">
      <c r="A19" s="46" t="s">
        <v>39</v>
      </c>
      <c r="B19" s="35">
        <v>404</v>
      </c>
      <c r="C19" s="36" t="s">
        <v>274</v>
      </c>
      <c r="D19" s="36"/>
      <c r="E19" s="36" t="s">
        <v>15</v>
      </c>
      <c r="F19" s="35" t="s">
        <v>791</v>
      </c>
      <c r="G19" s="37">
        <v>1</v>
      </c>
      <c r="H19" s="59"/>
      <c r="I19" s="59"/>
      <c r="J19" s="37">
        <v>1</v>
      </c>
      <c r="K19" s="37">
        <v>1</v>
      </c>
      <c r="L19" s="37">
        <v>1</v>
      </c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10">
        <f t="shared" si="0"/>
        <v>4</v>
      </c>
      <c r="AM19" s="11">
        <v>33000</v>
      </c>
      <c r="AN19" s="12">
        <f t="shared" si="1"/>
        <v>132000</v>
      </c>
    </row>
    <row r="20" spans="1:40">
      <c r="A20" s="46" t="s">
        <v>39</v>
      </c>
      <c r="B20" s="35">
        <v>404</v>
      </c>
      <c r="C20" s="36" t="s">
        <v>17</v>
      </c>
      <c r="D20" s="36"/>
      <c r="E20" s="36" t="s">
        <v>9</v>
      </c>
      <c r="F20" s="35" t="s">
        <v>795</v>
      </c>
      <c r="G20" s="37">
        <v>1</v>
      </c>
      <c r="H20" s="37">
        <v>1</v>
      </c>
      <c r="I20" s="37">
        <v>1</v>
      </c>
      <c r="J20" s="37">
        <v>1</v>
      </c>
      <c r="K20" s="37">
        <v>1</v>
      </c>
      <c r="L20" s="37">
        <v>1</v>
      </c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43">
        <f t="shared" si="0"/>
        <v>6</v>
      </c>
      <c r="AM20" s="11">
        <v>33000</v>
      </c>
      <c r="AN20" s="11">
        <f t="shared" si="1"/>
        <v>198000</v>
      </c>
    </row>
    <row r="21" spans="1:40">
      <c r="A21" s="46" t="s">
        <v>39</v>
      </c>
      <c r="B21" s="35">
        <v>404</v>
      </c>
      <c r="C21" s="36" t="s">
        <v>28</v>
      </c>
      <c r="D21" s="36"/>
      <c r="E21" s="36" t="s">
        <v>63</v>
      </c>
      <c r="F21" s="36" t="s">
        <v>64</v>
      </c>
      <c r="G21" s="59"/>
      <c r="H21" s="37">
        <v>1</v>
      </c>
      <c r="I21" s="37">
        <v>1</v>
      </c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10">
        <f t="shared" si="0"/>
        <v>2</v>
      </c>
      <c r="AM21" s="11">
        <v>33000</v>
      </c>
      <c r="AN21" s="12">
        <f t="shared" si="1"/>
        <v>66000</v>
      </c>
    </row>
    <row r="22" spans="1:40">
      <c r="A22" s="46" t="s">
        <v>39</v>
      </c>
      <c r="B22" s="49">
        <v>406</v>
      </c>
      <c r="C22" s="36" t="s">
        <v>404</v>
      </c>
      <c r="D22" s="36" t="s">
        <v>650</v>
      </c>
      <c r="E22" s="36" t="s">
        <v>40</v>
      </c>
      <c r="F22" s="35" t="s">
        <v>796</v>
      </c>
      <c r="G22" s="59"/>
      <c r="H22" s="59"/>
      <c r="I22" s="59"/>
      <c r="J22" s="37">
        <v>1</v>
      </c>
      <c r="K22" s="37">
        <v>1</v>
      </c>
      <c r="L22" s="37">
        <v>1</v>
      </c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61">
        <f t="shared" si="0"/>
        <v>3</v>
      </c>
      <c r="AM22" s="11">
        <v>60000</v>
      </c>
      <c r="AN22" s="11">
        <f t="shared" si="1"/>
        <v>180000</v>
      </c>
    </row>
    <row r="23" spans="1:40">
      <c r="A23" s="46" t="s">
        <v>39</v>
      </c>
      <c r="B23" s="49">
        <v>507</v>
      </c>
      <c r="C23" s="36" t="s">
        <v>792</v>
      </c>
      <c r="D23" s="36"/>
      <c r="E23" s="36" t="s">
        <v>513</v>
      </c>
      <c r="F23" s="35" t="s">
        <v>516</v>
      </c>
      <c r="G23" s="37">
        <v>1</v>
      </c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1">
        <f t="shared" si="0"/>
        <v>1</v>
      </c>
      <c r="AM23" s="11">
        <v>60000</v>
      </c>
      <c r="AN23" s="12">
        <f t="shared" si="1"/>
        <v>60000</v>
      </c>
    </row>
    <row r="24" spans="1:40">
      <c r="A24" s="46" t="s">
        <v>39</v>
      </c>
      <c r="B24" s="35">
        <v>604</v>
      </c>
      <c r="C24" s="36" t="s">
        <v>792</v>
      </c>
      <c r="D24" s="36"/>
      <c r="E24" s="36" t="s">
        <v>513</v>
      </c>
      <c r="F24" s="35" t="s">
        <v>516</v>
      </c>
      <c r="G24" s="59"/>
      <c r="H24" s="37">
        <v>1</v>
      </c>
      <c r="I24" s="37">
        <v>1</v>
      </c>
      <c r="J24" s="37">
        <v>1</v>
      </c>
      <c r="K24" s="37">
        <v>1</v>
      </c>
      <c r="L24" s="37">
        <v>1</v>
      </c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43">
        <f t="shared" si="0"/>
        <v>5</v>
      </c>
      <c r="AM24" s="11">
        <v>33000</v>
      </c>
      <c r="AN24" s="11">
        <f t="shared" si="1"/>
        <v>165000</v>
      </c>
    </row>
    <row r="25" spans="1:40">
      <c r="A25" s="46" t="s">
        <v>39</v>
      </c>
      <c r="B25" s="35">
        <v>604</v>
      </c>
      <c r="C25" s="36" t="s">
        <v>77</v>
      </c>
      <c r="D25" s="36" t="s">
        <v>274</v>
      </c>
      <c r="E25" s="36" t="s">
        <v>78</v>
      </c>
      <c r="F25" s="35" t="s">
        <v>79</v>
      </c>
      <c r="G25" s="59"/>
      <c r="H25" s="37">
        <v>1</v>
      </c>
      <c r="I25" s="37">
        <v>1</v>
      </c>
      <c r="J25" s="37">
        <v>1</v>
      </c>
      <c r="K25" s="37">
        <v>1</v>
      </c>
      <c r="L25" s="37">
        <v>1</v>
      </c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10">
        <f t="shared" si="0"/>
        <v>5</v>
      </c>
      <c r="AM25" s="11">
        <v>33000</v>
      </c>
      <c r="AN25" s="12">
        <f t="shared" si="1"/>
        <v>165000</v>
      </c>
    </row>
    <row r="26" spans="1:40">
      <c r="A26" s="46" t="s">
        <v>39</v>
      </c>
      <c r="B26" s="35">
        <v>903</v>
      </c>
      <c r="C26" s="36" t="s">
        <v>8</v>
      </c>
      <c r="D26" s="36" t="s">
        <v>80</v>
      </c>
      <c r="E26" s="36" t="s">
        <v>63</v>
      </c>
      <c r="F26" s="35" t="s">
        <v>81</v>
      </c>
      <c r="G26" s="37">
        <v>1</v>
      </c>
      <c r="H26" s="37">
        <v>1</v>
      </c>
      <c r="I26" s="37">
        <v>1</v>
      </c>
      <c r="J26" s="37">
        <v>1</v>
      </c>
      <c r="K26" s="37">
        <v>1</v>
      </c>
      <c r="L26" s="37">
        <v>1</v>
      </c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43">
        <f t="shared" si="0"/>
        <v>6</v>
      </c>
      <c r="AM26" s="11">
        <v>33000</v>
      </c>
      <c r="AN26" s="11">
        <f t="shared" si="1"/>
        <v>198000</v>
      </c>
    </row>
    <row r="27" spans="1:40">
      <c r="A27" s="46" t="s">
        <v>39</v>
      </c>
      <c r="B27" s="35">
        <v>903</v>
      </c>
      <c r="C27" s="36" t="s">
        <v>82</v>
      </c>
      <c r="D27" s="36"/>
      <c r="E27" s="36" t="s">
        <v>83</v>
      </c>
      <c r="F27" s="35" t="s">
        <v>84</v>
      </c>
      <c r="G27" s="37">
        <v>1</v>
      </c>
      <c r="H27" s="37">
        <v>1</v>
      </c>
      <c r="I27" s="37">
        <v>1</v>
      </c>
      <c r="J27" s="37">
        <v>1</v>
      </c>
      <c r="K27" s="37">
        <v>1</v>
      </c>
      <c r="L27" s="37">
        <v>1</v>
      </c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10">
        <f t="shared" si="0"/>
        <v>6</v>
      </c>
      <c r="AM27" s="11">
        <v>33000</v>
      </c>
      <c r="AN27" s="12">
        <f t="shared" si="1"/>
        <v>198000</v>
      </c>
    </row>
    <row r="28" spans="1:40">
      <c r="A28" s="46" t="s">
        <v>39</v>
      </c>
      <c r="B28" s="35">
        <v>1101</v>
      </c>
      <c r="C28" s="36" t="s">
        <v>28</v>
      </c>
      <c r="D28" s="36"/>
      <c r="E28" s="36" t="s">
        <v>65</v>
      </c>
      <c r="F28" s="35" t="s">
        <v>66</v>
      </c>
      <c r="G28" s="37">
        <v>1</v>
      </c>
      <c r="H28" s="37">
        <v>1</v>
      </c>
      <c r="I28" s="37">
        <v>1</v>
      </c>
      <c r="J28" s="37">
        <v>1</v>
      </c>
      <c r="K28" s="37">
        <v>1</v>
      </c>
      <c r="L28" s="37">
        <v>1</v>
      </c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43">
        <f t="shared" si="0"/>
        <v>6</v>
      </c>
      <c r="AM28" s="11">
        <v>33000</v>
      </c>
      <c r="AN28" s="11">
        <f t="shared" si="1"/>
        <v>198000</v>
      </c>
    </row>
    <row r="29" spans="1:40">
      <c r="A29" s="58" t="s">
        <v>39</v>
      </c>
      <c r="B29" s="35">
        <v>1101</v>
      </c>
      <c r="C29" s="36" t="s">
        <v>90</v>
      </c>
      <c r="D29" s="36"/>
      <c r="E29" s="36" t="s">
        <v>43</v>
      </c>
      <c r="F29" s="35" t="s">
        <v>94</v>
      </c>
      <c r="G29" s="37">
        <v>1</v>
      </c>
      <c r="H29" s="37">
        <v>1</v>
      </c>
      <c r="I29" s="37">
        <v>1</v>
      </c>
      <c r="J29" s="37">
        <v>1</v>
      </c>
      <c r="K29" s="37">
        <v>1</v>
      </c>
      <c r="L29" s="37">
        <v>1</v>
      </c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10">
        <f t="shared" si="0"/>
        <v>6</v>
      </c>
      <c r="AM29" s="11">
        <v>33000</v>
      </c>
      <c r="AN29" s="12">
        <f t="shared" si="1"/>
        <v>198000</v>
      </c>
    </row>
    <row r="30" spans="1:40">
      <c r="A30" s="58" t="s">
        <v>39</v>
      </c>
      <c r="B30" s="35">
        <v>1402</v>
      </c>
      <c r="C30" s="36" t="s">
        <v>91</v>
      </c>
      <c r="D30" s="36"/>
      <c r="E30" s="36" t="s">
        <v>92</v>
      </c>
      <c r="F30" s="35" t="s">
        <v>93</v>
      </c>
      <c r="G30" s="37">
        <v>1</v>
      </c>
      <c r="H30" s="37">
        <v>1</v>
      </c>
      <c r="I30" s="37">
        <v>1</v>
      </c>
      <c r="J30" s="37">
        <v>1</v>
      </c>
      <c r="K30" s="37">
        <v>1</v>
      </c>
      <c r="L30" s="37">
        <v>1</v>
      </c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43">
        <f t="shared" si="0"/>
        <v>6</v>
      </c>
      <c r="AM30" s="11">
        <v>33000</v>
      </c>
      <c r="AN30" s="11">
        <f t="shared" si="1"/>
        <v>198000</v>
      </c>
    </row>
    <row r="31" spans="1:40">
      <c r="A31" s="58" t="s">
        <v>39</v>
      </c>
      <c r="B31" s="35">
        <v>1402</v>
      </c>
      <c r="C31" s="36" t="s">
        <v>59</v>
      </c>
      <c r="D31" s="36"/>
      <c r="E31" s="36" t="s">
        <v>43</v>
      </c>
      <c r="F31" s="36" t="s">
        <v>804</v>
      </c>
      <c r="G31" s="37">
        <v>1</v>
      </c>
      <c r="H31" s="37">
        <v>1</v>
      </c>
      <c r="I31" s="37">
        <v>1</v>
      </c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10">
        <f t="shared" si="0"/>
        <v>3</v>
      </c>
      <c r="AM31" s="11">
        <v>33000</v>
      </c>
      <c r="AN31" s="12">
        <f t="shared" si="1"/>
        <v>99000</v>
      </c>
    </row>
    <row r="32" spans="1:40">
      <c r="A32" s="58" t="s">
        <v>39</v>
      </c>
      <c r="B32" s="35">
        <v>1304</v>
      </c>
      <c r="C32" s="36" t="s">
        <v>70</v>
      </c>
      <c r="D32" s="36" t="s">
        <v>67</v>
      </c>
      <c r="E32" s="36" t="s">
        <v>27</v>
      </c>
      <c r="F32" s="35" t="s">
        <v>794</v>
      </c>
      <c r="G32" s="37">
        <v>1</v>
      </c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43">
        <f t="shared" si="0"/>
        <v>1</v>
      </c>
      <c r="AM32" s="11">
        <v>33000</v>
      </c>
      <c r="AN32" s="11">
        <f t="shared" si="1"/>
        <v>33000</v>
      </c>
    </row>
    <row r="33" spans="1:40" ht="13.5" thickBot="1">
      <c r="A33" s="48" t="s">
        <v>39</v>
      </c>
      <c r="B33" s="38">
        <v>403</v>
      </c>
      <c r="C33" s="39" t="s">
        <v>793</v>
      </c>
      <c r="D33" s="39" t="s">
        <v>274</v>
      </c>
      <c r="E33" s="39" t="s">
        <v>78</v>
      </c>
      <c r="F33" s="38" t="s">
        <v>79</v>
      </c>
      <c r="G33" s="40">
        <v>1</v>
      </c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10">
        <f t="shared" si="0"/>
        <v>1</v>
      </c>
      <c r="AM33" s="11">
        <v>33000</v>
      </c>
      <c r="AN33" s="12">
        <f t="shared" si="1"/>
        <v>33000</v>
      </c>
    </row>
    <row r="34" spans="1:40">
      <c r="A34" s="46" t="s">
        <v>39</v>
      </c>
      <c r="B34" s="32">
        <v>205</v>
      </c>
      <c r="C34" s="33" t="s">
        <v>14</v>
      </c>
      <c r="D34" s="33"/>
      <c r="E34" s="33" t="s">
        <v>798</v>
      </c>
      <c r="F34" s="32" t="s">
        <v>41</v>
      </c>
      <c r="G34" s="47"/>
      <c r="H34" s="47"/>
      <c r="I34" s="47"/>
      <c r="J34" s="47"/>
      <c r="K34" s="47"/>
      <c r="L34" s="47"/>
      <c r="M34" s="34">
        <v>1</v>
      </c>
      <c r="N34" s="34">
        <v>1</v>
      </c>
      <c r="O34" s="34">
        <v>1</v>
      </c>
      <c r="P34" s="34">
        <v>1</v>
      </c>
      <c r="Q34" s="34">
        <v>1</v>
      </c>
      <c r="R34" s="34">
        <v>1</v>
      </c>
      <c r="S34" s="34">
        <v>1</v>
      </c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3">
        <f t="shared" si="0"/>
        <v>7</v>
      </c>
      <c r="AM34" s="11">
        <v>33000</v>
      </c>
      <c r="AN34" s="11">
        <f>AM34*AL34</f>
        <v>231000</v>
      </c>
    </row>
    <row r="35" spans="1:40">
      <c r="A35" s="58" t="s">
        <v>39</v>
      </c>
      <c r="B35" s="35">
        <v>205</v>
      </c>
      <c r="C35" s="36" t="s">
        <v>74</v>
      </c>
      <c r="D35" s="36"/>
      <c r="E35" s="36" t="s">
        <v>75</v>
      </c>
      <c r="F35" s="35" t="s">
        <v>76</v>
      </c>
      <c r="G35" s="47"/>
      <c r="H35" s="47"/>
      <c r="I35" s="47"/>
      <c r="J35" s="47"/>
      <c r="K35" s="47"/>
      <c r="L35" s="47"/>
      <c r="M35" s="34">
        <v>1</v>
      </c>
      <c r="N35" s="34">
        <v>1</v>
      </c>
      <c r="O35" s="34">
        <v>1</v>
      </c>
      <c r="P35" s="34">
        <v>1</v>
      </c>
      <c r="Q35" s="34">
        <v>1</v>
      </c>
      <c r="R35" s="34">
        <v>1</v>
      </c>
      <c r="S35" s="34">
        <v>1</v>
      </c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10">
        <f t="shared" si="0"/>
        <v>7</v>
      </c>
      <c r="AM35" s="12">
        <v>33000</v>
      </c>
      <c r="AN35" s="12">
        <f t="shared" ref="AN35:AN52" si="2">AM35*AL35</f>
        <v>231000</v>
      </c>
    </row>
    <row r="36" spans="1:40">
      <c r="A36" s="58" t="s">
        <v>39</v>
      </c>
      <c r="B36" s="35">
        <v>302</v>
      </c>
      <c r="C36" s="36" t="s">
        <v>799</v>
      </c>
      <c r="D36" s="36"/>
      <c r="E36" s="36" t="s">
        <v>65</v>
      </c>
      <c r="F36" s="35" t="s">
        <v>432</v>
      </c>
      <c r="G36" s="47"/>
      <c r="H36" s="47"/>
      <c r="I36" s="47"/>
      <c r="J36" s="47"/>
      <c r="K36" s="47"/>
      <c r="L36" s="47"/>
      <c r="M36" s="34">
        <v>1</v>
      </c>
      <c r="N36" s="34">
        <v>1</v>
      </c>
      <c r="O36" s="34">
        <v>1</v>
      </c>
      <c r="P36" s="34">
        <v>1</v>
      </c>
      <c r="Q36" s="34">
        <v>1</v>
      </c>
      <c r="R36" s="34">
        <v>1</v>
      </c>
      <c r="S36" s="34">
        <v>1</v>
      </c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10">
        <f t="shared" si="0"/>
        <v>7</v>
      </c>
      <c r="AM36" s="12">
        <v>33000</v>
      </c>
      <c r="AN36" s="12">
        <f t="shared" si="2"/>
        <v>231000</v>
      </c>
    </row>
    <row r="37" spans="1:40">
      <c r="A37" s="58" t="s">
        <v>39</v>
      </c>
      <c r="B37" s="35">
        <v>302</v>
      </c>
      <c r="C37" s="36" t="s">
        <v>438</v>
      </c>
      <c r="D37" s="36"/>
      <c r="E37" s="36" t="s">
        <v>437</v>
      </c>
      <c r="F37" s="35" t="s">
        <v>434</v>
      </c>
      <c r="G37" s="47"/>
      <c r="H37" s="47"/>
      <c r="I37" s="47"/>
      <c r="J37" s="47"/>
      <c r="K37" s="47"/>
      <c r="L37" s="47"/>
      <c r="M37" s="34">
        <v>1</v>
      </c>
      <c r="N37" s="34">
        <v>1</v>
      </c>
      <c r="O37" s="34">
        <v>1</v>
      </c>
      <c r="P37" s="34">
        <v>1</v>
      </c>
      <c r="Q37" s="34">
        <v>1</v>
      </c>
      <c r="R37" s="34">
        <v>1</v>
      </c>
      <c r="S37" s="34">
        <v>1</v>
      </c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10">
        <f t="shared" si="0"/>
        <v>7</v>
      </c>
      <c r="AM37" s="12">
        <v>33000</v>
      </c>
      <c r="AN37" s="12">
        <f t="shared" si="2"/>
        <v>231000</v>
      </c>
    </row>
    <row r="38" spans="1:40">
      <c r="A38" s="58" t="s">
        <v>39</v>
      </c>
      <c r="B38" s="35">
        <v>401</v>
      </c>
      <c r="C38" s="36" t="s">
        <v>57</v>
      </c>
      <c r="D38" s="36"/>
      <c r="E38" s="36" t="s">
        <v>9</v>
      </c>
      <c r="F38" s="35" t="s">
        <v>58</v>
      </c>
      <c r="G38" s="47"/>
      <c r="H38" s="47"/>
      <c r="I38" s="47"/>
      <c r="J38" s="47"/>
      <c r="K38" s="47"/>
      <c r="L38" s="47"/>
      <c r="M38" s="34">
        <v>1</v>
      </c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10">
        <f t="shared" si="0"/>
        <v>1</v>
      </c>
      <c r="AM38" s="12">
        <v>33000</v>
      </c>
      <c r="AN38" s="12">
        <f t="shared" si="2"/>
        <v>33000</v>
      </c>
    </row>
    <row r="39" spans="1:40">
      <c r="A39" s="58" t="s">
        <v>39</v>
      </c>
      <c r="B39" s="35">
        <v>401</v>
      </c>
      <c r="C39" s="36" t="s">
        <v>59</v>
      </c>
      <c r="D39" s="36"/>
      <c r="E39" s="36" t="s">
        <v>43</v>
      </c>
      <c r="F39" s="36" t="s">
        <v>804</v>
      </c>
      <c r="G39" s="47"/>
      <c r="H39" s="47"/>
      <c r="I39" s="47"/>
      <c r="J39" s="47"/>
      <c r="K39" s="47"/>
      <c r="L39" s="47"/>
      <c r="M39" s="34">
        <v>1</v>
      </c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10">
        <f t="shared" si="0"/>
        <v>1</v>
      </c>
      <c r="AM39" s="12">
        <v>33000</v>
      </c>
      <c r="AN39" s="12">
        <f t="shared" si="2"/>
        <v>33000</v>
      </c>
    </row>
    <row r="40" spans="1:40">
      <c r="A40" s="58" t="s">
        <v>39</v>
      </c>
      <c r="B40" s="35">
        <v>404</v>
      </c>
      <c r="C40" s="36" t="s">
        <v>274</v>
      </c>
      <c r="D40" s="36"/>
      <c r="E40" s="36" t="s">
        <v>15</v>
      </c>
      <c r="F40" s="35" t="s">
        <v>791</v>
      </c>
      <c r="G40" s="47"/>
      <c r="H40" s="47"/>
      <c r="I40" s="47"/>
      <c r="J40" s="47"/>
      <c r="K40" s="47"/>
      <c r="L40" s="47"/>
      <c r="M40" s="34">
        <v>1</v>
      </c>
      <c r="N40" s="34">
        <v>1</v>
      </c>
      <c r="O40" s="34">
        <v>1</v>
      </c>
      <c r="P40" s="34">
        <v>1</v>
      </c>
      <c r="Q40" s="34">
        <v>1</v>
      </c>
      <c r="R40" s="34">
        <v>1</v>
      </c>
      <c r="S40" s="34">
        <v>1</v>
      </c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10">
        <f t="shared" si="0"/>
        <v>7</v>
      </c>
      <c r="AM40" s="12">
        <v>33000</v>
      </c>
      <c r="AN40" s="12">
        <f t="shared" si="2"/>
        <v>231000</v>
      </c>
    </row>
    <row r="41" spans="1:40">
      <c r="A41" s="58" t="s">
        <v>39</v>
      </c>
      <c r="B41" s="35">
        <v>404</v>
      </c>
      <c r="C41" s="36" t="s">
        <v>51</v>
      </c>
      <c r="D41" s="36" t="s">
        <v>52</v>
      </c>
      <c r="E41" s="36" t="s">
        <v>53</v>
      </c>
      <c r="F41" s="35" t="s">
        <v>54</v>
      </c>
      <c r="G41" s="47"/>
      <c r="H41" s="47"/>
      <c r="I41" s="47"/>
      <c r="J41" s="47"/>
      <c r="K41" s="47"/>
      <c r="L41" s="47"/>
      <c r="M41" s="34">
        <v>1</v>
      </c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10">
        <f t="shared" si="0"/>
        <v>1</v>
      </c>
      <c r="AM41" s="12">
        <v>33000</v>
      </c>
      <c r="AN41" s="12">
        <f t="shared" si="2"/>
        <v>33000</v>
      </c>
    </row>
    <row r="42" spans="1:40">
      <c r="A42" s="58" t="s">
        <v>39</v>
      </c>
      <c r="B42" s="35">
        <v>404</v>
      </c>
      <c r="C42" s="36" t="s">
        <v>803</v>
      </c>
      <c r="D42" s="36"/>
      <c r="E42" s="36" t="s">
        <v>63</v>
      </c>
      <c r="F42" s="36" t="s">
        <v>64</v>
      </c>
      <c r="G42" s="47"/>
      <c r="H42" s="47"/>
      <c r="I42" s="47"/>
      <c r="J42" s="47"/>
      <c r="K42" s="47"/>
      <c r="L42" s="47"/>
      <c r="M42" s="47"/>
      <c r="N42" s="34">
        <v>1</v>
      </c>
      <c r="O42" s="34">
        <v>1</v>
      </c>
      <c r="P42" s="34">
        <v>1</v>
      </c>
      <c r="Q42" s="34">
        <v>1</v>
      </c>
      <c r="R42" s="34">
        <v>1</v>
      </c>
      <c r="S42" s="34">
        <v>1</v>
      </c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10">
        <f t="shared" ref="AL42:AL73" si="3">SUM(G42:AK42)</f>
        <v>6</v>
      </c>
      <c r="AM42" s="12">
        <v>33000</v>
      </c>
      <c r="AN42" s="12">
        <f t="shared" si="2"/>
        <v>198000</v>
      </c>
    </row>
    <row r="43" spans="1:40">
      <c r="A43" s="58" t="s">
        <v>39</v>
      </c>
      <c r="B43" s="49">
        <v>406</v>
      </c>
      <c r="C43" s="36" t="s">
        <v>404</v>
      </c>
      <c r="D43" s="36" t="s">
        <v>650</v>
      </c>
      <c r="E43" s="36" t="s">
        <v>40</v>
      </c>
      <c r="F43" s="35" t="s">
        <v>796</v>
      </c>
      <c r="G43" s="47"/>
      <c r="H43" s="47"/>
      <c r="I43" s="47"/>
      <c r="J43" s="47"/>
      <c r="K43" s="47"/>
      <c r="L43" s="47"/>
      <c r="M43" s="34">
        <v>1</v>
      </c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51">
        <f t="shared" si="3"/>
        <v>1</v>
      </c>
      <c r="AM43" s="12">
        <v>60000</v>
      </c>
      <c r="AN43" s="12">
        <f t="shared" si="2"/>
        <v>60000</v>
      </c>
    </row>
    <row r="44" spans="1:40">
      <c r="A44" s="58" t="s">
        <v>39</v>
      </c>
      <c r="B44" s="35">
        <v>604</v>
      </c>
      <c r="C44" s="36" t="s">
        <v>77</v>
      </c>
      <c r="D44" s="36"/>
      <c r="E44" s="36" t="s">
        <v>78</v>
      </c>
      <c r="F44" s="35" t="s">
        <v>800</v>
      </c>
      <c r="G44" s="47"/>
      <c r="H44" s="47"/>
      <c r="I44" s="47"/>
      <c r="J44" s="47"/>
      <c r="K44" s="47"/>
      <c r="L44" s="47"/>
      <c r="M44" s="34">
        <v>1</v>
      </c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10">
        <f t="shared" si="3"/>
        <v>1</v>
      </c>
      <c r="AM44" s="12">
        <v>33000</v>
      </c>
      <c r="AN44" s="12">
        <f t="shared" si="2"/>
        <v>33000</v>
      </c>
    </row>
    <row r="45" spans="1:40">
      <c r="A45" s="58" t="s">
        <v>39</v>
      </c>
      <c r="B45" s="35">
        <v>604</v>
      </c>
      <c r="C45" s="36" t="s">
        <v>51</v>
      </c>
      <c r="D45" s="36" t="s">
        <v>52</v>
      </c>
      <c r="E45" s="36" t="s">
        <v>53</v>
      </c>
      <c r="F45" s="36" t="s">
        <v>54</v>
      </c>
      <c r="G45" s="47"/>
      <c r="H45" s="47"/>
      <c r="I45" s="47"/>
      <c r="J45" s="47"/>
      <c r="K45" s="47"/>
      <c r="L45" s="47"/>
      <c r="M45" s="47"/>
      <c r="N45" s="34">
        <v>1</v>
      </c>
      <c r="O45" s="34">
        <v>1</v>
      </c>
      <c r="P45" s="34">
        <v>1</v>
      </c>
      <c r="Q45" s="34">
        <v>1</v>
      </c>
      <c r="R45" s="34">
        <v>1</v>
      </c>
      <c r="S45" s="34">
        <v>1</v>
      </c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10">
        <f t="shared" si="3"/>
        <v>6</v>
      </c>
      <c r="AM45" s="12">
        <v>33000</v>
      </c>
      <c r="AN45" s="12">
        <f t="shared" si="2"/>
        <v>198000</v>
      </c>
    </row>
    <row r="46" spans="1:40">
      <c r="A46" s="58" t="s">
        <v>39</v>
      </c>
      <c r="B46" s="35">
        <v>604</v>
      </c>
      <c r="C46" s="36" t="s">
        <v>59</v>
      </c>
      <c r="D46" s="36"/>
      <c r="E46" s="36" t="s">
        <v>43</v>
      </c>
      <c r="F46" s="36" t="s">
        <v>804</v>
      </c>
      <c r="G46" s="47"/>
      <c r="H46" s="47"/>
      <c r="I46" s="47"/>
      <c r="J46" s="47"/>
      <c r="K46" s="47"/>
      <c r="L46" s="47"/>
      <c r="M46" s="47"/>
      <c r="N46" s="34">
        <v>1</v>
      </c>
      <c r="O46" s="34">
        <v>1</v>
      </c>
      <c r="P46" s="34">
        <v>1</v>
      </c>
      <c r="Q46" s="34">
        <v>1</v>
      </c>
      <c r="R46" s="34">
        <v>1</v>
      </c>
      <c r="S46" s="34">
        <v>1</v>
      </c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10">
        <f t="shared" si="3"/>
        <v>6</v>
      </c>
      <c r="AM46" s="12">
        <v>33000</v>
      </c>
      <c r="AN46" s="12">
        <f t="shared" si="2"/>
        <v>198000</v>
      </c>
    </row>
    <row r="47" spans="1:40">
      <c r="A47" s="58" t="s">
        <v>39</v>
      </c>
      <c r="B47" s="35">
        <v>903</v>
      </c>
      <c r="C47" s="36" t="s">
        <v>67</v>
      </c>
      <c r="D47" s="36"/>
      <c r="E47" s="36" t="s">
        <v>68</v>
      </c>
      <c r="F47" s="35" t="s">
        <v>69</v>
      </c>
      <c r="G47" s="47"/>
      <c r="H47" s="47"/>
      <c r="I47" s="47"/>
      <c r="J47" s="47"/>
      <c r="K47" s="47"/>
      <c r="L47" s="47"/>
      <c r="M47" s="34">
        <v>1</v>
      </c>
      <c r="N47" s="34">
        <v>1</v>
      </c>
      <c r="O47" s="34">
        <v>1</v>
      </c>
      <c r="P47" s="34">
        <v>1</v>
      </c>
      <c r="Q47" s="34">
        <v>1</v>
      </c>
      <c r="R47" s="34">
        <v>1</v>
      </c>
      <c r="S47" s="34">
        <v>1</v>
      </c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10">
        <f t="shared" si="3"/>
        <v>7</v>
      </c>
      <c r="AM47" s="12">
        <v>33000</v>
      </c>
      <c r="AN47" s="12">
        <f t="shared" si="2"/>
        <v>231000</v>
      </c>
    </row>
    <row r="48" spans="1:40">
      <c r="A48" s="58" t="s">
        <v>39</v>
      </c>
      <c r="B48" s="35">
        <v>903</v>
      </c>
      <c r="C48" s="36" t="s">
        <v>60</v>
      </c>
      <c r="D48" s="36"/>
      <c r="E48" s="36" t="s">
        <v>61</v>
      </c>
      <c r="F48" s="35" t="s">
        <v>62</v>
      </c>
      <c r="G48" s="47"/>
      <c r="H48" s="47"/>
      <c r="I48" s="47"/>
      <c r="J48" s="47"/>
      <c r="K48" s="47"/>
      <c r="L48" s="47"/>
      <c r="M48" s="34">
        <v>1</v>
      </c>
      <c r="N48" s="34">
        <v>1</v>
      </c>
      <c r="O48" s="34">
        <v>1</v>
      </c>
      <c r="P48" s="34">
        <v>1</v>
      </c>
      <c r="Q48" s="34">
        <v>1</v>
      </c>
      <c r="R48" s="34">
        <v>1</v>
      </c>
      <c r="S48" s="34">
        <v>1</v>
      </c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10">
        <f t="shared" si="3"/>
        <v>7</v>
      </c>
      <c r="AM48" s="12">
        <v>33000</v>
      </c>
      <c r="AN48" s="12">
        <f t="shared" si="2"/>
        <v>231000</v>
      </c>
    </row>
    <row r="49" spans="1:40">
      <c r="A49" s="58" t="s">
        <v>39</v>
      </c>
      <c r="B49" s="35">
        <v>1101</v>
      </c>
      <c r="C49" s="36" t="s">
        <v>48</v>
      </c>
      <c r="D49" s="36" t="s">
        <v>801</v>
      </c>
      <c r="E49" s="36" t="s">
        <v>49</v>
      </c>
      <c r="F49" s="35" t="s">
        <v>50</v>
      </c>
      <c r="G49" s="47"/>
      <c r="H49" s="47"/>
      <c r="I49" s="47"/>
      <c r="J49" s="47"/>
      <c r="K49" s="47"/>
      <c r="L49" s="47"/>
      <c r="M49" s="34">
        <v>1</v>
      </c>
      <c r="N49" s="34">
        <v>1</v>
      </c>
      <c r="O49" s="34">
        <v>1</v>
      </c>
      <c r="P49" s="34">
        <v>1</v>
      </c>
      <c r="Q49" s="34">
        <v>1</v>
      </c>
      <c r="R49" s="34">
        <v>1</v>
      </c>
      <c r="S49" s="34">
        <v>1</v>
      </c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10">
        <f t="shared" si="3"/>
        <v>7</v>
      </c>
      <c r="AM49" s="12">
        <v>33000</v>
      </c>
      <c r="AN49" s="12">
        <f t="shared" si="2"/>
        <v>231000</v>
      </c>
    </row>
    <row r="50" spans="1:40">
      <c r="A50" s="58" t="s">
        <v>39</v>
      </c>
      <c r="B50" s="35">
        <v>1101</v>
      </c>
      <c r="C50" s="36" t="s">
        <v>45</v>
      </c>
      <c r="D50" s="36" t="s">
        <v>802</v>
      </c>
      <c r="E50" s="36" t="s">
        <v>46</v>
      </c>
      <c r="F50" s="35" t="s">
        <v>47</v>
      </c>
      <c r="G50" s="47"/>
      <c r="H50" s="47"/>
      <c r="I50" s="47"/>
      <c r="J50" s="47"/>
      <c r="K50" s="47"/>
      <c r="L50" s="47"/>
      <c r="M50" s="34">
        <v>1</v>
      </c>
      <c r="N50" s="34">
        <v>1</v>
      </c>
      <c r="O50" s="34">
        <v>1</v>
      </c>
      <c r="P50" s="34">
        <v>1</v>
      </c>
      <c r="Q50" s="34">
        <v>1</v>
      </c>
      <c r="R50" s="34">
        <v>1</v>
      </c>
      <c r="S50" s="34">
        <v>1</v>
      </c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10">
        <f t="shared" si="3"/>
        <v>7</v>
      </c>
      <c r="AM50" s="12">
        <v>33000</v>
      </c>
      <c r="AN50" s="12">
        <f t="shared" si="2"/>
        <v>231000</v>
      </c>
    </row>
    <row r="51" spans="1:40">
      <c r="A51" s="58" t="s">
        <v>39</v>
      </c>
      <c r="B51" s="35">
        <v>1402</v>
      </c>
      <c r="C51" s="36" t="s">
        <v>52</v>
      </c>
      <c r="D51" s="36" t="s">
        <v>761</v>
      </c>
      <c r="E51" s="36" t="s">
        <v>55</v>
      </c>
      <c r="F51" s="35" t="s">
        <v>56</v>
      </c>
      <c r="G51" s="47"/>
      <c r="H51" s="47"/>
      <c r="I51" s="47"/>
      <c r="J51" s="47"/>
      <c r="K51" s="47"/>
      <c r="L51" s="47"/>
      <c r="M51" s="34">
        <v>1</v>
      </c>
      <c r="N51" s="34">
        <v>1</v>
      </c>
      <c r="O51" s="34">
        <v>1</v>
      </c>
      <c r="P51" s="34">
        <v>1</v>
      </c>
      <c r="Q51" s="34">
        <v>1</v>
      </c>
      <c r="R51" s="34">
        <v>1</v>
      </c>
      <c r="S51" s="34">
        <v>1</v>
      </c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10">
        <f t="shared" si="3"/>
        <v>7</v>
      </c>
      <c r="AM51" s="12">
        <v>33000</v>
      </c>
      <c r="AN51" s="12">
        <f t="shared" si="2"/>
        <v>231000</v>
      </c>
    </row>
    <row r="52" spans="1:40">
      <c r="A52" s="58" t="s">
        <v>39</v>
      </c>
      <c r="B52" s="35">
        <v>1402</v>
      </c>
      <c r="C52" s="36" t="s">
        <v>43</v>
      </c>
      <c r="D52" s="36"/>
      <c r="E52" s="36" t="s">
        <v>42</v>
      </c>
      <c r="F52" s="35" t="s">
        <v>44</v>
      </c>
      <c r="G52" s="47"/>
      <c r="H52" s="47"/>
      <c r="I52" s="47"/>
      <c r="J52" s="47"/>
      <c r="K52" s="47"/>
      <c r="L52" s="47"/>
      <c r="M52" s="34">
        <v>1</v>
      </c>
      <c r="N52" s="34">
        <v>1</v>
      </c>
      <c r="O52" s="34">
        <v>1</v>
      </c>
      <c r="P52" s="34">
        <v>1</v>
      </c>
      <c r="Q52" s="34">
        <v>1</v>
      </c>
      <c r="R52" s="34">
        <v>1</v>
      </c>
      <c r="S52" s="34">
        <v>1</v>
      </c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10">
        <f t="shared" si="3"/>
        <v>7</v>
      </c>
      <c r="AM52" s="12">
        <v>33000</v>
      </c>
      <c r="AN52" s="12">
        <f t="shared" si="2"/>
        <v>231000</v>
      </c>
    </row>
    <row r="53" spans="1:40">
      <c r="A53" s="58" t="s">
        <v>39</v>
      </c>
      <c r="B53" s="32">
        <v>302</v>
      </c>
      <c r="C53" s="33" t="s">
        <v>28</v>
      </c>
      <c r="D53" s="33"/>
      <c r="E53" s="33" t="s">
        <v>65</v>
      </c>
      <c r="F53" s="32" t="s">
        <v>66</v>
      </c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34">
        <v>1</v>
      </c>
      <c r="U53" s="34">
        <v>1</v>
      </c>
      <c r="V53" s="34">
        <v>1</v>
      </c>
      <c r="W53" s="34">
        <v>1</v>
      </c>
      <c r="X53" s="34">
        <v>1</v>
      </c>
      <c r="Y53" s="34">
        <v>1</v>
      </c>
      <c r="Z53" s="34">
        <v>1</v>
      </c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10">
        <f t="shared" si="3"/>
        <v>7</v>
      </c>
      <c r="AM53" s="12">
        <v>33000</v>
      </c>
      <c r="AN53" s="12">
        <f t="shared" ref="AN53:AN66" si="4">AM53*AL53</f>
        <v>231000</v>
      </c>
    </row>
    <row r="54" spans="1:40">
      <c r="A54" s="58" t="s">
        <v>39</v>
      </c>
      <c r="B54" s="32">
        <v>302</v>
      </c>
      <c r="C54" s="33" t="s">
        <v>91</v>
      </c>
      <c r="D54" s="33"/>
      <c r="E54" s="33" t="s">
        <v>92</v>
      </c>
      <c r="F54" s="32" t="s">
        <v>93</v>
      </c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34">
        <v>1</v>
      </c>
      <c r="U54" s="34">
        <v>1</v>
      </c>
      <c r="V54" s="34">
        <v>1</v>
      </c>
      <c r="W54" s="34">
        <v>1</v>
      </c>
      <c r="X54" s="34">
        <v>1</v>
      </c>
      <c r="Y54" s="34">
        <v>1</v>
      </c>
      <c r="Z54" s="34">
        <v>1</v>
      </c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10">
        <f t="shared" si="3"/>
        <v>7</v>
      </c>
      <c r="AM54" s="12">
        <v>33000</v>
      </c>
      <c r="AN54" s="12">
        <f t="shared" si="4"/>
        <v>231000</v>
      </c>
    </row>
    <row r="55" spans="1:40">
      <c r="A55" s="58" t="s">
        <v>39</v>
      </c>
      <c r="B55" s="32">
        <v>404</v>
      </c>
      <c r="C55" s="33" t="s">
        <v>274</v>
      </c>
      <c r="D55" s="33"/>
      <c r="E55" s="33" t="s">
        <v>15</v>
      </c>
      <c r="F55" s="32" t="s">
        <v>791</v>
      </c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34">
        <v>1</v>
      </c>
      <c r="U55" s="34">
        <v>1</v>
      </c>
      <c r="V55" s="34">
        <v>1</v>
      </c>
      <c r="W55" s="34">
        <v>1</v>
      </c>
      <c r="X55" s="34">
        <v>1</v>
      </c>
      <c r="Y55" s="34">
        <v>1</v>
      </c>
      <c r="Z55" s="34">
        <v>1</v>
      </c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10">
        <f t="shared" si="3"/>
        <v>7</v>
      </c>
      <c r="AM55" s="12">
        <v>33000</v>
      </c>
      <c r="AN55" s="12">
        <f t="shared" si="4"/>
        <v>231000</v>
      </c>
    </row>
    <row r="56" spans="1:40">
      <c r="A56" s="58" t="s">
        <v>39</v>
      </c>
      <c r="B56" s="32">
        <v>404</v>
      </c>
      <c r="C56" s="33" t="s">
        <v>8</v>
      </c>
      <c r="D56" s="33"/>
      <c r="E56" s="33" t="s">
        <v>63</v>
      </c>
      <c r="F56" s="32" t="s">
        <v>81</v>
      </c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34">
        <v>1</v>
      </c>
      <c r="U56" s="34">
        <v>1</v>
      </c>
      <c r="V56" s="34">
        <v>1</v>
      </c>
      <c r="W56" s="34">
        <v>1</v>
      </c>
      <c r="X56" s="34">
        <v>1</v>
      </c>
      <c r="Y56" s="34">
        <v>1</v>
      </c>
      <c r="Z56" s="34">
        <v>1</v>
      </c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10">
        <f t="shared" si="3"/>
        <v>7</v>
      </c>
      <c r="AM56" s="12">
        <v>33000</v>
      </c>
      <c r="AN56" s="12">
        <f t="shared" si="4"/>
        <v>231000</v>
      </c>
    </row>
    <row r="57" spans="1:40">
      <c r="A57" s="58" t="s">
        <v>39</v>
      </c>
      <c r="B57" s="32">
        <v>405</v>
      </c>
      <c r="C57" s="33" t="s">
        <v>613</v>
      </c>
      <c r="D57" s="33"/>
      <c r="E57" s="33" t="s">
        <v>615</v>
      </c>
      <c r="F57" s="32" t="s">
        <v>616</v>
      </c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34">
        <v>1</v>
      </c>
      <c r="U57" s="34">
        <v>1</v>
      </c>
      <c r="V57" s="34">
        <v>1</v>
      </c>
      <c r="W57" s="34">
        <v>1</v>
      </c>
      <c r="X57" s="34">
        <v>1</v>
      </c>
      <c r="Y57" s="34">
        <v>1</v>
      </c>
      <c r="Z57" s="34">
        <v>1</v>
      </c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10">
        <f t="shared" si="3"/>
        <v>7</v>
      </c>
      <c r="AM57" s="12">
        <v>33000</v>
      </c>
      <c r="AN57" s="12">
        <f t="shared" si="4"/>
        <v>231000</v>
      </c>
    </row>
    <row r="58" spans="1:40">
      <c r="A58" s="58" t="s">
        <v>39</v>
      </c>
      <c r="B58" s="32">
        <v>405</v>
      </c>
      <c r="C58" s="33" t="s">
        <v>90</v>
      </c>
      <c r="D58" s="33"/>
      <c r="E58" s="33" t="s">
        <v>43</v>
      </c>
      <c r="F58" s="32" t="s">
        <v>94</v>
      </c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34">
        <v>1</v>
      </c>
      <c r="U58" s="34">
        <v>1</v>
      </c>
      <c r="V58" s="34">
        <v>1</v>
      </c>
      <c r="W58" s="34">
        <v>1</v>
      </c>
      <c r="X58" s="34">
        <v>1</v>
      </c>
      <c r="Y58" s="34">
        <v>1</v>
      </c>
      <c r="Z58" s="34">
        <v>1</v>
      </c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10">
        <f t="shared" si="3"/>
        <v>7</v>
      </c>
      <c r="AM58" s="12">
        <v>33000</v>
      </c>
      <c r="AN58" s="12">
        <f t="shared" si="4"/>
        <v>231000</v>
      </c>
    </row>
    <row r="59" spans="1:40">
      <c r="A59" s="58" t="s">
        <v>39</v>
      </c>
      <c r="B59" s="32">
        <v>604</v>
      </c>
      <c r="C59" s="33" t="s">
        <v>511</v>
      </c>
      <c r="D59" s="33"/>
      <c r="E59" s="33" t="s">
        <v>513</v>
      </c>
      <c r="F59" s="32" t="s">
        <v>516</v>
      </c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34">
        <v>1</v>
      </c>
      <c r="U59" s="34">
        <v>1</v>
      </c>
      <c r="V59" s="34">
        <v>1</v>
      </c>
      <c r="W59" s="34">
        <v>1</v>
      </c>
      <c r="X59" s="34">
        <v>1</v>
      </c>
      <c r="Y59" s="34">
        <v>1</v>
      </c>
      <c r="Z59" s="34">
        <v>1</v>
      </c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10">
        <f t="shared" si="3"/>
        <v>7</v>
      </c>
      <c r="AM59" s="12">
        <v>33000</v>
      </c>
      <c r="AN59" s="12">
        <f t="shared" si="4"/>
        <v>231000</v>
      </c>
    </row>
    <row r="60" spans="1:40">
      <c r="A60" s="58" t="s">
        <v>39</v>
      </c>
      <c r="B60" s="32">
        <v>604</v>
      </c>
      <c r="C60" s="33" t="s">
        <v>77</v>
      </c>
      <c r="D60" s="33"/>
      <c r="E60" s="33" t="s">
        <v>78</v>
      </c>
      <c r="F60" s="32" t="s">
        <v>79</v>
      </c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34">
        <v>1</v>
      </c>
      <c r="U60" s="34">
        <v>1</v>
      </c>
      <c r="V60" s="34">
        <v>1</v>
      </c>
      <c r="W60" s="34">
        <v>1</v>
      </c>
      <c r="X60" s="34">
        <v>1</v>
      </c>
      <c r="Y60" s="34">
        <v>1</v>
      </c>
      <c r="Z60" s="34">
        <v>1</v>
      </c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10">
        <f t="shared" si="3"/>
        <v>7</v>
      </c>
      <c r="AM60" s="12">
        <v>33000</v>
      </c>
      <c r="AN60" s="12">
        <f t="shared" si="4"/>
        <v>231000</v>
      </c>
    </row>
    <row r="61" spans="1:40">
      <c r="A61" s="58" t="s">
        <v>39</v>
      </c>
      <c r="B61" s="32">
        <v>903</v>
      </c>
      <c r="C61" s="33" t="s">
        <v>71</v>
      </c>
      <c r="D61" s="33"/>
      <c r="E61" s="33" t="s">
        <v>515</v>
      </c>
      <c r="F61" s="32" t="s">
        <v>73</v>
      </c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34">
        <v>1</v>
      </c>
      <c r="U61" s="34">
        <v>1</v>
      </c>
      <c r="V61" s="34">
        <v>1</v>
      </c>
      <c r="W61" s="34">
        <v>1</v>
      </c>
      <c r="X61" s="34">
        <v>1</v>
      </c>
      <c r="Y61" s="34">
        <v>1</v>
      </c>
      <c r="Z61" s="34">
        <v>1</v>
      </c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10">
        <f t="shared" si="3"/>
        <v>7</v>
      </c>
      <c r="AM61" s="12">
        <v>33000</v>
      </c>
      <c r="AN61" s="12">
        <f t="shared" si="4"/>
        <v>231000</v>
      </c>
    </row>
    <row r="62" spans="1:40">
      <c r="A62" s="58" t="s">
        <v>39</v>
      </c>
      <c r="B62" s="32">
        <v>903</v>
      </c>
      <c r="C62" s="33" t="s">
        <v>12</v>
      </c>
      <c r="D62" s="33"/>
      <c r="E62" s="33" t="s">
        <v>85</v>
      </c>
      <c r="F62" s="32" t="s">
        <v>89</v>
      </c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34">
        <v>1</v>
      </c>
      <c r="U62" s="34">
        <v>1</v>
      </c>
      <c r="V62" s="34">
        <v>1</v>
      </c>
      <c r="W62" s="34">
        <v>1</v>
      </c>
      <c r="X62" s="34">
        <v>1</v>
      </c>
      <c r="Y62" s="34">
        <v>1</v>
      </c>
      <c r="Z62" s="34">
        <v>1</v>
      </c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10">
        <f t="shared" si="3"/>
        <v>7</v>
      </c>
      <c r="AM62" s="12">
        <v>33000</v>
      </c>
      <c r="AN62" s="12">
        <f t="shared" si="4"/>
        <v>231000</v>
      </c>
    </row>
    <row r="63" spans="1:40">
      <c r="A63" s="58" t="s">
        <v>39</v>
      </c>
      <c r="B63" s="32">
        <v>1101</v>
      </c>
      <c r="C63" s="33" t="s">
        <v>86</v>
      </c>
      <c r="D63" s="33"/>
      <c r="E63" s="33" t="s">
        <v>87</v>
      </c>
      <c r="F63" s="32" t="s">
        <v>88</v>
      </c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34">
        <v>1</v>
      </c>
      <c r="U63" s="34">
        <v>1</v>
      </c>
      <c r="V63" s="34">
        <v>1</v>
      </c>
      <c r="W63" s="34">
        <v>1</v>
      </c>
      <c r="X63" s="34">
        <v>1</v>
      </c>
      <c r="Y63" s="34">
        <v>1</v>
      </c>
      <c r="Z63" s="34">
        <v>1</v>
      </c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10">
        <f t="shared" si="3"/>
        <v>7</v>
      </c>
      <c r="AM63" s="12">
        <v>33000</v>
      </c>
      <c r="AN63" s="12">
        <f t="shared" si="4"/>
        <v>231000</v>
      </c>
    </row>
    <row r="64" spans="1:40">
      <c r="A64" s="58" t="s">
        <v>39</v>
      </c>
      <c r="B64" s="32">
        <v>1101</v>
      </c>
      <c r="C64" s="33" t="s">
        <v>95</v>
      </c>
      <c r="D64" s="33"/>
      <c r="E64" s="33" t="s">
        <v>96</v>
      </c>
      <c r="F64" s="32" t="s">
        <v>97</v>
      </c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34">
        <v>1</v>
      </c>
      <c r="U64" s="34">
        <v>1</v>
      </c>
      <c r="V64" s="34">
        <v>1</v>
      </c>
      <c r="W64" s="34">
        <v>1</v>
      </c>
      <c r="X64" s="34">
        <v>1</v>
      </c>
      <c r="Y64" s="34">
        <v>1</v>
      </c>
      <c r="Z64" s="34">
        <v>1</v>
      </c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10">
        <f t="shared" si="3"/>
        <v>7</v>
      </c>
      <c r="AM64" s="12">
        <v>33000</v>
      </c>
      <c r="AN64" s="12">
        <f t="shared" si="4"/>
        <v>231000</v>
      </c>
    </row>
    <row r="65" spans="1:40">
      <c r="A65" s="58" t="s">
        <v>39</v>
      </c>
      <c r="B65" s="32">
        <v>1402</v>
      </c>
      <c r="C65" s="33" t="s">
        <v>82</v>
      </c>
      <c r="D65" s="33"/>
      <c r="E65" s="33" t="s">
        <v>83</v>
      </c>
      <c r="F65" s="32" t="s">
        <v>84</v>
      </c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34">
        <v>1</v>
      </c>
      <c r="U65" s="34">
        <v>1</v>
      </c>
      <c r="V65" s="47"/>
      <c r="W65" s="47"/>
      <c r="X65" s="47"/>
      <c r="Y65" s="34">
        <v>1</v>
      </c>
      <c r="Z65" s="34">
        <v>1</v>
      </c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10">
        <f t="shared" si="3"/>
        <v>4</v>
      </c>
      <c r="AM65" s="12">
        <v>33000</v>
      </c>
      <c r="AN65" s="12">
        <f t="shared" si="4"/>
        <v>132000</v>
      </c>
    </row>
    <row r="66" spans="1:40">
      <c r="A66" s="58" t="s">
        <v>39</v>
      </c>
      <c r="B66" s="32">
        <v>1402</v>
      </c>
      <c r="C66" s="33" t="s">
        <v>42</v>
      </c>
      <c r="D66" s="33" t="s">
        <v>788</v>
      </c>
      <c r="E66" s="33" t="s">
        <v>43</v>
      </c>
      <c r="F66" s="32" t="s">
        <v>44</v>
      </c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34">
        <v>1</v>
      </c>
      <c r="U66" s="34">
        <v>1</v>
      </c>
      <c r="V66" s="34">
        <v>1</v>
      </c>
      <c r="W66" s="34">
        <v>1</v>
      </c>
      <c r="X66" s="34">
        <v>1</v>
      </c>
      <c r="Y66" s="34">
        <v>1</v>
      </c>
      <c r="Z66" s="34">
        <v>1</v>
      </c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10">
        <f t="shared" si="3"/>
        <v>7</v>
      </c>
      <c r="AM66" s="12">
        <v>33000</v>
      </c>
      <c r="AN66" s="12">
        <f t="shared" si="4"/>
        <v>231000</v>
      </c>
    </row>
    <row r="67" spans="1:40">
      <c r="A67" s="58" t="s">
        <v>39</v>
      </c>
      <c r="B67" s="32">
        <v>302</v>
      </c>
      <c r="C67" s="33" t="s">
        <v>60</v>
      </c>
      <c r="D67" s="33"/>
      <c r="E67" s="33" t="s">
        <v>61</v>
      </c>
      <c r="F67" s="33" t="s">
        <v>62</v>
      </c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34">
        <v>1</v>
      </c>
      <c r="AB67" s="34">
        <v>1</v>
      </c>
      <c r="AC67" s="34">
        <v>1</v>
      </c>
      <c r="AD67" s="34">
        <v>1</v>
      </c>
      <c r="AE67" s="34">
        <v>1</v>
      </c>
      <c r="AF67" s="34">
        <v>1</v>
      </c>
      <c r="AG67" s="34">
        <v>1</v>
      </c>
      <c r="AH67" s="47"/>
      <c r="AI67" s="47"/>
      <c r="AJ67" s="47"/>
      <c r="AK67" s="47"/>
      <c r="AL67" s="10">
        <f t="shared" si="3"/>
        <v>7</v>
      </c>
      <c r="AM67" s="12">
        <v>33000</v>
      </c>
      <c r="AN67" s="12">
        <f t="shared" ref="AN67:AN71" si="5">AM67*AL67</f>
        <v>231000</v>
      </c>
    </row>
    <row r="68" spans="1:40">
      <c r="A68" s="58" t="s">
        <v>39</v>
      </c>
      <c r="B68" s="32">
        <v>302</v>
      </c>
      <c r="C68" s="33" t="s">
        <v>803</v>
      </c>
      <c r="D68" s="33"/>
      <c r="E68" s="33" t="s">
        <v>63</v>
      </c>
      <c r="F68" s="33" t="s">
        <v>64</v>
      </c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34">
        <v>1</v>
      </c>
      <c r="AB68" s="34">
        <v>1</v>
      </c>
      <c r="AC68" s="34">
        <v>1</v>
      </c>
      <c r="AD68" s="34">
        <v>1</v>
      </c>
      <c r="AE68" s="34">
        <v>1</v>
      </c>
      <c r="AF68" s="34">
        <v>1</v>
      </c>
      <c r="AG68" s="34">
        <v>1</v>
      </c>
      <c r="AH68" s="47"/>
      <c r="AI68" s="47"/>
      <c r="AJ68" s="47"/>
      <c r="AK68" s="47"/>
      <c r="AL68" s="10">
        <f t="shared" si="3"/>
        <v>7</v>
      </c>
      <c r="AM68" s="12">
        <v>33000</v>
      </c>
      <c r="AN68" s="12">
        <f t="shared" si="5"/>
        <v>231000</v>
      </c>
    </row>
    <row r="69" spans="1:40">
      <c r="A69" s="58" t="s">
        <v>39</v>
      </c>
      <c r="B69" s="32">
        <v>404</v>
      </c>
      <c r="C69" s="33" t="s">
        <v>799</v>
      </c>
      <c r="D69" s="33"/>
      <c r="E69" s="33" t="s">
        <v>65</v>
      </c>
      <c r="F69" s="33" t="s">
        <v>432</v>
      </c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34">
        <v>1</v>
      </c>
      <c r="AB69" s="34">
        <v>1</v>
      </c>
      <c r="AC69" s="34">
        <v>1</v>
      </c>
      <c r="AD69" s="34">
        <v>1</v>
      </c>
      <c r="AE69" s="34">
        <v>1</v>
      </c>
      <c r="AF69" s="34">
        <v>1</v>
      </c>
      <c r="AG69" s="34">
        <v>1</v>
      </c>
      <c r="AH69" s="47"/>
      <c r="AI69" s="47"/>
      <c r="AJ69" s="47"/>
      <c r="AK69" s="47"/>
      <c r="AL69" s="10">
        <f t="shared" si="3"/>
        <v>7</v>
      </c>
      <c r="AM69" s="12">
        <v>33000</v>
      </c>
      <c r="AN69" s="12">
        <f t="shared" si="5"/>
        <v>231000</v>
      </c>
    </row>
    <row r="70" spans="1:40">
      <c r="A70" s="58" t="s">
        <v>39</v>
      </c>
      <c r="B70" s="32">
        <v>404</v>
      </c>
      <c r="C70" s="33" t="s">
        <v>436</v>
      </c>
      <c r="D70" s="33"/>
      <c r="E70" s="33" t="s">
        <v>26</v>
      </c>
      <c r="F70" s="33" t="s">
        <v>433</v>
      </c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34">
        <v>1</v>
      </c>
      <c r="AB70" s="34">
        <v>1</v>
      </c>
      <c r="AC70" s="34">
        <v>1</v>
      </c>
      <c r="AD70" s="34">
        <v>1</v>
      </c>
      <c r="AE70" s="34">
        <v>1</v>
      </c>
      <c r="AF70" s="34">
        <v>1</v>
      </c>
      <c r="AG70" s="34">
        <v>1</v>
      </c>
      <c r="AH70" s="47"/>
      <c r="AI70" s="47"/>
      <c r="AJ70" s="47"/>
      <c r="AK70" s="47"/>
      <c r="AL70" s="10">
        <f t="shared" si="3"/>
        <v>7</v>
      </c>
      <c r="AM70" s="12">
        <v>33000</v>
      </c>
      <c r="AN70" s="12">
        <f t="shared" si="5"/>
        <v>231000</v>
      </c>
    </row>
    <row r="71" spans="1:40">
      <c r="A71" s="58" t="s">
        <v>39</v>
      </c>
      <c r="B71" s="32">
        <v>405</v>
      </c>
      <c r="C71" s="33" t="s">
        <v>67</v>
      </c>
      <c r="D71" s="33"/>
      <c r="E71" s="33" t="s">
        <v>68</v>
      </c>
      <c r="F71" s="33" t="s">
        <v>69</v>
      </c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34">
        <v>1</v>
      </c>
      <c r="AB71" s="34">
        <v>1</v>
      </c>
      <c r="AC71" s="34">
        <v>1</v>
      </c>
      <c r="AD71" s="34">
        <v>1</v>
      </c>
      <c r="AE71" s="34">
        <v>1</v>
      </c>
      <c r="AF71" s="34">
        <v>1</v>
      </c>
      <c r="AG71" s="34">
        <v>1</v>
      </c>
      <c r="AH71" s="47"/>
      <c r="AI71" s="47"/>
      <c r="AJ71" s="47"/>
      <c r="AK71" s="47"/>
      <c r="AL71" s="10">
        <f t="shared" si="3"/>
        <v>7</v>
      </c>
      <c r="AM71" s="12">
        <v>33000</v>
      </c>
      <c r="AN71" s="12">
        <f t="shared" si="5"/>
        <v>231000</v>
      </c>
    </row>
    <row r="72" spans="1:40">
      <c r="A72" s="58" t="s">
        <v>39</v>
      </c>
      <c r="B72" s="32">
        <v>405</v>
      </c>
      <c r="C72" s="33" t="s">
        <v>438</v>
      </c>
      <c r="D72" s="33"/>
      <c r="E72" s="33" t="s">
        <v>437</v>
      </c>
      <c r="F72" s="33" t="s">
        <v>434</v>
      </c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34">
        <v>1</v>
      </c>
      <c r="AB72" s="34">
        <v>1</v>
      </c>
      <c r="AC72" s="34">
        <v>1</v>
      </c>
      <c r="AD72" s="34">
        <v>1</v>
      </c>
      <c r="AE72" s="34">
        <v>1</v>
      </c>
      <c r="AF72" s="34">
        <v>1</v>
      </c>
      <c r="AG72" s="34">
        <v>1</v>
      </c>
      <c r="AH72" s="47"/>
      <c r="AI72" s="47"/>
      <c r="AJ72" s="47"/>
      <c r="AK72" s="47"/>
      <c r="AL72" s="10">
        <f t="shared" si="3"/>
        <v>7</v>
      </c>
      <c r="AM72" s="12">
        <v>33000</v>
      </c>
      <c r="AN72" s="12">
        <f t="shared" ref="AN72:AN77" si="6">AM72*AL72</f>
        <v>231000</v>
      </c>
    </row>
    <row r="73" spans="1:40">
      <c r="A73" s="58" t="s">
        <v>39</v>
      </c>
      <c r="B73" s="32">
        <v>604</v>
      </c>
      <c r="C73" s="33" t="s">
        <v>51</v>
      </c>
      <c r="D73" s="33" t="s">
        <v>52</v>
      </c>
      <c r="E73" s="33" t="s">
        <v>53</v>
      </c>
      <c r="F73" s="33" t="s">
        <v>54</v>
      </c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34">
        <v>1</v>
      </c>
      <c r="AB73" s="34">
        <v>1</v>
      </c>
      <c r="AC73" s="34">
        <v>1</v>
      </c>
      <c r="AD73" s="34">
        <v>1</v>
      </c>
      <c r="AE73" s="34">
        <v>1</v>
      </c>
      <c r="AF73" s="34">
        <v>1</v>
      </c>
      <c r="AG73" s="34">
        <v>1</v>
      </c>
      <c r="AH73" s="47"/>
      <c r="AI73" s="47"/>
      <c r="AJ73" s="47"/>
      <c r="AK73" s="47"/>
      <c r="AL73" s="10">
        <f t="shared" si="3"/>
        <v>7</v>
      </c>
      <c r="AM73" s="12">
        <v>33000</v>
      </c>
      <c r="AN73" s="12">
        <f t="shared" si="6"/>
        <v>231000</v>
      </c>
    </row>
    <row r="74" spans="1:40">
      <c r="A74" s="58" t="s">
        <v>39</v>
      </c>
      <c r="B74" s="32">
        <v>604</v>
      </c>
      <c r="C74" s="33" t="s">
        <v>52</v>
      </c>
      <c r="D74" s="33" t="s">
        <v>761</v>
      </c>
      <c r="E74" s="33" t="s">
        <v>55</v>
      </c>
      <c r="F74" s="33" t="s">
        <v>56</v>
      </c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34">
        <v>1</v>
      </c>
      <c r="AB74" s="34">
        <v>1</v>
      </c>
      <c r="AC74" s="47"/>
      <c r="AD74" s="47"/>
      <c r="AE74" s="47"/>
      <c r="AF74" s="47"/>
      <c r="AG74" s="47"/>
      <c r="AH74" s="47"/>
      <c r="AI74" s="47"/>
      <c r="AJ74" s="47"/>
      <c r="AK74" s="47"/>
      <c r="AL74" s="10">
        <f t="shared" ref="AL74:AL84" si="7">SUM(G74:AK74)</f>
        <v>2</v>
      </c>
      <c r="AM74" s="12">
        <v>33000</v>
      </c>
      <c r="AN74" s="12">
        <f t="shared" si="6"/>
        <v>66000</v>
      </c>
    </row>
    <row r="75" spans="1:40">
      <c r="A75" s="58" t="s">
        <v>39</v>
      </c>
      <c r="B75" s="32">
        <v>604</v>
      </c>
      <c r="C75" s="33" t="s">
        <v>20</v>
      </c>
      <c r="D75" s="33" t="s">
        <v>21</v>
      </c>
      <c r="E75" s="33" t="s">
        <v>22</v>
      </c>
      <c r="F75" s="33" t="s">
        <v>897</v>
      </c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34">
        <v>1</v>
      </c>
      <c r="AD75" s="34">
        <v>1</v>
      </c>
      <c r="AE75" s="34">
        <v>1</v>
      </c>
      <c r="AF75" s="34">
        <v>1</v>
      </c>
      <c r="AG75" s="34">
        <v>1</v>
      </c>
      <c r="AH75" s="47"/>
      <c r="AI75" s="47"/>
      <c r="AJ75" s="47"/>
      <c r="AK75" s="47"/>
      <c r="AL75" s="10">
        <f t="shared" si="7"/>
        <v>5</v>
      </c>
      <c r="AM75" s="12">
        <v>33000</v>
      </c>
      <c r="AN75" s="12">
        <f t="shared" si="6"/>
        <v>165000</v>
      </c>
    </row>
    <row r="76" spans="1:40">
      <c r="A76" s="58" t="s">
        <v>39</v>
      </c>
      <c r="B76" s="32">
        <v>904</v>
      </c>
      <c r="C76" s="33" t="s">
        <v>59</v>
      </c>
      <c r="D76" s="33"/>
      <c r="E76" s="33" t="s">
        <v>43</v>
      </c>
      <c r="F76" s="33" t="s">
        <v>804</v>
      </c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34">
        <v>1</v>
      </c>
      <c r="AB76" s="34">
        <v>1</v>
      </c>
      <c r="AC76" s="34">
        <v>1</v>
      </c>
      <c r="AD76" s="34">
        <v>1</v>
      </c>
      <c r="AE76" s="34">
        <v>1</v>
      </c>
      <c r="AF76" s="34">
        <v>1</v>
      </c>
      <c r="AG76" s="34">
        <v>1</v>
      </c>
      <c r="AH76" s="47"/>
      <c r="AI76" s="47"/>
      <c r="AJ76" s="47"/>
      <c r="AK76" s="47"/>
      <c r="AL76" s="10">
        <f t="shared" si="7"/>
        <v>7</v>
      </c>
      <c r="AM76" s="12">
        <v>33000</v>
      </c>
      <c r="AN76" s="12">
        <f t="shared" si="6"/>
        <v>231000</v>
      </c>
    </row>
    <row r="77" spans="1:40">
      <c r="A77" s="58" t="s">
        <v>39</v>
      </c>
      <c r="B77" s="32">
        <v>904</v>
      </c>
      <c r="C77" s="33" t="s">
        <v>82</v>
      </c>
      <c r="D77" s="33"/>
      <c r="E77" s="33" t="s">
        <v>83</v>
      </c>
      <c r="F77" s="33" t="s">
        <v>84</v>
      </c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34">
        <v>1</v>
      </c>
      <c r="AF77" s="34">
        <v>1</v>
      </c>
      <c r="AG77" s="34">
        <v>1</v>
      </c>
      <c r="AH77" s="47"/>
      <c r="AI77" s="47"/>
      <c r="AJ77" s="47"/>
      <c r="AK77" s="47"/>
      <c r="AL77" s="10">
        <f t="shared" si="7"/>
        <v>3</v>
      </c>
      <c r="AM77" s="12">
        <v>33000</v>
      </c>
      <c r="AN77" s="12">
        <f t="shared" si="6"/>
        <v>99000</v>
      </c>
    </row>
    <row r="78" spans="1:40">
      <c r="A78" s="58" t="s">
        <v>39</v>
      </c>
      <c r="B78" s="32">
        <v>903</v>
      </c>
      <c r="C78" s="33" t="s">
        <v>74</v>
      </c>
      <c r="D78" s="33"/>
      <c r="E78" s="33" t="s">
        <v>75</v>
      </c>
      <c r="F78" s="33" t="s">
        <v>76</v>
      </c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34">
        <v>1</v>
      </c>
      <c r="AB78" s="34">
        <v>1</v>
      </c>
      <c r="AC78" s="34">
        <v>1</v>
      </c>
      <c r="AD78" s="34">
        <v>1</v>
      </c>
      <c r="AE78" s="34">
        <v>1</v>
      </c>
      <c r="AF78" s="34">
        <v>1</v>
      </c>
      <c r="AG78" s="34">
        <v>1</v>
      </c>
      <c r="AH78" s="47"/>
      <c r="AI78" s="47"/>
      <c r="AJ78" s="47"/>
      <c r="AK78" s="47"/>
      <c r="AL78" s="10">
        <f t="shared" si="7"/>
        <v>7</v>
      </c>
      <c r="AM78" s="12">
        <v>33000</v>
      </c>
      <c r="AN78" s="12">
        <f t="shared" ref="AN78:AN84" si="8">AM78*AL78</f>
        <v>231000</v>
      </c>
    </row>
    <row r="79" spans="1:40">
      <c r="A79" s="58" t="s">
        <v>39</v>
      </c>
      <c r="B79" s="32">
        <v>903</v>
      </c>
      <c r="C79" s="33" t="s">
        <v>14</v>
      </c>
      <c r="D79" s="33"/>
      <c r="E79" s="33" t="s">
        <v>798</v>
      </c>
      <c r="F79" s="33" t="s">
        <v>41</v>
      </c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34">
        <v>1</v>
      </c>
      <c r="AB79" s="34">
        <v>1</v>
      </c>
      <c r="AC79" s="34">
        <v>1</v>
      </c>
      <c r="AD79" s="34">
        <v>1</v>
      </c>
      <c r="AE79" s="47"/>
      <c r="AF79" s="34">
        <v>1</v>
      </c>
      <c r="AG79" s="34">
        <v>1</v>
      </c>
      <c r="AH79" s="47"/>
      <c r="AI79" s="47"/>
      <c r="AJ79" s="47"/>
      <c r="AK79" s="47"/>
      <c r="AL79" s="10">
        <f t="shared" si="7"/>
        <v>6</v>
      </c>
      <c r="AM79" s="12">
        <v>33000</v>
      </c>
      <c r="AN79" s="12">
        <f t="shared" si="8"/>
        <v>198000</v>
      </c>
    </row>
    <row r="80" spans="1:40">
      <c r="A80" s="58" t="s">
        <v>39</v>
      </c>
      <c r="B80" s="32">
        <v>1101</v>
      </c>
      <c r="C80" s="33" t="s">
        <v>45</v>
      </c>
      <c r="D80" s="33" t="s">
        <v>802</v>
      </c>
      <c r="E80" s="33" t="s">
        <v>46</v>
      </c>
      <c r="F80" s="33" t="s">
        <v>47</v>
      </c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34">
        <v>1</v>
      </c>
      <c r="AB80" s="34">
        <v>1</v>
      </c>
      <c r="AC80" s="34">
        <v>1</v>
      </c>
      <c r="AD80" s="34">
        <v>1</v>
      </c>
      <c r="AE80" s="34">
        <v>1</v>
      </c>
      <c r="AF80" s="34">
        <v>1</v>
      </c>
      <c r="AG80" s="34">
        <v>1</v>
      </c>
      <c r="AH80" s="47"/>
      <c r="AI80" s="47"/>
      <c r="AJ80" s="47"/>
      <c r="AK80" s="47"/>
      <c r="AL80" s="10">
        <f t="shared" si="7"/>
        <v>7</v>
      </c>
      <c r="AM80" s="12">
        <v>33000</v>
      </c>
      <c r="AN80" s="12">
        <f t="shared" si="8"/>
        <v>231000</v>
      </c>
    </row>
    <row r="81" spans="1:40">
      <c r="A81" s="58" t="s">
        <v>39</v>
      </c>
      <c r="B81" s="32">
        <v>1101</v>
      </c>
      <c r="C81" s="33" t="s">
        <v>48</v>
      </c>
      <c r="D81" s="33" t="s">
        <v>801</v>
      </c>
      <c r="E81" s="33" t="s">
        <v>49</v>
      </c>
      <c r="F81" s="33" t="s">
        <v>50</v>
      </c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34">
        <v>1</v>
      </c>
      <c r="AB81" s="34">
        <v>1</v>
      </c>
      <c r="AC81" s="34">
        <v>1</v>
      </c>
      <c r="AD81" s="34">
        <v>1</v>
      </c>
      <c r="AE81" s="34">
        <v>1</v>
      </c>
      <c r="AF81" s="34">
        <v>1</v>
      </c>
      <c r="AG81" s="34">
        <v>1</v>
      </c>
      <c r="AH81" s="47"/>
      <c r="AI81" s="47"/>
      <c r="AJ81" s="47"/>
      <c r="AK81" s="47"/>
      <c r="AL81" s="10">
        <f t="shared" si="7"/>
        <v>7</v>
      </c>
      <c r="AM81" s="12">
        <v>33000</v>
      </c>
      <c r="AN81" s="12">
        <f t="shared" si="8"/>
        <v>231000</v>
      </c>
    </row>
    <row r="82" spans="1:40">
      <c r="A82" s="58" t="s">
        <v>39</v>
      </c>
      <c r="B82" s="32">
        <v>1402</v>
      </c>
      <c r="C82" s="33" t="s">
        <v>82</v>
      </c>
      <c r="D82" s="33"/>
      <c r="E82" s="33" t="s">
        <v>83</v>
      </c>
      <c r="F82" s="33" t="s">
        <v>84</v>
      </c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34">
        <v>1</v>
      </c>
      <c r="AB82" s="34">
        <v>1</v>
      </c>
      <c r="AC82" s="47"/>
      <c r="AD82" s="47"/>
      <c r="AE82" s="47"/>
      <c r="AF82" s="47"/>
      <c r="AG82" s="47"/>
      <c r="AH82" s="47"/>
      <c r="AI82" s="47"/>
      <c r="AJ82" s="47"/>
      <c r="AK82" s="47"/>
      <c r="AL82" s="10">
        <f t="shared" si="7"/>
        <v>2</v>
      </c>
      <c r="AM82" s="12">
        <v>33000</v>
      </c>
      <c r="AN82" s="12">
        <f t="shared" si="8"/>
        <v>66000</v>
      </c>
    </row>
    <row r="83" spans="1:40">
      <c r="A83" s="58" t="s">
        <v>39</v>
      </c>
      <c r="B83" s="32">
        <v>1402</v>
      </c>
      <c r="C83" s="33" t="s">
        <v>42</v>
      </c>
      <c r="D83" s="33" t="s">
        <v>788</v>
      </c>
      <c r="E83" s="33" t="s">
        <v>43</v>
      </c>
      <c r="F83" s="33" t="s">
        <v>44</v>
      </c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34">
        <v>1</v>
      </c>
      <c r="AB83" s="34">
        <v>1</v>
      </c>
      <c r="AC83" s="34">
        <v>1</v>
      </c>
      <c r="AD83" s="34">
        <v>1</v>
      </c>
      <c r="AE83" s="34">
        <v>1</v>
      </c>
      <c r="AF83" s="34">
        <v>1</v>
      </c>
      <c r="AG83" s="34">
        <v>1</v>
      </c>
      <c r="AH83" s="47"/>
      <c r="AI83" s="47"/>
      <c r="AJ83" s="47"/>
      <c r="AK83" s="47"/>
      <c r="AL83" s="10">
        <f t="shared" si="7"/>
        <v>7</v>
      </c>
      <c r="AM83" s="12">
        <v>33000</v>
      </c>
      <c r="AN83" s="12">
        <f t="shared" si="8"/>
        <v>231000</v>
      </c>
    </row>
    <row r="84" spans="1:40">
      <c r="A84" s="58" t="s">
        <v>39</v>
      </c>
      <c r="B84" s="32">
        <v>1402</v>
      </c>
      <c r="C84" s="33" t="s">
        <v>52</v>
      </c>
      <c r="D84" s="33" t="s">
        <v>761</v>
      </c>
      <c r="E84" s="33" t="s">
        <v>55</v>
      </c>
      <c r="F84" s="33" t="s">
        <v>56</v>
      </c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34">
        <v>1</v>
      </c>
      <c r="AD84" s="34">
        <v>1</v>
      </c>
      <c r="AE84" s="34">
        <v>1</v>
      </c>
      <c r="AF84" s="34">
        <v>1</v>
      </c>
      <c r="AG84" s="34">
        <v>1</v>
      </c>
      <c r="AH84" s="47"/>
      <c r="AI84" s="47"/>
      <c r="AJ84" s="47"/>
      <c r="AK84" s="47"/>
      <c r="AL84" s="10">
        <f t="shared" si="7"/>
        <v>5</v>
      </c>
      <c r="AM84" s="12">
        <v>33000</v>
      </c>
      <c r="AN84" s="12">
        <f t="shared" si="8"/>
        <v>165000</v>
      </c>
    </row>
    <row r="85" spans="1:40">
      <c r="A85" s="58" t="s">
        <v>39</v>
      </c>
      <c r="B85" s="32">
        <v>205</v>
      </c>
      <c r="C85" s="33" t="s">
        <v>577</v>
      </c>
      <c r="D85" s="33"/>
      <c r="E85" s="33" t="s">
        <v>1000</v>
      </c>
      <c r="F85" s="33" t="s">
        <v>629</v>
      </c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34">
        <v>1</v>
      </c>
      <c r="AI85" s="34">
        <v>1</v>
      </c>
      <c r="AJ85" s="34">
        <v>1</v>
      </c>
      <c r="AK85" s="34">
        <v>1</v>
      </c>
      <c r="AL85" s="10">
        <f t="shared" ref="AL85:AL100" si="9">SUM(G85:AK85)</f>
        <v>4</v>
      </c>
      <c r="AM85" s="12">
        <v>33000</v>
      </c>
      <c r="AN85" s="12">
        <f t="shared" ref="AN85:AN100" si="10">AM85*AL85</f>
        <v>132000</v>
      </c>
    </row>
    <row r="86" spans="1:40">
      <c r="A86" s="58" t="s">
        <v>39</v>
      </c>
      <c r="B86" s="32">
        <v>205</v>
      </c>
      <c r="C86" s="33" t="s">
        <v>67</v>
      </c>
      <c r="D86" s="33"/>
      <c r="E86" s="33" t="s">
        <v>1001</v>
      </c>
      <c r="F86" s="33" t="s">
        <v>1018</v>
      </c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34">
        <v>1</v>
      </c>
      <c r="AI86" s="34">
        <v>1</v>
      </c>
      <c r="AJ86" s="34">
        <v>1</v>
      </c>
      <c r="AK86" s="34">
        <v>1</v>
      </c>
      <c r="AL86" s="10">
        <f t="shared" si="9"/>
        <v>4</v>
      </c>
      <c r="AM86" s="12">
        <v>33000</v>
      </c>
      <c r="AN86" s="12">
        <f t="shared" si="10"/>
        <v>132000</v>
      </c>
    </row>
    <row r="87" spans="1:40">
      <c r="A87" s="58" t="s">
        <v>39</v>
      </c>
      <c r="B87" s="32">
        <v>302</v>
      </c>
      <c r="C87" s="33" t="s">
        <v>1002</v>
      </c>
      <c r="D87" s="33"/>
      <c r="E87" s="33" t="s">
        <v>63</v>
      </c>
      <c r="F87" s="33" t="s">
        <v>81</v>
      </c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34">
        <v>1</v>
      </c>
      <c r="AI87" s="34">
        <v>1</v>
      </c>
      <c r="AJ87" s="34">
        <v>1</v>
      </c>
      <c r="AK87" s="34">
        <v>1</v>
      </c>
      <c r="AL87" s="10">
        <f t="shared" si="9"/>
        <v>4</v>
      </c>
      <c r="AM87" s="12">
        <v>33000</v>
      </c>
      <c r="AN87" s="12">
        <f t="shared" si="10"/>
        <v>132000</v>
      </c>
    </row>
    <row r="88" spans="1:40">
      <c r="A88" s="58" t="s">
        <v>39</v>
      </c>
      <c r="B88" s="32">
        <v>302</v>
      </c>
      <c r="C88" s="33" t="s">
        <v>1003</v>
      </c>
      <c r="D88" s="33"/>
      <c r="E88" s="33" t="s">
        <v>65</v>
      </c>
      <c r="F88" s="33" t="s">
        <v>66</v>
      </c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34">
        <v>1</v>
      </c>
      <c r="AI88" s="34">
        <v>1</v>
      </c>
      <c r="AJ88" s="34">
        <v>1</v>
      </c>
      <c r="AK88" s="34">
        <v>1</v>
      </c>
      <c r="AL88" s="10">
        <f t="shared" si="9"/>
        <v>4</v>
      </c>
      <c r="AM88" s="12">
        <v>33000</v>
      </c>
      <c r="AN88" s="12">
        <f t="shared" si="10"/>
        <v>132000</v>
      </c>
    </row>
    <row r="89" spans="1:40">
      <c r="A89" s="58" t="s">
        <v>39</v>
      </c>
      <c r="B89" s="32">
        <v>404</v>
      </c>
      <c r="C89" s="33" t="s">
        <v>613</v>
      </c>
      <c r="D89" s="33"/>
      <c r="E89" s="33" t="s">
        <v>1004</v>
      </c>
      <c r="F89" s="33" t="s">
        <v>616</v>
      </c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34">
        <v>1</v>
      </c>
      <c r="AI89" s="34">
        <v>1</v>
      </c>
      <c r="AJ89" s="34">
        <v>1</v>
      </c>
      <c r="AK89" s="34">
        <v>1</v>
      </c>
      <c r="AL89" s="10">
        <f t="shared" si="9"/>
        <v>4</v>
      </c>
      <c r="AM89" s="12">
        <v>33000</v>
      </c>
      <c r="AN89" s="12">
        <f t="shared" si="10"/>
        <v>132000</v>
      </c>
    </row>
    <row r="90" spans="1:40">
      <c r="A90" s="58" t="s">
        <v>39</v>
      </c>
      <c r="B90" s="32">
        <v>404</v>
      </c>
      <c r="C90" s="33" t="s">
        <v>1005</v>
      </c>
      <c r="D90" s="33"/>
      <c r="E90" s="33" t="s">
        <v>1006</v>
      </c>
      <c r="F90" s="33" t="s">
        <v>93</v>
      </c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34">
        <v>1</v>
      </c>
      <c r="AI90" s="34">
        <v>1</v>
      </c>
      <c r="AJ90" s="34">
        <v>1</v>
      </c>
      <c r="AK90" s="34">
        <v>1</v>
      </c>
      <c r="AL90" s="10">
        <f t="shared" si="9"/>
        <v>4</v>
      </c>
      <c r="AM90" s="12">
        <v>33000</v>
      </c>
      <c r="AN90" s="12">
        <f t="shared" si="10"/>
        <v>132000</v>
      </c>
    </row>
    <row r="91" spans="1:40">
      <c r="A91" s="58" t="s">
        <v>39</v>
      </c>
      <c r="B91" s="32">
        <v>604</v>
      </c>
      <c r="C91" s="33" t="s">
        <v>20</v>
      </c>
      <c r="D91" s="33" t="s">
        <v>21</v>
      </c>
      <c r="E91" s="33" t="s">
        <v>22</v>
      </c>
      <c r="F91" s="33" t="s">
        <v>1007</v>
      </c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34">
        <v>1</v>
      </c>
      <c r="AI91" s="34">
        <v>1</v>
      </c>
      <c r="AJ91" s="34">
        <v>1</v>
      </c>
      <c r="AK91" s="34">
        <v>1</v>
      </c>
      <c r="AL91" s="10">
        <f t="shared" si="9"/>
        <v>4</v>
      </c>
      <c r="AM91" s="12">
        <v>33000</v>
      </c>
      <c r="AN91" s="12">
        <f t="shared" si="10"/>
        <v>132000</v>
      </c>
    </row>
    <row r="92" spans="1:40">
      <c r="A92" s="58" t="s">
        <v>39</v>
      </c>
      <c r="B92" s="32">
        <v>604</v>
      </c>
      <c r="C92" s="33" t="s">
        <v>738</v>
      </c>
      <c r="D92" s="33"/>
      <c r="E92" s="33" t="s">
        <v>1008</v>
      </c>
      <c r="F92" s="33" t="s">
        <v>1009</v>
      </c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34">
        <v>1</v>
      </c>
      <c r="AI92" s="34">
        <v>1</v>
      </c>
      <c r="AJ92" s="34">
        <v>1</v>
      </c>
      <c r="AK92" s="34">
        <v>1</v>
      </c>
      <c r="AL92" s="10">
        <f t="shared" si="9"/>
        <v>4</v>
      </c>
      <c r="AM92" s="12">
        <v>33000</v>
      </c>
      <c r="AN92" s="12">
        <f t="shared" si="10"/>
        <v>132000</v>
      </c>
    </row>
    <row r="93" spans="1:40">
      <c r="A93" s="58" t="s">
        <v>39</v>
      </c>
      <c r="B93" s="32">
        <v>903</v>
      </c>
      <c r="C93" s="33" t="s">
        <v>71</v>
      </c>
      <c r="D93" s="33"/>
      <c r="E93" s="33" t="s">
        <v>515</v>
      </c>
      <c r="F93" s="33" t="s">
        <v>73</v>
      </c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34">
        <v>1</v>
      </c>
      <c r="AI93" s="34">
        <v>1</v>
      </c>
      <c r="AJ93" s="34">
        <v>1</v>
      </c>
      <c r="AK93" s="34">
        <v>1</v>
      </c>
      <c r="AL93" s="10">
        <f t="shared" si="9"/>
        <v>4</v>
      </c>
      <c r="AM93" s="12">
        <v>33000</v>
      </c>
      <c r="AN93" s="12">
        <f t="shared" si="10"/>
        <v>132000</v>
      </c>
    </row>
    <row r="94" spans="1:40">
      <c r="A94" s="58" t="s">
        <v>39</v>
      </c>
      <c r="B94" s="32">
        <v>903</v>
      </c>
      <c r="C94" s="33" t="s">
        <v>77</v>
      </c>
      <c r="D94" s="33"/>
      <c r="E94" s="33" t="s">
        <v>1010</v>
      </c>
      <c r="F94" s="33" t="s">
        <v>1011</v>
      </c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34">
        <v>1</v>
      </c>
      <c r="AI94" s="34">
        <v>1</v>
      </c>
      <c r="AJ94" s="34">
        <v>1</v>
      </c>
      <c r="AK94" s="34">
        <v>1</v>
      </c>
      <c r="AL94" s="10">
        <f t="shared" si="9"/>
        <v>4</v>
      </c>
      <c r="AM94" s="12">
        <v>33000</v>
      </c>
      <c r="AN94" s="12">
        <f t="shared" si="10"/>
        <v>132000</v>
      </c>
    </row>
    <row r="95" spans="1:40">
      <c r="A95" s="58" t="s">
        <v>39</v>
      </c>
      <c r="B95" s="32">
        <v>904</v>
      </c>
      <c r="C95" s="33" t="s">
        <v>82</v>
      </c>
      <c r="D95" s="33"/>
      <c r="E95" s="33" t="s">
        <v>83</v>
      </c>
      <c r="F95" s="33" t="s">
        <v>84</v>
      </c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34">
        <v>1</v>
      </c>
      <c r="AI95" s="34">
        <v>1</v>
      </c>
      <c r="AJ95" s="47"/>
      <c r="AK95" s="47"/>
      <c r="AL95" s="10">
        <f t="shared" si="9"/>
        <v>2</v>
      </c>
      <c r="AM95" s="12">
        <v>33000</v>
      </c>
      <c r="AN95" s="12">
        <f t="shared" si="10"/>
        <v>66000</v>
      </c>
    </row>
    <row r="96" spans="1:40">
      <c r="A96" s="58" t="s">
        <v>39</v>
      </c>
      <c r="B96" s="32">
        <v>904</v>
      </c>
      <c r="C96" s="33" t="s">
        <v>1012</v>
      </c>
      <c r="D96" s="33"/>
      <c r="E96" s="33" t="s">
        <v>43</v>
      </c>
      <c r="F96" s="33" t="s">
        <v>94</v>
      </c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34">
        <v>1</v>
      </c>
      <c r="AI96" s="34">
        <v>1</v>
      </c>
      <c r="AJ96" s="34">
        <v>1</v>
      </c>
      <c r="AK96" s="34">
        <v>1</v>
      </c>
      <c r="AL96" s="10">
        <f t="shared" si="9"/>
        <v>4</v>
      </c>
      <c r="AM96" s="12">
        <v>33000</v>
      </c>
      <c r="AN96" s="12">
        <f t="shared" si="10"/>
        <v>132000</v>
      </c>
    </row>
    <row r="97" spans="1:41">
      <c r="A97" s="58" t="s">
        <v>39</v>
      </c>
      <c r="B97" s="32">
        <v>1101</v>
      </c>
      <c r="C97" s="33" t="s">
        <v>95</v>
      </c>
      <c r="D97" s="33"/>
      <c r="E97" s="33" t="s">
        <v>1013</v>
      </c>
      <c r="F97" s="33" t="s">
        <v>97</v>
      </c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34">
        <v>1</v>
      </c>
      <c r="AI97" s="34">
        <v>1</v>
      </c>
      <c r="AJ97" s="34">
        <v>1</v>
      </c>
      <c r="AK97" s="34">
        <v>1</v>
      </c>
      <c r="AL97" s="10">
        <f t="shared" si="9"/>
        <v>4</v>
      </c>
      <c r="AM97" s="12">
        <v>33000</v>
      </c>
      <c r="AN97" s="12">
        <f t="shared" si="10"/>
        <v>132000</v>
      </c>
    </row>
    <row r="98" spans="1:41">
      <c r="A98" s="58" t="s">
        <v>39</v>
      </c>
      <c r="B98" s="32">
        <v>1101</v>
      </c>
      <c r="C98" s="33" t="s">
        <v>86</v>
      </c>
      <c r="D98" s="33"/>
      <c r="E98" s="33" t="s">
        <v>87</v>
      </c>
      <c r="F98" s="33" t="s">
        <v>88</v>
      </c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34">
        <v>1</v>
      </c>
      <c r="AI98" s="34">
        <v>1</v>
      </c>
      <c r="AJ98" s="34">
        <v>1</v>
      </c>
      <c r="AK98" s="34">
        <v>1</v>
      </c>
      <c r="AL98" s="10">
        <f t="shared" si="9"/>
        <v>4</v>
      </c>
      <c r="AM98" s="12">
        <v>33000</v>
      </c>
      <c r="AN98" s="12">
        <f t="shared" si="10"/>
        <v>132000</v>
      </c>
    </row>
    <row r="99" spans="1:41">
      <c r="A99" s="58" t="s">
        <v>39</v>
      </c>
      <c r="B99" s="32">
        <v>1402</v>
      </c>
      <c r="C99" s="33" t="s">
        <v>610</v>
      </c>
      <c r="D99" s="33"/>
      <c r="E99" s="33" t="s">
        <v>1014</v>
      </c>
      <c r="F99" s="33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34">
        <v>1</v>
      </c>
      <c r="AI99" s="34">
        <v>1</v>
      </c>
      <c r="AJ99" s="34">
        <v>1</v>
      </c>
      <c r="AK99" s="34">
        <v>1</v>
      </c>
      <c r="AL99" s="10">
        <f t="shared" si="9"/>
        <v>4</v>
      </c>
      <c r="AM99" s="12">
        <v>33000</v>
      </c>
      <c r="AN99" s="12">
        <f t="shared" si="10"/>
        <v>132000</v>
      </c>
    </row>
    <row r="100" spans="1:41">
      <c r="A100" s="58" t="s">
        <v>39</v>
      </c>
      <c r="B100" s="32">
        <v>1402</v>
      </c>
      <c r="C100" s="33" t="s">
        <v>1015</v>
      </c>
      <c r="D100" s="33"/>
      <c r="E100" s="33" t="s">
        <v>1016</v>
      </c>
      <c r="F100" s="33" t="s">
        <v>1017</v>
      </c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34">
        <v>1</v>
      </c>
      <c r="AI100" s="34">
        <v>1</v>
      </c>
      <c r="AJ100" s="34">
        <v>1</v>
      </c>
      <c r="AK100" s="34">
        <v>1</v>
      </c>
      <c r="AL100" s="10">
        <f t="shared" si="9"/>
        <v>4</v>
      </c>
      <c r="AM100" s="12">
        <v>33000</v>
      </c>
      <c r="AN100" s="12">
        <f t="shared" si="10"/>
        <v>132000</v>
      </c>
    </row>
    <row r="101" spans="1:41" ht="12.75" customHeight="1">
      <c r="A101" s="41"/>
      <c r="B101" s="41"/>
      <c r="C101" s="42"/>
      <c r="D101" s="42"/>
      <c r="E101" s="42"/>
      <c r="F101" s="41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43"/>
      <c r="AM101" s="44"/>
      <c r="AN101" s="44"/>
    </row>
    <row r="102" spans="1:41">
      <c r="A102" s="3"/>
      <c r="G102" s="16">
        <f t="shared" ref="G102:AL102" si="11">SUM(G10:G101)</f>
        <v>16</v>
      </c>
      <c r="H102" s="16">
        <f t="shared" si="11"/>
        <v>16</v>
      </c>
      <c r="I102" s="16">
        <f t="shared" si="11"/>
        <v>16</v>
      </c>
      <c r="J102" s="16">
        <f t="shared" si="11"/>
        <v>14</v>
      </c>
      <c r="K102" s="16">
        <f t="shared" si="11"/>
        <v>15</v>
      </c>
      <c r="L102" s="16">
        <f t="shared" si="11"/>
        <v>16</v>
      </c>
      <c r="M102" s="16">
        <f t="shared" si="11"/>
        <v>16</v>
      </c>
      <c r="N102" s="16">
        <f t="shared" si="11"/>
        <v>14</v>
      </c>
      <c r="O102" s="16">
        <f t="shared" si="11"/>
        <v>14</v>
      </c>
      <c r="P102" s="16">
        <f t="shared" si="11"/>
        <v>14</v>
      </c>
      <c r="Q102" s="16">
        <f t="shared" si="11"/>
        <v>14</v>
      </c>
      <c r="R102" s="16">
        <f t="shared" si="11"/>
        <v>14</v>
      </c>
      <c r="S102" s="16">
        <f t="shared" si="11"/>
        <v>14</v>
      </c>
      <c r="T102" s="16">
        <f t="shared" si="11"/>
        <v>14</v>
      </c>
      <c r="U102" s="16">
        <f t="shared" si="11"/>
        <v>14</v>
      </c>
      <c r="V102" s="16">
        <f t="shared" si="11"/>
        <v>13</v>
      </c>
      <c r="W102" s="16">
        <f t="shared" si="11"/>
        <v>13</v>
      </c>
      <c r="X102" s="16">
        <f t="shared" si="11"/>
        <v>13</v>
      </c>
      <c r="Y102" s="16">
        <f t="shared" si="11"/>
        <v>14</v>
      </c>
      <c r="Z102" s="16">
        <f t="shared" si="11"/>
        <v>14</v>
      </c>
      <c r="AA102" s="16">
        <f t="shared" si="11"/>
        <v>15</v>
      </c>
      <c r="AB102" s="16">
        <f t="shared" si="11"/>
        <v>15</v>
      </c>
      <c r="AC102" s="16">
        <f t="shared" si="11"/>
        <v>15</v>
      </c>
      <c r="AD102" s="16">
        <f t="shared" si="11"/>
        <v>15</v>
      </c>
      <c r="AE102" s="16">
        <f t="shared" si="11"/>
        <v>15</v>
      </c>
      <c r="AF102" s="16">
        <f t="shared" si="11"/>
        <v>16</v>
      </c>
      <c r="AG102" s="16">
        <f t="shared" si="11"/>
        <v>16</v>
      </c>
      <c r="AH102" s="16">
        <f t="shared" si="11"/>
        <v>16</v>
      </c>
      <c r="AI102" s="16">
        <f t="shared" si="11"/>
        <v>16</v>
      </c>
      <c r="AJ102" s="16">
        <f t="shared" si="11"/>
        <v>15</v>
      </c>
      <c r="AK102" s="16">
        <f t="shared" si="11"/>
        <v>15</v>
      </c>
      <c r="AL102" s="16">
        <f t="shared" si="11"/>
        <v>457</v>
      </c>
      <c r="AO102" s="3" t="s">
        <v>31</v>
      </c>
    </row>
    <row r="103" spans="1:41">
      <c r="A103" s="3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41">
      <c r="A104" s="3"/>
      <c r="AM104" s="17" t="s">
        <v>32</v>
      </c>
      <c r="AN104" s="18">
        <f>SUM(AN10:AN103)</f>
        <v>15243000</v>
      </c>
    </row>
    <row r="105" spans="1:41" ht="17.25" customHeight="1" thickBot="1">
      <c r="A105" s="19"/>
      <c r="B105" s="20"/>
      <c r="C105" s="19"/>
      <c r="D105" s="19"/>
      <c r="E105" s="19"/>
    </row>
    <row r="106" spans="1:41" ht="17.25" customHeight="1" thickBot="1">
      <c r="A106" s="70" t="s">
        <v>156</v>
      </c>
      <c r="B106" s="70"/>
      <c r="C106" s="70"/>
      <c r="D106" s="70"/>
      <c r="E106" s="70"/>
      <c r="F106" s="70"/>
      <c r="G106" s="68">
        <v>45778</v>
      </c>
      <c r="H106" s="68">
        <v>45779</v>
      </c>
      <c r="I106" s="68">
        <v>45780</v>
      </c>
      <c r="J106" s="68">
        <v>45781</v>
      </c>
      <c r="K106" s="68">
        <v>45782</v>
      </c>
      <c r="L106" s="68">
        <v>45783</v>
      </c>
      <c r="M106" s="68">
        <v>45784</v>
      </c>
      <c r="N106" s="68">
        <v>45785</v>
      </c>
      <c r="O106" s="68">
        <v>45786</v>
      </c>
      <c r="P106" s="68">
        <v>45787</v>
      </c>
      <c r="Q106" s="68">
        <v>45788</v>
      </c>
      <c r="R106" s="68">
        <v>45789</v>
      </c>
      <c r="S106" s="68">
        <v>45790</v>
      </c>
      <c r="T106" s="68">
        <v>45791</v>
      </c>
      <c r="U106" s="68">
        <v>45792</v>
      </c>
      <c r="V106" s="68">
        <v>45793</v>
      </c>
      <c r="W106" s="68">
        <v>45794</v>
      </c>
      <c r="X106" s="68">
        <v>45795</v>
      </c>
      <c r="Y106" s="68">
        <v>45796</v>
      </c>
      <c r="Z106" s="68">
        <v>45797</v>
      </c>
      <c r="AA106" s="68">
        <v>45798</v>
      </c>
      <c r="AB106" s="68">
        <v>45799</v>
      </c>
      <c r="AC106" s="68">
        <v>45800</v>
      </c>
      <c r="AD106" s="68">
        <v>45801</v>
      </c>
      <c r="AE106" s="68">
        <v>45802</v>
      </c>
      <c r="AF106" s="68">
        <v>45803</v>
      </c>
      <c r="AG106" s="68">
        <v>45804</v>
      </c>
      <c r="AH106" s="68">
        <v>45805</v>
      </c>
      <c r="AI106" s="68">
        <v>45806</v>
      </c>
      <c r="AJ106" s="68">
        <v>45807</v>
      </c>
      <c r="AK106" s="68">
        <v>45808</v>
      </c>
      <c r="AL106" s="65" t="s">
        <v>157</v>
      </c>
      <c r="AM106" s="65"/>
      <c r="AN106" s="65"/>
    </row>
    <row r="107" spans="1:41" ht="12.75" customHeight="1" thickBot="1">
      <c r="A107" s="70"/>
      <c r="B107" s="70"/>
      <c r="C107" s="70"/>
      <c r="D107" s="70"/>
      <c r="E107" s="70"/>
      <c r="F107" s="70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  <c r="AH107" s="68"/>
      <c r="AI107" s="68"/>
      <c r="AJ107" s="68"/>
      <c r="AK107" s="68"/>
      <c r="AL107" s="65"/>
      <c r="AM107" s="65"/>
      <c r="AN107" s="65"/>
    </row>
    <row r="108" spans="1:41" ht="11.25" hidden="1" customHeight="1" thickBot="1">
      <c r="A108" s="70"/>
      <c r="B108" s="70"/>
      <c r="C108" s="70"/>
      <c r="D108" s="70"/>
      <c r="E108" s="70"/>
      <c r="F108" s="70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  <c r="AJ108" s="68"/>
      <c r="AK108" s="68"/>
      <c r="AL108" s="65"/>
      <c r="AM108" s="65"/>
      <c r="AN108" s="65"/>
    </row>
    <row r="109" spans="1:41" ht="17.25" customHeight="1">
      <c r="A109" s="69" t="s">
        <v>33</v>
      </c>
      <c r="B109" s="69"/>
      <c r="C109" s="69"/>
      <c r="D109" s="69"/>
      <c r="E109" s="69"/>
      <c r="F109" s="69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  <c r="AJ109" s="68"/>
      <c r="AK109" s="68"/>
      <c r="AL109" s="21" t="s">
        <v>5</v>
      </c>
      <c r="AM109" s="21" t="s">
        <v>6</v>
      </c>
      <c r="AN109" s="22" t="s">
        <v>7</v>
      </c>
    </row>
    <row r="110" spans="1:41" ht="17.25" customHeight="1">
      <c r="A110" s="23">
        <v>1</v>
      </c>
      <c r="B110" s="67" t="s">
        <v>34</v>
      </c>
      <c r="C110" s="67"/>
      <c r="D110" s="67"/>
      <c r="E110" s="67"/>
      <c r="F110" s="67"/>
      <c r="G110" s="45">
        <v>2</v>
      </c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24">
        <f>SUM(G110:AK110)</f>
        <v>2</v>
      </c>
      <c r="AM110" s="15">
        <v>8500</v>
      </c>
      <c r="AN110" s="15">
        <f>AM110*AL110</f>
        <v>17000</v>
      </c>
    </row>
    <row r="112" spans="1:41" ht="11.25" customHeight="1">
      <c r="AL112" s="25"/>
      <c r="AM112" s="26" t="s">
        <v>35</v>
      </c>
      <c r="AN112" s="27">
        <f>AN104</f>
        <v>15243000</v>
      </c>
      <c r="AO112" s="25"/>
    </row>
    <row r="113" spans="3:43" ht="11.25" customHeight="1">
      <c r="AL113" s="25"/>
      <c r="AM113" s="26" t="s">
        <v>34</v>
      </c>
      <c r="AN113" s="27">
        <f>AN110</f>
        <v>17000</v>
      </c>
      <c r="AO113" s="25"/>
    </row>
    <row r="114" spans="3:43" ht="14.25" customHeight="1">
      <c r="AL114" s="25"/>
      <c r="AM114" s="28"/>
      <c r="AN114" s="28"/>
      <c r="AO114" s="25"/>
    </row>
    <row r="115" spans="3:43" ht="14.25" customHeight="1">
      <c r="AL115" s="25"/>
      <c r="AM115" s="29" t="s">
        <v>36</v>
      </c>
      <c r="AN115" s="30">
        <f>SUM(AN112:AN113)</f>
        <v>15260000</v>
      </c>
      <c r="AO115" s="25"/>
    </row>
    <row r="116" spans="3:43" ht="14.25" customHeight="1">
      <c r="AL116" s="25"/>
      <c r="AM116" s="29" t="s">
        <v>37</v>
      </c>
      <c r="AN116" s="30">
        <f>AN115*0.19</f>
        <v>2899400</v>
      </c>
      <c r="AO116" s="25"/>
      <c r="AP116" s="64"/>
      <c r="AQ116" s="64"/>
    </row>
    <row r="117" spans="3:43" ht="14.25" customHeight="1">
      <c r="AL117" s="25"/>
      <c r="AM117" s="29" t="s">
        <v>32</v>
      </c>
      <c r="AN117" s="30">
        <f>+AN115+AN116</f>
        <v>18159400</v>
      </c>
      <c r="AO117" s="25"/>
      <c r="AP117" s="2"/>
      <c r="AQ117" s="2"/>
    </row>
    <row r="118" spans="3:43" ht="14.25" customHeight="1">
      <c r="AL118" s="25"/>
      <c r="AM118" s="25"/>
      <c r="AN118" s="25"/>
      <c r="AO118" s="25"/>
      <c r="AP118" s="2"/>
      <c r="AQ118" s="2"/>
    </row>
    <row r="119" spans="3:43" ht="14.25" customHeight="1">
      <c r="AL119" s="25"/>
      <c r="AM119" s="25"/>
      <c r="AN119" s="25"/>
      <c r="AO119" s="25"/>
      <c r="AP119" s="2"/>
      <c r="AQ119" s="2"/>
    </row>
    <row r="120" spans="3:43" ht="14.25" customHeight="1">
      <c r="AL120" s="28"/>
      <c r="AO120" s="28"/>
      <c r="AP120" s="2"/>
      <c r="AQ120" s="2"/>
    </row>
    <row r="121" spans="3:43" ht="14.25" customHeight="1">
      <c r="AL121" s="25"/>
      <c r="AO121" s="25"/>
      <c r="AP121" s="31"/>
      <c r="AQ121" s="31"/>
    </row>
    <row r="122" spans="3:43" ht="14.25" customHeight="1">
      <c r="AL122" s="25"/>
      <c r="AO122" s="25"/>
      <c r="AP122" s="31"/>
      <c r="AQ122" s="31"/>
    </row>
    <row r="123" spans="3:43" ht="14.25" customHeight="1">
      <c r="AL123" s="25"/>
      <c r="AO123" s="25"/>
    </row>
    <row r="124" spans="3:43" ht="20.25">
      <c r="AL124" s="25"/>
      <c r="AO124" s="25"/>
    </row>
    <row r="125" spans="3:43" ht="20.25">
      <c r="AL125" s="25"/>
      <c r="AO125" s="25"/>
    </row>
    <row r="127" spans="3:43">
      <c r="C127" s="66"/>
      <c r="D127" s="66"/>
    </row>
  </sheetData>
  <autoFilter ref="AL9:AN100" xr:uid="{00000000-0001-0000-0000-000000000000}"/>
  <sortState xmlns:xlrd2="http://schemas.microsoft.com/office/spreadsheetml/2017/richdata2" ref="A53:AN66">
    <sortCondition ref="B53:B66"/>
  </sortState>
  <mergeCells count="73">
    <mergeCell ref="AC106:AC109"/>
    <mergeCell ref="AD106:AD109"/>
    <mergeCell ref="O106:O109"/>
    <mergeCell ref="P106:P109"/>
    <mergeCell ref="Q106:Q109"/>
    <mergeCell ref="R106:R109"/>
    <mergeCell ref="S106:S109"/>
    <mergeCell ref="T106:T109"/>
    <mergeCell ref="U106:U109"/>
    <mergeCell ref="V106:V109"/>
    <mergeCell ref="W106:W109"/>
    <mergeCell ref="X106:X109"/>
    <mergeCell ref="Y106:Y109"/>
    <mergeCell ref="Z106:Z109"/>
    <mergeCell ref="AH6:AH9"/>
    <mergeCell ref="AI6:AI9"/>
    <mergeCell ref="AJ6:AJ9"/>
    <mergeCell ref="AK6:AK9"/>
    <mergeCell ref="AE106:AE109"/>
    <mergeCell ref="AF106:AF109"/>
    <mergeCell ref="AG106:AG109"/>
    <mergeCell ref="AH106:AH109"/>
    <mergeCell ref="AI106:AI109"/>
    <mergeCell ref="AJ106:AJ109"/>
    <mergeCell ref="AK106:AK109"/>
    <mergeCell ref="AB6:AB9"/>
    <mergeCell ref="AC6:AC9"/>
    <mergeCell ref="AD6:AD9"/>
    <mergeCell ref="AE6:AE9"/>
    <mergeCell ref="AG6:AG9"/>
    <mergeCell ref="AA6:AA9"/>
    <mergeCell ref="Q6:Q9"/>
    <mergeCell ref="R6:R9"/>
    <mergeCell ref="S6:S9"/>
    <mergeCell ref="T6:T9"/>
    <mergeCell ref="U6:U9"/>
    <mergeCell ref="V6:V9"/>
    <mergeCell ref="W6:W9"/>
    <mergeCell ref="X6:X9"/>
    <mergeCell ref="Y6:Y9"/>
    <mergeCell ref="Z6:Z9"/>
    <mergeCell ref="AP116:AQ116"/>
    <mergeCell ref="C127:D127"/>
    <mergeCell ref="AL106:AN108"/>
    <mergeCell ref="A109:F109"/>
    <mergeCell ref="B110:F110"/>
    <mergeCell ref="A106:F108"/>
    <mergeCell ref="G106:G109"/>
    <mergeCell ref="H106:H109"/>
    <mergeCell ref="I106:I109"/>
    <mergeCell ref="J106:J109"/>
    <mergeCell ref="K106:K109"/>
    <mergeCell ref="L106:L109"/>
    <mergeCell ref="M106:M109"/>
    <mergeCell ref="N106:N109"/>
    <mergeCell ref="AA106:AA109"/>
    <mergeCell ref="AB106:AB109"/>
    <mergeCell ref="A1:F5"/>
    <mergeCell ref="G1:AN3"/>
    <mergeCell ref="G4:AN5"/>
    <mergeCell ref="A6:F8"/>
    <mergeCell ref="G6:G9"/>
    <mergeCell ref="AL6:AN8"/>
    <mergeCell ref="AF6:AF9"/>
    <mergeCell ref="H6:H9"/>
    <mergeCell ref="I6:I9"/>
    <mergeCell ref="O6:O9"/>
    <mergeCell ref="P6:P9"/>
    <mergeCell ref="J6:J9"/>
    <mergeCell ref="K6:K9"/>
    <mergeCell ref="L6:L9"/>
    <mergeCell ref="M6:M9"/>
    <mergeCell ref="N6:N9"/>
  </mergeCells>
  <pageMargins left="0.25" right="0.25" top="0.75" bottom="0.75" header="0.511811023622047" footer="0.511811023622047"/>
  <pageSetup scale="7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H1</vt:lpstr>
      <vt:lpstr>H3</vt:lpstr>
      <vt:lpstr>ACONCAGUA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NELSON</dc:creator>
  <dc:description/>
  <cp:lastModifiedBy>CAROLINA W</cp:lastModifiedBy>
  <cp:revision>9</cp:revision>
  <cp:lastPrinted>2023-06-16T15:04:25Z</cp:lastPrinted>
  <dcterms:created xsi:type="dcterms:W3CDTF">2013-10-02T16:06:41Z</dcterms:created>
  <dcterms:modified xsi:type="dcterms:W3CDTF">2025-06-19T15:17:45Z</dcterms:modified>
  <dc:language>es-CL</dc:language>
</cp:coreProperties>
</file>
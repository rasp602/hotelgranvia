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ESCRITORIO\FE GRANDE\RESUMEN\JUNIO\"/>
    </mc:Choice>
  </mc:AlternateContent>
  <xr:revisionPtr revIDLastSave="0" documentId="13_ncr:1_{7E745B89-0802-42B5-AFC4-D1DDC01AD01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1" sheetId="2" r:id="rId1"/>
    <sheet name="H3" sheetId="3" r:id="rId2"/>
    <sheet name="H7" sheetId="4" r:id="rId3"/>
    <sheet name="ACONCAGUA" sheetId="1" r:id="rId4"/>
  </sheets>
  <definedNames>
    <definedName name="_xlnm._FilterDatabase" localSheetId="3" hidden="1">ACONCAGUA!$AK$9:$AM$23</definedName>
    <definedName name="_xlnm._FilterDatabase" localSheetId="0" hidden="1">'H1'!$B$9:$F$154</definedName>
    <definedName name="_xlnm._FilterDatabase" localSheetId="1" hidden="1">'H3'!$AK$9:$AM$9</definedName>
    <definedName name="_xlnm._FilterDatabase" localSheetId="2" hidden="1">'H7'!$AK$9:$AM$9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95" i="2" l="1"/>
  <c r="AM395" i="2" s="1"/>
  <c r="AK372" i="2"/>
  <c r="AM372" i="2" s="1"/>
  <c r="AK373" i="2"/>
  <c r="AM373" i="2" s="1"/>
  <c r="AK374" i="2"/>
  <c r="AM374" i="2" s="1"/>
  <c r="AK375" i="2"/>
  <c r="AM375" i="2" s="1"/>
  <c r="AK376" i="2"/>
  <c r="AM376" i="2" s="1"/>
  <c r="AK377" i="2"/>
  <c r="AM377" i="2" s="1"/>
  <c r="AK378" i="2"/>
  <c r="AM378" i="2" s="1"/>
  <c r="AK379" i="2"/>
  <c r="AM379" i="2" s="1"/>
  <c r="AK380" i="2"/>
  <c r="AM380" i="2" s="1"/>
  <c r="AK381" i="2"/>
  <c r="AM381" i="2" s="1"/>
  <c r="AK382" i="2"/>
  <c r="AM382" i="2" s="1"/>
  <c r="AK383" i="2"/>
  <c r="AM383" i="2" s="1"/>
  <c r="AK384" i="2"/>
  <c r="AM384" i="2" s="1"/>
  <c r="AK385" i="2"/>
  <c r="AM385" i="2" s="1"/>
  <c r="AK386" i="2"/>
  <c r="AM386" i="2" s="1"/>
  <c r="AK387" i="2"/>
  <c r="AM387" i="2" s="1"/>
  <c r="AK388" i="2"/>
  <c r="AM388" i="2" s="1"/>
  <c r="AK389" i="2"/>
  <c r="AM389" i="2" s="1"/>
  <c r="AK390" i="2"/>
  <c r="AM390" i="2" s="1"/>
  <c r="AK391" i="2"/>
  <c r="AM391" i="2" s="1"/>
  <c r="AK392" i="2"/>
  <c r="AM392" i="2" s="1"/>
  <c r="AK393" i="2"/>
  <c r="AM393" i="2" s="1"/>
  <c r="AK394" i="2"/>
  <c r="AM394" i="2" s="1"/>
  <c r="AK396" i="2"/>
  <c r="AM396" i="2" s="1"/>
  <c r="AK397" i="2"/>
  <c r="AM397" i="2" s="1"/>
  <c r="AK615" i="2"/>
  <c r="AM615" i="2" s="1"/>
  <c r="AK616" i="2"/>
  <c r="AM616" i="2" s="1"/>
  <c r="AK617" i="2"/>
  <c r="AM617" i="2" s="1"/>
  <c r="AK618" i="2"/>
  <c r="AM618" i="2" s="1"/>
  <c r="AK619" i="2"/>
  <c r="AM619" i="2" s="1"/>
  <c r="AK620" i="2"/>
  <c r="AM620" i="2" s="1"/>
  <c r="AK621" i="2"/>
  <c r="AM621" i="2" s="1"/>
  <c r="AK622" i="2"/>
  <c r="AM622" i="2" s="1"/>
  <c r="AK623" i="2"/>
  <c r="AM623" i="2" s="1"/>
  <c r="AK624" i="2"/>
  <c r="AM624" i="2" s="1"/>
  <c r="AK625" i="2"/>
  <c r="AM625" i="2" s="1"/>
  <c r="AK626" i="2"/>
  <c r="AM626" i="2" s="1"/>
  <c r="AK627" i="2"/>
  <c r="AM627" i="2" s="1"/>
  <c r="AK628" i="2"/>
  <c r="AM628" i="2" s="1"/>
  <c r="AK629" i="2"/>
  <c r="AM629" i="2" s="1"/>
  <c r="AK630" i="2"/>
  <c r="AM630" i="2" s="1"/>
  <c r="AK631" i="2"/>
  <c r="AM631" i="2" s="1"/>
  <c r="AK632" i="2"/>
  <c r="AM632" i="2" s="1"/>
  <c r="AK633" i="2"/>
  <c r="AM633" i="2" s="1"/>
  <c r="AK634" i="2"/>
  <c r="AM634" i="2" s="1"/>
  <c r="AK635" i="2"/>
  <c r="AM635" i="2" s="1"/>
  <c r="AK647" i="2"/>
  <c r="H637" i="2"/>
  <c r="I637" i="2"/>
  <c r="J637" i="2"/>
  <c r="K637" i="2"/>
  <c r="L637" i="2"/>
  <c r="M637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AE637" i="2"/>
  <c r="AF637" i="2"/>
  <c r="AG637" i="2"/>
  <c r="AH637" i="2"/>
  <c r="AI637" i="2"/>
  <c r="AJ637" i="2"/>
  <c r="G637" i="2"/>
  <c r="AK558" i="2"/>
  <c r="AM558" i="2" s="1"/>
  <c r="AK559" i="2"/>
  <c r="AM559" i="2" s="1"/>
  <c r="AK560" i="2"/>
  <c r="AM560" i="2" s="1"/>
  <c r="AK561" i="2"/>
  <c r="AM561" i="2" s="1"/>
  <c r="AK562" i="2"/>
  <c r="AM562" i="2" s="1"/>
  <c r="AK563" i="2"/>
  <c r="AM563" i="2" s="1"/>
  <c r="AK564" i="2"/>
  <c r="AM564" i="2" s="1"/>
  <c r="AK565" i="2"/>
  <c r="AM565" i="2" s="1"/>
  <c r="AK566" i="2"/>
  <c r="AM566" i="2" s="1"/>
  <c r="AK567" i="2"/>
  <c r="AM567" i="2" s="1"/>
  <c r="AK568" i="2"/>
  <c r="AM568" i="2" s="1"/>
  <c r="AK569" i="2"/>
  <c r="AM569" i="2" s="1"/>
  <c r="AK570" i="2"/>
  <c r="AM570" i="2" s="1"/>
  <c r="AK571" i="2"/>
  <c r="AM571" i="2" s="1"/>
  <c r="AK572" i="2"/>
  <c r="AM572" i="2" s="1"/>
  <c r="AK573" i="2"/>
  <c r="AM573" i="2" s="1"/>
  <c r="AK574" i="2"/>
  <c r="AM574" i="2" s="1"/>
  <c r="AK575" i="2"/>
  <c r="AM575" i="2" s="1"/>
  <c r="AK576" i="2"/>
  <c r="AM576" i="2" s="1"/>
  <c r="AK577" i="2"/>
  <c r="AM577" i="2" s="1"/>
  <c r="AK578" i="2"/>
  <c r="AM578" i="2" s="1"/>
  <c r="AK579" i="2"/>
  <c r="AM579" i="2" s="1"/>
  <c r="AK580" i="2"/>
  <c r="AM580" i="2" s="1"/>
  <c r="AK581" i="2"/>
  <c r="AM581" i="2" s="1"/>
  <c r="AK582" i="2"/>
  <c r="AM582" i="2" s="1"/>
  <c r="AK613" i="2"/>
  <c r="AM613" i="2" s="1"/>
  <c r="AK603" i="2"/>
  <c r="AM603" i="2" s="1"/>
  <c r="AK604" i="2"/>
  <c r="AM604" i="2" s="1"/>
  <c r="AK605" i="2"/>
  <c r="AM605" i="2" s="1"/>
  <c r="AK606" i="2"/>
  <c r="AM606" i="2" s="1"/>
  <c r="AK607" i="2"/>
  <c r="AM607" i="2" s="1"/>
  <c r="AK608" i="2"/>
  <c r="AM608" i="2" s="1"/>
  <c r="AK609" i="2"/>
  <c r="AM609" i="2" s="1"/>
  <c r="AK610" i="2"/>
  <c r="AM610" i="2" s="1"/>
  <c r="AK611" i="2"/>
  <c r="AM611" i="2" s="1"/>
  <c r="AK612" i="2"/>
  <c r="AM612" i="2" s="1"/>
  <c r="AK614" i="2"/>
  <c r="AM614" i="2" s="1"/>
  <c r="AK587" i="2" l="1"/>
  <c r="AM587" i="2" s="1"/>
  <c r="AK588" i="2"/>
  <c r="AM588" i="2" s="1"/>
  <c r="AK589" i="2"/>
  <c r="AM589" i="2" s="1"/>
  <c r="AK590" i="2"/>
  <c r="AM590" i="2" s="1"/>
  <c r="AK591" i="2"/>
  <c r="AM591" i="2" s="1"/>
  <c r="AK592" i="2"/>
  <c r="AM592" i="2" s="1"/>
  <c r="AK593" i="2"/>
  <c r="AM593" i="2" s="1"/>
  <c r="AK594" i="2"/>
  <c r="AM594" i="2" s="1"/>
  <c r="AK595" i="2"/>
  <c r="AM595" i="2" s="1"/>
  <c r="AK596" i="2"/>
  <c r="AM596" i="2" s="1"/>
  <c r="AK597" i="2"/>
  <c r="AM597" i="2" s="1"/>
  <c r="AK598" i="2"/>
  <c r="AM598" i="2" s="1"/>
  <c r="AK599" i="2"/>
  <c r="AM599" i="2" s="1"/>
  <c r="AK600" i="2"/>
  <c r="AM600" i="2" s="1"/>
  <c r="AK601" i="2"/>
  <c r="AM601" i="2" s="1"/>
  <c r="AK602" i="2"/>
  <c r="AM602" i="2" s="1"/>
  <c r="AK107" i="3"/>
  <c r="AK56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G48" i="4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G124" i="1"/>
  <c r="AK99" i="1"/>
  <c r="AM99" i="1" s="1"/>
  <c r="AK100" i="1"/>
  <c r="AM100" i="1" s="1"/>
  <c r="AK101" i="1"/>
  <c r="AM101" i="1" s="1"/>
  <c r="AK102" i="1"/>
  <c r="AM102" i="1" s="1"/>
  <c r="AK103" i="1"/>
  <c r="AM103" i="1" s="1"/>
  <c r="AK104" i="1"/>
  <c r="AM104" i="1" s="1"/>
  <c r="AK105" i="1"/>
  <c r="AM105" i="1" s="1"/>
  <c r="AK106" i="1"/>
  <c r="AM106" i="1" s="1"/>
  <c r="AK107" i="1"/>
  <c r="AM107" i="1" s="1"/>
  <c r="AK108" i="1"/>
  <c r="AM108" i="1" s="1"/>
  <c r="AK109" i="1"/>
  <c r="AM109" i="1" s="1"/>
  <c r="AK110" i="1"/>
  <c r="AM110" i="1" s="1"/>
  <c r="AK111" i="1"/>
  <c r="AM111" i="1" s="1"/>
  <c r="AK112" i="1"/>
  <c r="AM112" i="1" s="1"/>
  <c r="AK113" i="1"/>
  <c r="AM113" i="1" s="1"/>
  <c r="AK114" i="1"/>
  <c r="AM114" i="1" s="1"/>
  <c r="AK115" i="1"/>
  <c r="AM115" i="1" s="1"/>
  <c r="AK116" i="1"/>
  <c r="AM116" i="1" s="1"/>
  <c r="AK117" i="1"/>
  <c r="AM117" i="1" s="1"/>
  <c r="AK118" i="1"/>
  <c r="AM118" i="1" s="1"/>
  <c r="AK91" i="3"/>
  <c r="AM91" i="3" s="1"/>
  <c r="AK92" i="3"/>
  <c r="AM92" i="3"/>
  <c r="AK90" i="3"/>
  <c r="AM90" i="3" s="1"/>
  <c r="AK583" i="2" l="1"/>
  <c r="AM583" i="2" s="1"/>
  <c r="AK79" i="1"/>
  <c r="AM79" i="1" s="1"/>
  <c r="AK155" i="2"/>
  <c r="AM155" i="2" s="1"/>
  <c r="AK156" i="2"/>
  <c r="AM156" i="2" s="1"/>
  <c r="AK157" i="2"/>
  <c r="AM157" i="2" s="1"/>
  <c r="AK158" i="2"/>
  <c r="AM158" i="2" s="1"/>
  <c r="AK159" i="2"/>
  <c r="AM159" i="2" s="1"/>
  <c r="AK160" i="2"/>
  <c r="AM160" i="2" s="1"/>
  <c r="AK161" i="2"/>
  <c r="AM161" i="2" s="1"/>
  <c r="AK162" i="2"/>
  <c r="AM162" i="2" s="1"/>
  <c r="AK163" i="2"/>
  <c r="AM163" i="2" s="1"/>
  <c r="AK164" i="2"/>
  <c r="AM164" i="2" s="1"/>
  <c r="AK165" i="2"/>
  <c r="AM165" i="2" s="1"/>
  <c r="AK166" i="2"/>
  <c r="AM166" i="2" s="1"/>
  <c r="AK167" i="2"/>
  <c r="AM167" i="2" s="1"/>
  <c r="AK168" i="2"/>
  <c r="AM168" i="2" s="1"/>
  <c r="AK169" i="2"/>
  <c r="AM169" i="2" s="1"/>
  <c r="AK170" i="2"/>
  <c r="AM170" i="2" s="1"/>
  <c r="AK171" i="2"/>
  <c r="AM171" i="2" s="1"/>
  <c r="AK172" i="2"/>
  <c r="AM172" i="2" s="1"/>
  <c r="AK173" i="2"/>
  <c r="AM173" i="2" s="1"/>
  <c r="AK174" i="2"/>
  <c r="AM174" i="2" s="1"/>
  <c r="AK175" i="2"/>
  <c r="AM175" i="2" s="1"/>
  <c r="AK176" i="2"/>
  <c r="AM176" i="2" s="1"/>
  <c r="AK177" i="2"/>
  <c r="AM177" i="2" s="1"/>
  <c r="AK178" i="2"/>
  <c r="AM178" i="2" s="1"/>
  <c r="AK179" i="2"/>
  <c r="AM179" i="2" s="1"/>
  <c r="AK180" i="2"/>
  <c r="AM180" i="2" s="1"/>
  <c r="AK181" i="2"/>
  <c r="AM181" i="2" s="1"/>
  <c r="AK182" i="2"/>
  <c r="AM182" i="2" s="1"/>
  <c r="AK183" i="2"/>
  <c r="AM183" i="2" s="1"/>
  <c r="AK184" i="2"/>
  <c r="AM184" i="2" s="1"/>
  <c r="AK185" i="2"/>
  <c r="AM185" i="2" s="1"/>
  <c r="AK186" i="2"/>
  <c r="AM186" i="2" s="1"/>
  <c r="AK187" i="2"/>
  <c r="AM187" i="2" s="1"/>
  <c r="AK188" i="2"/>
  <c r="AM188" i="2" s="1"/>
  <c r="AK189" i="2"/>
  <c r="AM189" i="2" s="1"/>
  <c r="AK190" i="2"/>
  <c r="AM190" i="2" s="1"/>
  <c r="AK191" i="2"/>
  <c r="AM191" i="2" s="1"/>
  <c r="AK192" i="2"/>
  <c r="AM192" i="2" s="1"/>
  <c r="AK193" i="2"/>
  <c r="AM193" i="2" s="1"/>
  <c r="AK194" i="2"/>
  <c r="AM194" i="2" s="1"/>
  <c r="AK195" i="2"/>
  <c r="AM195" i="2" s="1"/>
  <c r="AK196" i="2"/>
  <c r="AM196" i="2" s="1"/>
  <c r="AK197" i="2"/>
  <c r="AM197" i="2" s="1"/>
  <c r="AK198" i="2"/>
  <c r="AM198" i="2" s="1"/>
  <c r="AK199" i="2"/>
  <c r="AM199" i="2" s="1"/>
  <c r="AK200" i="2"/>
  <c r="AM200" i="2" s="1"/>
  <c r="AK201" i="2"/>
  <c r="AM201" i="2" s="1"/>
  <c r="AK202" i="2"/>
  <c r="AM202" i="2" s="1"/>
  <c r="AK203" i="2"/>
  <c r="AM203" i="2" s="1"/>
  <c r="AK204" i="2"/>
  <c r="AM204" i="2" s="1"/>
  <c r="AK205" i="2"/>
  <c r="AM205" i="2" s="1"/>
  <c r="AK206" i="2"/>
  <c r="AM206" i="2" s="1"/>
  <c r="AK207" i="2"/>
  <c r="AM207" i="2" s="1"/>
  <c r="AK208" i="2"/>
  <c r="AM208" i="2" s="1"/>
  <c r="AK209" i="2"/>
  <c r="AM209" i="2" s="1"/>
  <c r="AK210" i="2"/>
  <c r="AM210" i="2" s="1"/>
  <c r="AK211" i="2"/>
  <c r="AM211" i="2" s="1"/>
  <c r="AK212" i="2"/>
  <c r="AM212" i="2" s="1"/>
  <c r="AK213" i="2"/>
  <c r="AM213" i="2" s="1"/>
  <c r="AK214" i="2"/>
  <c r="AM214" i="2" s="1"/>
  <c r="AK215" i="2"/>
  <c r="AM215" i="2" s="1"/>
  <c r="AK216" i="2"/>
  <c r="AM216" i="2" s="1"/>
  <c r="AK217" i="2"/>
  <c r="AM217" i="2" s="1"/>
  <c r="AK218" i="2"/>
  <c r="AM218" i="2" s="1"/>
  <c r="AK219" i="2"/>
  <c r="AM219" i="2" s="1"/>
  <c r="AK220" i="2"/>
  <c r="AM220" i="2" s="1"/>
  <c r="AK221" i="2"/>
  <c r="AM221" i="2" s="1"/>
  <c r="AK222" i="2"/>
  <c r="AM222" i="2" s="1"/>
  <c r="AK223" i="2"/>
  <c r="AM223" i="2" s="1"/>
  <c r="AK224" i="2"/>
  <c r="AM224" i="2" s="1"/>
  <c r="AK225" i="2"/>
  <c r="AM225" i="2" s="1"/>
  <c r="AK226" i="2"/>
  <c r="AM226" i="2" s="1"/>
  <c r="AK227" i="2"/>
  <c r="AM227" i="2" s="1"/>
  <c r="AK228" i="2"/>
  <c r="AM228" i="2" s="1"/>
  <c r="AK584" i="2" l="1"/>
  <c r="AM584" i="2" s="1"/>
  <c r="AK585" i="2"/>
  <c r="AM585" i="2" s="1"/>
  <c r="AK586" i="2"/>
  <c r="AM586" i="2" s="1"/>
  <c r="AK88" i="3"/>
  <c r="AM88" i="3" s="1"/>
  <c r="AK89" i="3"/>
  <c r="AM89" i="3" s="1"/>
  <c r="AK93" i="3"/>
  <c r="AM93" i="3" s="1"/>
  <c r="AK94" i="3"/>
  <c r="AM94" i="3" s="1"/>
  <c r="AK95" i="3"/>
  <c r="AM95" i="3" s="1"/>
  <c r="AK96" i="3"/>
  <c r="AM96" i="3" s="1"/>
  <c r="AK97" i="3"/>
  <c r="AM97" i="3" s="1"/>
  <c r="AK88" i="1"/>
  <c r="AM88" i="1" s="1"/>
  <c r="AK89" i="1"/>
  <c r="AM89" i="1" s="1"/>
  <c r="AK91" i="1"/>
  <c r="AM91" i="1" s="1"/>
  <c r="AK72" i="1"/>
  <c r="AM72" i="1" s="1"/>
  <c r="AK73" i="1"/>
  <c r="AM73" i="1" s="1"/>
  <c r="AK74" i="1"/>
  <c r="AM74" i="1" s="1"/>
  <c r="AK75" i="1"/>
  <c r="AM75" i="1"/>
  <c r="AK76" i="1"/>
  <c r="AM76" i="1" s="1"/>
  <c r="AK77" i="1"/>
  <c r="AM77" i="1" s="1"/>
  <c r="AK96" i="1"/>
  <c r="AM96" i="1" s="1"/>
  <c r="AK97" i="1"/>
  <c r="AM97" i="1" s="1"/>
  <c r="AK98" i="1"/>
  <c r="AM98" i="1" s="1"/>
  <c r="AK119" i="1"/>
  <c r="AM119" i="1" s="1"/>
  <c r="AK81" i="1"/>
  <c r="AM81" i="1" s="1"/>
  <c r="AK59" i="1"/>
  <c r="AM59" i="1" s="1"/>
  <c r="AK60" i="1"/>
  <c r="AM60" i="1" s="1"/>
  <c r="AK61" i="1"/>
  <c r="AM61" i="1" s="1"/>
  <c r="AK62" i="1"/>
  <c r="AM62" i="1" s="1"/>
  <c r="AK63" i="1"/>
  <c r="AM63" i="1" s="1"/>
  <c r="AK55" i="1"/>
  <c r="AM55" i="1" s="1"/>
  <c r="AK56" i="1"/>
  <c r="AM56" i="1" s="1"/>
  <c r="AK57" i="1"/>
  <c r="AM57" i="1" s="1"/>
  <c r="AK58" i="1"/>
  <c r="AM58" i="1" s="1"/>
  <c r="AK64" i="1"/>
  <c r="AM64" i="1" s="1"/>
  <c r="AK65" i="1"/>
  <c r="AM65" i="1" s="1"/>
  <c r="AK66" i="1"/>
  <c r="AM66" i="1" s="1"/>
  <c r="AK67" i="1"/>
  <c r="AM67" i="1" s="1"/>
  <c r="AK68" i="1"/>
  <c r="AM68" i="1" s="1"/>
  <c r="AK69" i="1"/>
  <c r="AM69" i="1" s="1"/>
  <c r="AK70" i="1"/>
  <c r="AM70" i="1" s="1"/>
  <c r="AK71" i="1"/>
  <c r="AM71" i="1" s="1"/>
  <c r="AK82" i="1"/>
  <c r="AM82" i="1" s="1"/>
  <c r="AK78" i="1"/>
  <c r="AM78" i="1" s="1"/>
  <c r="AK80" i="1"/>
  <c r="AM80" i="1" s="1"/>
  <c r="AK83" i="1"/>
  <c r="AM83" i="1" s="1"/>
  <c r="AK84" i="1"/>
  <c r="AM84" i="1" s="1"/>
  <c r="AK90" i="1"/>
  <c r="AM90" i="1" s="1"/>
  <c r="AK87" i="1"/>
  <c r="AM87" i="1" s="1"/>
  <c r="AK92" i="1"/>
  <c r="AM92" i="1" s="1"/>
  <c r="AK93" i="1"/>
  <c r="AM93" i="1" s="1"/>
  <c r="AK94" i="1"/>
  <c r="AM94" i="1" s="1"/>
  <c r="AK85" i="1"/>
  <c r="AM85" i="1" s="1"/>
  <c r="AK86" i="1"/>
  <c r="AM86" i="1" s="1"/>
  <c r="AK95" i="1"/>
  <c r="AM95" i="1" s="1"/>
  <c r="AK451" i="2"/>
  <c r="AM451" i="2" s="1"/>
  <c r="AK452" i="2"/>
  <c r="AM452" i="2" s="1"/>
  <c r="AK453" i="2"/>
  <c r="AM453" i="2" s="1"/>
  <c r="AK454" i="2"/>
  <c r="AM454" i="2" s="1"/>
  <c r="AK455" i="2"/>
  <c r="AM455" i="2" s="1"/>
  <c r="AK456" i="2"/>
  <c r="AM456" i="2" s="1"/>
  <c r="AK457" i="2"/>
  <c r="AM457" i="2" s="1"/>
  <c r="AK458" i="2"/>
  <c r="AM458" i="2" s="1"/>
  <c r="AK459" i="2"/>
  <c r="AM459" i="2" s="1"/>
  <c r="AK460" i="2"/>
  <c r="AM460" i="2" s="1"/>
  <c r="AK461" i="2"/>
  <c r="AM461" i="2" s="1"/>
  <c r="AK462" i="2"/>
  <c r="AM462" i="2" s="1"/>
  <c r="AK557" i="2"/>
  <c r="AM557" i="2" s="1"/>
  <c r="AK436" i="2"/>
  <c r="AM436" i="2" s="1"/>
  <c r="AK437" i="2"/>
  <c r="AM437" i="2" s="1"/>
  <c r="AK438" i="2"/>
  <c r="AM438" i="2" s="1"/>
  <c r="AK439" i="2"/>
  <c r="AM439" i="2" s="1"/>
  <c r="AK440" i="2"/>
  <c r="AM440" i="2" s="1"/>
  <c r="AK441" i="2"/>
  <c r="AM441" i="2" s="1"/>
  <c r="AK442" i="2"/>
  <c r="AM442" i="2" s="1"/>
  <c r="AK443" i="2"/>
  <c r="AM443" i="2" s="1"/>
  <c r="AK444" i="2"/>
  <c r="AM444" i="2" s="1"/>
  <c r="AK445" i="2"/>
  <c r="AM445" i="2" s="1"/>
  <c r="AK446" i="2"/>
  <c r="AM446" i="2" s="1"/>
  <c r="AK447" i="2"/>
  <c r="AM447" i="2" s="1"/>
  <c r="AK448" i="2"/>
  <c r="AM448" i="2" s="1"/>
  <c r="AK449" i="2"/>
  <c r="AM449" i="2" s="1"/>
  <c r="AK450" i="2"/>
  <c r="AM450" i="2" s="1"/>
  <c r="AK463" i="2"/>
  <c r="AM463" i="2" s="1"/>
  <c r="AK472" i="2"/>
  <c r="AM472" i="2" s="1"/>
  <c r="AK473" i="2"/>
  <c r="AM473" i="2" s="1"/>
  <c r="AK474" i="2"/>
  <c r="AM474" i="2" s="1"/>
  <c r="AK475" i="2"/>
  <c r="AM475" i="2" s="1"/>
  <c r="AK476" i="2"/>
  <c r="AM476" i="2" s="1"/>
  <c r="AK477" i="2"/>
  <c r="AM477" i="2" s="1"/>
  <c r="AK478" i="2"/>
  <c r="AM478" i="2" s="1"/>
  <c r="AK479" i="2"/>
  <c r="AM479" i="2" s="1"/>
  <c r="AK480" i="2"/>
  <c r="AM480" i="2" s="1"/>
  <c r="AK481" i="2"/>
  <c r="AM481" i="2" s="1"/>
  <c r="AK482" i="2"/>
  <c r="AM482" i="2" s="1"/>
  <c r="AK483" i="2"/>
  <c r="AM483" i="2" s="1"/>
  <c r="AK484" i="2"/>
  <c r="AM484" i="2" s="1"/>
  <c r="AK485" i="2"/>
  <c r="AM485" i="2" s="1"/>
  <c r="AK486" i="2"/>
  <c r="AM486" i="2" s="1"/>
  <c r="AK487" i="2"/>
  <c r="AM487" i="2" s="1"/>
  <c r="AK488" i="2"/>
  <c r="AM488" i="2" s="1"/>
  <c r="AK489" i="2"/>
  <c r="AM489" i="2" s="1"/>
  <c r="AK490" i="2"/>
  <c r="AM490" i="2" s="1"/>
  <c r="AK491" i="2"/>
  <c r="AM491" i="2" s="1"/>
  <c r="AK492" i="2"/>
  <c r="AM492" i="2" s="1"/>
  <c r="AK493" i="2"/>
  <c r="AM493" i="2" s="1"/>
  <c r="AK494" i="2"/>
  <c r="AM494" i="2" s="1"/>
  <c r="AK495" i="2"/>
  <c r="AM495" i="2" s="1"/>
  <c r="AK496" i="2"/>
  <c r="AM496" i="2" s="1"/>
  <c r="AK497" i="2"/>
  <c r="AM497" i="2" s="1"/>
  <c r="AK498" i="2"/>
  <c r="AM498" i="2" s="1"/>
  <c r="AK499" i="2"/>
  <c r="AM499" i="2" s="1"/>
  <c r="AK500" i="2"/>
  <c r="AM500" i="2" s="1"/>
  <c r="AK501" i="2"/>
  <c r="AM501" i="2" s="1"/>
  <c r="AK502" i="2"/>
  <c r="AM502" i="2" s="1"/>
  <c r="AK503" i="2"/>
  <c r="AM503" i="2" s="1"/>
  <c r="AK504" i="2"/>
  <c r="AM504" i="2" s="1"/>
  <c r="AK505" i="2"/>
  <c r="AM505" i="2" s="1"/>
  <c r="AK506" i="2"/>
  <c r="AM506" i="2" s="1"/>
  <c r="AK507" i="2"/>
  <c r="AM507" i="2" s="1"/>
  <c r="AK508" i="2"/>
  <c r="AM508" i="2" s="1"/>
  <c r="AK509" i="2"/>
  <c r="AM509" i="2" s="1"/>
  <c r="AK510" i="2"/>
  <c r="AM510" i="2" s="1"/>
  <c r="AK511" i="2"/>
  <c r="AM511" i="2" s="1"/>
  <c r="AK512" i="2"/>
  <c r="AM512" i="2" s="1"/>
  <c r="AK513" i="2"/>
  <c r="AM513" i="2" s="1"/>
  <c r="AK514" i="2"/>
  <c r="AM514" i="2" s="1"/>
  <c r="AK515" i="2"/>
  <c r="AM515" i="2" s="1"/>
  <c r="AK516" i="2"/>
  <c r="AM516" i="2" s="1"/>
  <c r="AK517" i="2"/>
  <c r="AM517" i="2" s="1"/>
  <c r="AK518" i="2"/>
  <c r="AM518" i="2" s="1"/>
  <c r="AK519" i="2"/>
  <c r="AM519" i="2" s="1"/>
  <c r="AK520" i="2"/>
  <c r="AM520" i="2" s="1"/>
  <c r="AK521" i="2"/>
  <c r="AM521" i="2" s="1"/>
  <c r="AK522" i="2"/>
  <c r="AM522" i="2" s="1"/>
  <c r="AK523" i="2"/>
  <c r="AM523" i="2" s="1"/>
  <c r="AK524" i="2"/>
  <c r="AM524" i="2" s="1"/>
  <c r="AK525" i="2"/>
  <c r="AM525" i="2" s="1"/>
  <c r="AK526" i="2"/>
  <c r="AM526" i="2" s="1"/>
  <c r="AK527" i="2"/>
  <c r="AM527" i="2" s="1"/>
  <c r="AK528" i="2"/>
  <c r="AM528" i="2" s="1"/>
  <c r="AK529" i="2"/>
  <c r="AM529" i="2" s="1"/>
  <c r="AK530" i="2"/>
  <c r="AM530" i="2" s="1"/>
  <c r="AK531" i="2"/>
  <c r="AM531" i="2" s="1"/>
  <c r="AK532" i="2"/>
  <c r="AM532" i="2" s="1"/>
  <c r="AK533" i="2"/>
  <c r="AM533" i="2" s="1"/>
  <c r="AK534" i="2"/>
  <c r="AM534" i="2" s="1"/>
  <c r="AK535" i="2"/>
  <c r="AM535" i="2" s="1"/>
  <c r="AK536" i="2"/>
  <c r="AM536" i="2" s="1"/>
  <c r="AK537" i="2"/>
  <c r="AM537" i="2" s="1"/>
  <c r="AK538" i="2"/>
  <c r="AM538" i="2" s="1"/>
  <c r="AK539" i="2"/>
  <c r="AM539" i="2" s="1"/>
  <c r="AK540" i="2"/>
  <c r="AM540" i="2" s="1"/>
  <c r="AK541" i="2"/>
  <c r="AM541" i="2" s="1"/>
  <c r="AK542" i="2"/>
  <c r="AM542" i="2" s="1"/>
  <c r="AK543" i="2"/>
  <c r="AM543" i="2" s="1"/>
  <c r="AK544" i="2"/>
  <c r="AM544" i="2" s="1"/>
  <c r="AK545" i="2"/>
  <c r="AM545" i="2" s="1"/>
  <c r="AK546" i="2"/>
  <c r="AM546" i="2" s="1"/>
  <c r="AK547" i="2"/>
  <c r="AM547" i="2" s="1"/>
  <c r="AK548" i="2"/>
  <c r="AM548" i="2" s="1"/>
  <c r="AK549" i="2"/>
  <c r="AM549" i="2" s="1"/>
  <c r="AK550" i="2"/>
  <c r="AM550" i="2" s="1"/>
  <c r="AK551" i="2"/>
  <c r="AM551" i="2" s="1"/>
  <c r="AK552" i="2"/>
  <c r="AM552" i="2" s="1"/>
  <c r="AK553" i="2"/>
  <c r="AM553" i="2" s="1"/>
  <c r="AK554" i="2"/>
  <c r="AM554" i="2" s="1"/>
  <c r="AK555" i="2"/>
  <c r="AM555" i="2" s="1"/>
  <c r="AK556" i="2"/>
  <c r="AM556" i="2" s="1"/>
  <c r="AK431" i="2"/>
  <c r="AM431" i="2" s="1"/>
  <c r="AK432" i="2"/>
  <c r="AM432" i="2" s="1"/>
  <c r="AK433" i="2"/>
  <c r="AM433" i="2" s="1"/>
  <c r="AK434" i="2"/>
  <c r="AM434" i="2" s="1"/>
  <c r="AK435" i="2"/>
  <c r="AM435" i="2" s="1"/>
  <c r="AK464" i="2"/>
  <c r="AM464" i="2" s="1"/>
  <c r="AK465" i="2"/>
  <c r="AM465" i="2" s="1"/>
  <c r="AK466" i="2"/>
  <c r="AM466" i="2" s="1"/>
  <c r="AK467" i="2"/>
  <c r="AM467" i="2" s="1"/>
  <c r="AK468" i="2"/>
  <c r="AM468" i="2" s="1"/>
  <c r="AK469" i="2"/>
  <c r="AM469" i="2" s="1"/>
  <c r="AK470" i="2"/>
  <c r="AM470" i="2" s="1"/>
  <c r="AK471" i="2"/>
  <c r="AM471" i="2" s="1"/>
  <c r="AK353" i="2" l="1"/>
  <c r="AM353" i="2" s="1"/>
  <c r="AK268" i="2"/>
  <c r="AM268" i="2" s="1"/>
  <c r="AK229" i="2"/>
  <c r="AM229" i="2" s="1"/>
  <c r="AK62" i="3" l="1"/>
  <c r="AM62" i="3" s="1"/>
  <c r="AK63" i="3"/>
  <c r="AM63" i="3" s="1"/>
  <c r="AK64" i="3"/>
  <c r="AM64" i="3" s="1"/>
  <c r="AK65" i="3"/>
  <c r="AM65" i="3" s="1"/>
  <c r="AK66" i="3"/>
  <c r="AM66" i="3" s="1"/>
  <c r="AK67" i="3"/>
  <c r="AM67" i="3" s="1"/>
  <c r="AK68" i="3"/>
  <c r="AM68" i="3" s="1"/>
  <c r="AK69" i="3"/>
  <c r="AM69" i="3" s="1"/>
  <c r="AK70" i="3"/>
  <c r="AM70" i="3" s="1"/>
  <c r="AK71" i="3"/>
  <c r="AM71" i="3" s="1"/>
  <c r="AK72" i="3"/>
  <c r="AM72" i="3" s="1"/>
  <c r="AK73" i="3"/>
  <c r="AM73" i="3" s="1"/>
  <c r="AK74" i="3"/>
  <c r="AM74" i="3" s="1"/>
  <c r="AK75" i="3"/>
  <c r="AM75" i="3" s="1"/>
  <c r="AK76" i="3"/>
  <c r="AM76" i="3" s="1"/>
  <c r="AK77" i="3"/>
  <c r="AM77" i="3" s="1"/>
  <c r="AK78" i="3"/>
  <c r="AM78" i="3" s="1"/>
  <c r="AK79" i="3"/>
  <c r="AM79" i="3" s="1"/>
  <c r="AK80" i="3"/>
  <c r="AM80" i="3" s="1"/>
  <c r="AK81" i="3"/>
  <c r="AM81" i="3" s="1"/>
  <c r="AK82" i="3"/>
  <c r="AM82" i="3" s="1"/>
  <c r="AK83" i="3"/>
  <c r="AM83" i="3" s="1"/>
  <c r="AK84" i="3"/>
  <c r="AM84" i="3" s="1"/>
  <c r="AK85" i="3"/>
  <c r="AM85" i="3" s="1"/>
  <c r="AK86" i="3"/>
  <c r="AM86" i="3" s="1"/>
  <c r="AK87" i="3"/>
  <c r="AM87" i="3" s="1"/>
  <c r="AK48" i="3"/>
  <c r="AM48" i="3" s="1"/>
  <c r="AK49" i="3"/>
  <c r="AM49" i="3" s="1"/>
  <c r="AK50" i="3"/>
  <c r="AM50" i="3" s="1"/>
  <c r="AK51" i="3"/>
  <c r="AM51" i="3" s="1"/>
  <c r="AK52" i="3"/>
  <c r="AM52" i="3" s="1"/>
  <c r="AK53" i="3"/>
  <c r="AM53" i="3" s="1"/>
  <c r="AK54" i="3"/>
  <c r="AM54" i="3" s="1"/>
  <c r="AK55" i="3"/>
  <c r="AM55" i="3" s="1"/>
  <c r="AK56" i="3"/>
  <c r="AM56" i="3" s="1"/>
  <c r="AK57" i="3"/>
  <c r="AM57" i="3" s="1"/>
  <c r="AK58" i="3"/>
  <c r="AM58" i="3" s="1"/>
  <c r="AK59" i="3"/>
  <c r="AM59" i="3" s="1"/>
  <c r="AK60" i="3"/>
  <c r="AM60" i="3" s="1"/>
  <c r="AK61" i="3"/>
  <c r="AM61" i="3" s="1"/>
  <c r="AK54" i="1"/>
  <c r="AM54" i="1" s="1"/>
  <c r="AK120" i="1"/>
  <c r="AM120" i="1" s="1"/>
  <c r="AK121" i="1"/>
  <c r="AM121" i="1" s="1"/>
  <c r="AK122" i="1"/>
  <c r="AM122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K49" i="1"/>
  <c r="AM49" i="1" s="1"/>
  <c r="AK50" i="1"/>
  <c r="AM50" i="1" s="1"/>
  <c r="AK51" i="1"/>
  <c r="AM51" i="1" s="1"/>
  <c r="AK52" i="1"/>
  <c r="AM52" i="1" s="1"/>
  <c r="AK53" i="1"/>
  <c r="AM53" i="1" s="1"/>
  <c r="AK402" i="2"/>
  <c r="AM402" i="2" s="1"/>
  <c r="AK403" i="2"/>
  <c r="AM403" i="2" s="1"/>
  <c r="AK404" i="2"/>
  <c r="AM404" i="2" s="1"/>
  <c r="AK405" i="2"/>
  <c r="AM405" i="2" s="1"/>
  <c r="AK406" i="2"/>
  <c r="AM406" i="2" s="1"/>
  <c r="AK407" i="2"/>
  <c r="AM407" i="2" s="1"/>
  <c r="AK408" i="2"/>
  <c r="AM408" i="2" s="1"/>
  <c r="AK409" i="2"/>
  <c r="AM409" i="2" s="1"/>
  <c r="AK410" i="2"/>
  <c r="AM410" i="2" s="1"/>
  <c r="AK411" i="2"/>
  <c r="AM411" i="2" s="1"/>
  <c r="AK412" i="2"/>
  <c r="AM412" i="2" s="1"/>
  <c r="AK413" i="2"/>
  <c r="AM413" i="2" s="1"/>
  <c r="AK414" i="2"/>
  <c r="AM414" i="2" s="1"/>
  <c r="AK415" i="2"/>
  <c r="AM415" i="2" s="1"/>
  <c r="AK416" i="2"/>
  <c r="AM416" i="2" s="1"/>
  <c r="AK417" i="2"/>
  <c r="AM417" i="2" s="1"/>
  <c r="AK418" i="2"/>
  <c r="AM418" i="2" s="1"/>
  <c r="AK419" i="2"/>
  <c r="AM419" i="2" s="1"/>
  <c r="AK420" i="2"/>
  <c r="AM420" i="2" s="1"/>
  <c r="AK421" i="2"/>
  <c r="AM421" i="2" s="1"/>
  <c r="AK422" i="2"/>
  <c r="AM422" i="2" s="1"/>
  <c r="AK352" i="2"/>
  <c r="AM352" i="2" s="1"/>
  <c r="AK263" i="2"/>
  <c r="AM263" i="2" s="1"/>
  <c r="AK302" i="2"/>
  <c r="AM302" i="2" s="1"/>
  <c r="AK319" i="2"/>
  <c r="AM319" i="2" s="1"/>
  <c r="AK371" i="2"/>
  <c r="AM371" i="2" s="1"/>
  <c r="AK262" i="2"/>
  <c r="AM262" i="2" s="1"/>
  <c r="AK292" i="2"/>
  <c r="AM292" i="2" s="1"/>
  <c r="AK295" i="2"/>
  <c r="AM295" i="2" s="1"/>
  <c r="AK334" i="2"/>
  <c r="AM334" i="2" s="1"/>
  <c r="AK343" i="2"/>
  <c r="AM343" i="2" s="1"/>
  <c r="AK256" i="2"/>
  <c r="AM256" i="2" s="1"/>
  <c r="AK338" i="2"/>
  <c r="AM338" i="2" s="1"/>
  <c r="AK258" i="2"/>
  <c r="AM258" i="2" s="1"/>
  <c r="AK333" i="2"/>
  <c r="AM333" i="2" s="1"/>
  <c r="AK332" i="2"/>
  <c r="AM332" i="2" s="1"/>
  <c r="AK272" i="2"/>
  <c r="AM272" i="2" s="1"/>
  <c r="AK294" i="2"/>
  <c r="AM294" i="2" s="1"/>
  <c r="AK312" i="2"/>
  <c r="AM312" i="2" s="1"/>
  <c r="AK279" i="2"/>
  <c r="AM279" i="2" s="1"/>
  <c r="AK355" i="2"/>
  <c r="AM355" i="2" s="1"/>
  <c r="AK313" i="2"/>
  <c r="AM313" i="2" s="1"/>
  <c r="AK314" i="2"/>
  <c r="AM314" i="2" s="1"/>
  <c r="AK356" i="2"/>
  <c r="AM356" i="2" s="1"/>
  <c r="AK242" i="2"/>
  <c r="AM242" i="2" s="1"/>
  <c r="AK398" i="2"/>
  <c r="AM398" i="2" s="1"/>
  <c r="AK399" i="2"/>
  <c r="AM399" i="2" s="1"/>
  <c r="AK257" i="2"/>
  <c r="AM257" i="2" s="1"/>
  <c r="AK243" i="2"/>
  <c r="AM243" i="2" s="1"/>
  <c r="AK400" i="2"/>
  <c r="AM400" i="2" s="1"/>
  <c r="AK337" i="2"/>
  <c r="AM337" i="2" s="1"/>
  <c r="AK401" i="2"/>
  <c r="AM401" i="2" s="1"/>
  <c r="AK318" i="2"/>
  <c r="AM318" i="2" s="1"/>
  <c r="AK19" i="4"/>
  <c r="AM19" i="4" s="1"/>
  <c r="AK20" i="4"/>
  <c r="AM20" i="4" s="1"/>
  <c r="AK21" i="4"/>
  <c r="AM21" i="4" s="1"/>
  <c r="AK36" i="4"/>
  <c r="AM36" i="4" s="1"/>
  <c r="AK37" i="4"/>
  <c r="AM37" i="4" s="1"/>
  <c r="AK38" i="4"/>
  <c r="AM38" i="4" s="1"/>
  <c r="AK39" i="4"/>
  <c r="AM39" i="4" s="1"/>
  <c r="AK40" i="4"/>
  <c r="AM40" i="4" s="1"/>
  <c r="AK26" i="1" l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4" i="1"/>
  <c r="AM34" i="1" s="1"/>
  <c r="AK35" i="1"/>
  <c r="AM35" i="1" s="1"/>
  <c r="AK36" i="1"/>
  <c r="AM36" i="1" s="1"/>
  <c r="AK37" i="1"/>
  <c r="AM37" i="1" s="1"/>
  <c r="AK25" i="1"/>
  <c r="AM25" i="1" s="1"/>
  <c r="AK38" i="1"/>
  <c r="AM38" i="1" s="1"/>
  <c r="AK39" i="1"/>
  <c r="AM39" i="1" s="1"/>
  <c r="AK24" i="1" l="1"/>
  <c r="AM24" i="1" s="1"/>
  <c r="AM126" i="1" s="1"/>
  <c r="AK430" i="2"/>
  <c r="AM430" i="2" s="1"/>
  <c r="AM56" i="4"/>
  <c r="AM59" i="4" s="1"/>
  <c r="AK46" i="4"/>
  <c r="AM46" i="4" s="1"/>
  <c r="AK45" i="4"/>
  <c r="AM45" i="4" s="1"/>
  <c r="AK44" i="4"/>
  <c r="AM44" i="4" s="1"/>
  <c r="AK43" i="4"/>
  <c r="AM43" i="4" s="1"/>
  <c r="AK42" i="4"/>
  <c r="AM42" i="4" s="1"/>
  <c r="AK41" i="4"/>
  <c r="AM41" i="4" s="1"/>
  <c r="AK35" i="4"/>
  <c r="AM35" i="4" s="1"/>
  <c r="AK34" i="4"/>
  <c r="AM34" i="4" s="1"/>
  <c r="AK33" i="4"/>
  <c r="AM33" i="4" s="1"/>
  <c r="AK32" i="4"/>
  <c r="AM32" i="4" s="1"/>
  <c r="AK31" i="4"/>
  <c r="AM31" i="4" s="1"/>
  <c r="AK30" i="4"/>
  <c r="AM30" i="4" s="1"/>
  <c r="AK29" i="4"/>
  <c r="AM29" i="4" s="1"/>
  <c r="AK28" i="4"/>
  <c r="AM28" i="4" s="1"/>
  <c r="AK27" i="4"/>
  <c r="AM27" i="4" s="1"/>
  <c r="AK26" i="4"/>
  <c r="AM26" i="4" s="1"/>
  <c r="AK25" i="4"/>
  <c r="AM25" i="4" s="1"/>
  <c r="AK24" i="4"/>
  <c r="AM24" i="4" s="1"/>
  <c r="AK23" i="4"/>
  <c r="AM23" i="4" s="1"/>
  <c r="AK22" i="4"/>
  <c r="AM22" i="4" s="1"/>
  <c r="AK18" i="4"/>
  <c r="AM18" i="4" s="1"/>
  <c r="AK17" i="4"/>
  <c r="AM17" i="4" s="1"/>
  <c r="AK16" i="4"/>
  <c r="AM16" i="4" s="1"/>
  <c r="AK15" i="4"/>
  <c r="AM15" i="4" s="1"/>
  <c r="AK14" i="4"/>
  <c r="AM14" i="4" s="1"/>
  <c r="AK13" i="4"/>
  <c r="AM13" i="4" s="1"/>
  <c r="AK12" i="4"/>
  <c r="AM12" i="4" s="1"/>
  <c r="AK11" i="4"/>
  <c r="AM11" i="4" s="1"/>
  <c r="AK10" i="4"/>
  <c r="AK19" i="1"/>
  <c r="AM19" i="1" s="1"/>
  <c r="AK370" i="2"/>
  <c r="AM370" i="2" s="1"/>
  <c r="AK423" i="2"/>
  <c r="AM423" i="2" s="1"/>
  <c r="AK424" i="2"/>
  <c r="AM424" i="2" s="1"/>
  <c r="AK425" i="2"/>
  <c r="AM425" i="2" s="1"/>
  <c r="AK426" i="2"/>
  <c r="AM426" i="2" s="1"/>
  <c r="AK427" i="2"/>
  <c r="AM427" i="2" s="1"/>
  <c r="AK428" i="2"/>
  <c r="AM428" i="2" s="1"/>
  <c r="AK429" i="2"/>
  <c r="AM429" i="2" s="1"/>
  <c r="AK35" i="3"/>
  <c r="AM35" i="3" s="1"/>
  <c r="AK36" i="3"/>
  <c r="AM36" i="3" s="1"/>
  <c r="AK37" i="3"/>
  <c r="AM37" i="3" s="1"/>
  <c r="AK23" i="3"/>
  <c r="AM23" i="3" s="1"/>
  <c r="AK24" i="3"/>
  <c r="AM24" i="3" s="1"/>
  <c r="AK25" i="3"/>
  <c r="AM25" i="3" s="1"/>
  <c r="AK26" i="3"/>
  <c r="AM26" i="3" s="1"/>
  <c r="AK27" i="3"/>
  <c r="AM27" i="3" s="1"/>
  <c r="AK28" i="3"/>
  <c r="AM28" i="3" s="1"/>
  <c r="AK29" i="3"/>
  <c r="AM29" i="3" s="1"/>
  <c r="AK30" i="3"/>
  <c r="AM30" i="3" s="1"/>
  <c r="AK31" i="3"/>
  <c r="AM31" i="3" s="1"/>
  <c r="AK32" i="3"/>
  <c r="AM32" i="3" s="1"/>
  <c r="AK33" i="3"/>
  <c r="AM33" i="3" s="1"/>
  <c r="AK34" i="3"/>
  <c r="AM34" i="3" s="1"/>
  <c r="AK38" i="3"/>
  <c r="AM38" i="3" s="1"/>
  <c r="AK39" i="3"/>
  <c r="AM39" i="3" s="1"/>
  <c r="AK40" i="3"/>
  <c r="AM40" i="3" s="1"/>
  <c r="AK41" i="3"/>
  <c r="AM41" i="3" s="1"/>
  <c r="AK42" i="3"/>
  <c r="AM42" i="3" s="1"/>
  <c r="AK43" i="3"/>
  <c r="AM43" i="3" s="1"/>
  <c r="AK44" i="3"/>
  <c r="AM44" i="3" s="1"/>
  <c r="AK45" i="3"/>
  <c r="AM45" i="3" s="1"/>
  <c r="AK46" i="3"/>
  <c r="AM46" i="3" s="1"/>
  <c r="AK47" i="3"/>
  <c r="AM47" i="3" s="1"/>
  <c r="U99" i="3"/>
  <c r="V99" i="3"/>
  <c r="W99" i="3"/>
  <c r="X99" i="3"/>
  <c r="Y99" i="3"/>
  <c r="Z99" i="3"/>
  <c r="AA99" i="3"/>
  <c r="AK278" i="2"/>
  <c r="AM278" i="2" s="1"/>
  <c r="AK280" i="2"/>
  <c r="AM280" i="2" s="1"/>
  <c r="AK266" i="2"/>
  <c r="AM266" i="2" s="1"/>
  <c r="AK230" i="2"/>
  <c r="AM230" i="2" s="1"/>
  <c r="AK231" i="2"/>
  <c r="AM231" i="2" s="1"/>
  <c r="AK232" i="2"/>
  <c r="AM232" i="2" s="1"/>
  <c r="AK233" i="2"/>
  <c r="AM233" i="2" s="1"/>
  <c r="AK234" i="2"/>
  <c r="AM234" i="2" s="1"/>
  <c r="AK235" i="2"/>
  <c r="AM235" i="2" s="1"/>
  <c r="AK236" i="2"/>
  <c r="AM236" i="2" s="1"/>
  <c r="AK237" i="2"/>
  <c r="AM237" i="2" s="1"/>
  <c r="AK238" i="2"/>
  <c r="AM238" i="2" s="1"/>
  <c r="AK239" i="2"/>
  <c r="AM239" i="2" s="1"/>
  <c r="AK240" i="2"/>
  <c r="AM240" i="2" s="1"/>
  <c r="AK241" i="2"/>
  <c r="AM241" i="2" s="1"/>
  <c r="AK244" i="2"/>
  <c r="AM244" i="2" s="1"/>
  <c r="AK245" i="2"/>
  <c r="AM245" i="2" s="1"/>
  <c r="AK246" i="2"/>
  <c r="AM246" i="2" s="1"/>
  <c r="AK247" i="2"/>
  <c r="AM247" i="2" s="1"/>
  <c r="AK248" i="2"/>
  <c r="AM248" i="2" s="1"/>
  <c r="AK249" i="2"/>
  <c r="AM249" i="2" s="1"/>
  <c r="AK250" i="2"/>
  <c r="AM250" i="2" s="1"/>
  <c r="AK251" i="2"/>
  <c r="AM251" i="2" s="1"/>
  <c r="AK252" i="2"/>
  <c r="AM252" i="2" s="1"/>
  <c r="AK253" i="2"/>
  <c r="AM253" i="2" s="1"/>
  <c r="AK254" i="2"/>
  <c r="AM254" i="2" s="1"/>
  <c r="AK255" i="2"/>
  <c r="AM255" i="2" s="1"/>
  <c r="AK259" i="2"/>
  <c r="AM259" i="2" s="1"/>
  <c r="AK260" i="2"/>
  <c r="AM260" i="2" s="1"/>
  <c r="AK261" i="2"/>
  <c r="AM261" i="2" s="1"/>
  <c r="AK264" i="2"/>
  <c r="AM264" i="2" s="1"/>
  <c r="AK265" i="2"/>
  <c r="AM265" i="2" s="1"/>
  <c r="AK267" i="2"/>
  <c r="AM267" i="2" s="1"/>
  <c r="AK269" i="2"/>
  <c r="AM269" i="2" s="1"/>
  <c r="AK270" i="2"/>
  <c r="AM270" i="2" s="1"/>
  <c r="AK330" i="2"/>
  <c r="AM330" i="2" s="1"/>
  <c r="AK271" i="2"/>
  <c r="AM271" i="2" s="1"/>
  <c r="AK273" i="2"/>
  <c r="AM273" i="2" s="1"/>
  <c r="AK274" i="2"/>
  <c r="AM274" i="2" s="1"/>
  <c r="AK275" i="2"/>
  <c r="AM275" i="2" s="1"/>
  <c r="AK276" i="2"/>
  <c r="AM276" i="2" s="1"/>
  <c r="AK277" i="2"/>
  <c r="AM277" i="2" s="1"/>
  <c r="AK281" i="2"/>
  <c r="AM281" i="2" s="1"/>
  <c r="AK282" i="2"/>
  <c r="AM282" i="2" s="1"/>
  <c r="AK283" i="2"/>
  <c r="AM283" i="2" s="1"/>
  <c r="AK284" i="2"/>
  <c r="AM284" i="2" s="1"/>
  <c r="AK285" i="2"/>
  <c r="AM285" i="2" s="1"/>
  <c r="AK286" i="2"/>
  <c r="AM286" i="2" s="1"/>
  <c r="AK287" i="2"/>
  <c r="AM287" i="2" s="1"/>
  <c r="AK288" i="2"/>
  <c r="AM288" i="2" s="1"/>
  <c r="AK289" i="2"/>
  <c r="AM289" i="2" s="1"/>
  <c r="AK290" i="2"/>
  <c r="AM290" i="2" s="1"/>
  <c r="AK291" i="2"/>
  <c r="AM291" i="2" s="1"/>
  <c r="AK293" i="2"/>
  <c r="AM293" i="2" s="1"/>
  <c r="AK296" i="2"/>
  <c r="AM296" i="2" s="1"/>
  <c r="AK297" i="2"/>
  <c r="AM297" i="2" s="1"/>
  <c r="AK298" i="2"/>
  <c r="AM298" i="2" s="1"/>
  <c r="AK299" i="2"/>
  <c r="AM299" i="2" s="1"/>
  <c r="AK300" i="2"/>
  <c r="AM300" i="2" s="1"/>
  <c r="AK301" i="2"/>
  <c r="AM301" i="2" s="1"/>
  <c r="AK303" i="2"/>
  <c r="AM303" i="2" s="1"/>
  <c r="AK304" i="2"/>
  <c r="AM304" i="2" s="1"/>
  <c r="AK305" i="2"/>
  <c r="AM305" i="2" s="1"/>
  <c r="AK306" i="2"/>
  <c r="AM306" i="2" s="1"/>
  <c r="AK307" i="2"/>
  <c r="AM307" i="2" s="1"/>
  <c r="AK308" i="2"/>
  <c r="AM308" i="2" s="1"/>
  <c r="AK309" i="2"/>
  <c r="AM309" i="2" s="1"/>
  <c r="AK310" i="2"/>
  <c r="AM310" i="2" s="1"/>
  <c r="AK311" i="2"/>
  <c r="AM311" i="2" s="1"/>
  <c r="AK315" i="2"/>
  <c r="AM315" i="2" s="1"/>
  <c r="AK316" i="2"/>
  <c r="AM316" i="2" s="1"/>
  <c r="AK317" i="2"/>
  <c r="AM317" i="2" s="1"/>
  <c r="AK320" i="2"/>
  <c r="AM320" i="2" s="1"/>
  <c r="AK321" i="2"/>
  <c r="AM321" i="2" s="1"/>
  <c r="AK322" i="2"/>
  <c r="AM322" i="2" s="1"/>
  <c r="AK323" i="2"/>
  <c r="AM323" i="2" s="1"/>
  <c r="AK324" i="2"/>
  <c r="AM324" i="2" s="1"/>
  <c r="AK325" i="2"/>
  <c r="AM325" i="2" s="1"/>
  <c r="AK326" i="2"/>
  <c r="AM326" i="2" s="1"/>
  <c r="AK327" i="2"/>
  <c r="AM327" i="2" s="1"/>
  <c r="AK328" i="2"/>
  <c r="AM328" i="2" s="1"/>
  <c r="AK329" i="2"/>
  <c r="AM329" i="2" s="1"/>
  <c r="AK331" i="2"/>
  <c r="AM331" i="2" s="1"/>
  <c r="AK335" i="2"/>
  <c r="AM335" i="2" s="1"/>
  <c r="AK336" i="2"/>
  <c r="AM336" i="2" s="1"/>
  <c r="AK339" i="2"/>
  <c r="AM339" i="2" s="1"/>
  <c r="AK340" i="2"/>
  <c r="AM340" i="2" s="1"/>
  <c r="AK341" i="2"/>
  <c r="AM341" i="2" s="1"/>
  <c r="AK342" i="2"/>
  <c r="AM342" i="2" s="1"/>
  <c r="AK344" i="2"/>
  <c r="AM344" i="2" s="1"/>
  <c r="AK345" i="2"/>
  <c r="AM345" i="2" s="1"/>
  <c r="AK346" i="2"/>
  <c r="AM346" i="2" s="1"/>
  <c r="AK347" i="2"/>
  <c r="AM347" i="2" s="1"/>
  <c r="AK348" i="2"/>
  <c r="AM348" i="2" s="1"/>
  <c r="AK349" i="2"/>
  <c r="AM349" i="2" s="1"/>
  <c r="AK350" i="2"/>
  <c r="AM350" i="2" s="1"/>
  <c r="AK351" i="2"/>
  <c r="AM351" i="2" s="1"/>
  <c r="AK354" i="2"/>
  <c r="AM354" i="2" s="1"/>
  <c r="AK357" i="2"/>
  <c r="AM357" i="2" s="1"/>
  <c r="AK358" i="2"/>
  <c r="AM358" i="2" s="1"/>
  <c r="AK359" i="2"/>
  <c r="AM359" i="2" s="1"/>
  <c r="AK360" i="2"/>
  <c r="AM360" i="2" s="1"/>
  <c r="AK361" i="2"/>
  <c r="AM361" i="2" s="1"/>
  <c r="AK362" i="2"/>
  <c r="AM362" i="2" s="1"/>
  <c r="AK363" i="2"/>
  <c r="AM363" i="2" s="1"/>
  <c r="AK364" i="2"/>
  <c r="AM364" i="2" s="1"/>
  <c r="AK365" i="2"/>
  <c r="AM365" i="2" s="1"/>
  <c r="AK366" i="2"/>
  <c r="AM366" i="2" s="1"/>
  <c r="AK367" i="2"/>
  <c r="AM367" i="2" s="1"/>
  <c r="AK368" i="2"/>
  <c r="AM368" i="2" s="1"/>
  <c r="AK369" i="2"/>
  <c r="AM369" i="2" s="1"/>
  <c r="AK131" i="2"/>
  <c r="AM131" i="2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6" i="1"/>
  <c r="AM16" i="1" s="1"/>
  <c r="AK17" i="1"/>
  <c r="AM17" i="1" s="1"/>
  <c r="AK18" i="1"/>
  <c r="AM18" i="1" s="1"/>
  <c r="AK20" i="1"/>
  <c r="AM20" i="1" s="1"/>
  <c r="AK21" i="1"/>
  <c r="AM21" i="1" s="1"/>
  <c r="AK22" i="1"/>
  <c r="AM22" i="1" s="1"/>
  <c r="AK23" i="1"/>
  <c r="AM23" i="1" s="1"/>
  <c r="AK10" i="3"/>
  <c r="AM10" i="3" s="1"/>
  <c r="AK11" i="3"/>
  <c r="AM11" i="3" s="1"/>
  <c r="AK12" i="3"/>
  <c r="AM12" i="3" s="1"/>
  <c r="AK13" i="3"/>
  <c r="AM13" i="3" s="1"/>
  <c r="AK14" i="3"/>
  <c r="AM14" i="3" s="1"/>
  <c r="AK15" i="3"/>
  <c r="AM15" i="3" s="1"/>
  <c r="AK16" i="3"/>
  <c r="AM16" i="3" s="1"/>
  <c r="AK17" i="3"/>
  <c r="AM17" i="3" s="1"/>
  <c r="AK18" i="3"/>
  <c r="AM18" i="3" s="1"/>
  <c r="AK19" i="3"/>
  <c r="AM19" i="3" s="1"/>
  <c r="AK20" i="3"/>
  <c r="AM20" i="3" s="1"/>
  <c r="AK21" i="3"/>
  <c r="AM21" i="3" s="1"/>
  <c r="AK22" i="3"/>
  <c r="AM22" i="3" s="1"/>
  <c r="AK134" i="2"/>
  <c r="AM134" i="2" s="1"/>
  <c r="AK151" i="2"/>
  <c r="AM151" i="2" s="1"/>
  <c r="AK152" i="2"/>
  <c r="AM152" i="2" s="1"/>
  <c r="AK133" i="2"/>
  <c r="AM133" i="2" s="1"/>
  <c r="AK27" i="2"/>
  <c r="AM27" i="2" s="1"/>
  <c r="AK82" i="2"/>
  <c r="AM82" i="2" s="1"/>
  <c r="AK127" i="2"/>
  <c r="AM127" i="2" s="1"/>
  <c r="AK128" i="2"/>
  <c r="AM128" i="2" s="1"/>
  <c r="AK129" i="2"/>
  <c r="AM129" i="2" s="1"/>
  <c r="AK130" i="2"/>
  <c r="AM130" i="2" s="1"/>
  <c r="AK55" i="2"/>
  <c r="AM55" i="2" s="1"/>
  <c r="AK57" i="2"/>
  <c r="AM57" i="2" s="1"/>
  <c r="AK120" i="2"/>
  <c r="AM120" i="2" s="1"/>
  <c r="AK32" i="2"/>
  <c r="AM32" i="2" s="1"/>
  <c r="AK132" i="2"/>
  <c r="AM132" i="2" s="1"/>
  <c r="AK33" i="2"/>
  <c r="AM33" i="2" s="1"/>
  <c r="AK18" i="2"/>
  <c r="AM18" i="2" s="1"/>
  <c r="AK19" i="2"/>
  <c r="AM19" i="2" s="1"/>
  <c r="AK118" i="2"/>
  <c r="AM118" i="2" s="1"/>
  <c r="AK41" i="2"/>
  <c r="AM41" i="2" s="1"/>
  <c r="AK53" i="2"/>
  <c r="AM53" i="2" s="1"/>
  <c r="AK11" i="2"/>
  <c r="AM11" i="2" s="1"/>
  <c r="AK76" i="2"/>
  <c r="AM76" i="2" s="1"/>
  <c r="AK81" i="2"/>
  <c r="AM81" i="2" s="1"/>
  <c r="AK111" i="2"/>
  <c r="AM111" i="2" s="1"/>
  <c r="AK112" i="2"/>
  <c r="AM112" i="2" s="1"/>
  <c r="AK83" i="2"/>
  <c r="AM83" i="2" s="1"/>
  <c r="AK84" i="2"/>
  <c r="AM84" i="2" s="1"/>
  <c r="AK85" i="2"/>
  <c r="AM85" i="2" s="1"/>
  <c r="AK86" i="2"/>
  <c r="AM86" i="2" s="1"/>
  <c r="AK87" i="2"/>
  <c r="AM87" i="2" s="1"/>
  <c r="AK88" i="2"/>
  <c r="AM88" i="2" s="1"/>
  <c r="AK48" i="4" l="1"/>
  <c r="AM10" i="4"/>
  <c r="AM50" i="4" s="1"/>
  <c r="AM58" i="4" s="1"/>
  <c r="AF99" i="3"/>
  <c r="AG99" i="3"/>
  <c r="AH99" i="3"/>
  <c r="AI99" i="3"/>
  <c r="AJ99" i="3"/>
  <c r="AK59" i="2"/>
  <c r="AM59" i="2" s="1"/>
  <c r="AK106" i="2"/>
  <c r="AM106" i="2" s="1"/>
  <c r="AK100" i="2"/>
  <c r="AM100" i="2" s="1"/>
  <c r="AK38" i="2"/>
  <c r="AM38" i="2" s="1"/>
  <c r="AK123" i="2"/>
  <c r="AM123" i="2" s="1"/>
  <c r="AK64" i="2"/>
  <c r="AM64" i="2" s="1"/>
  <c r="AK30" i="2"/>
  <c r="AM30" i="2" s="1"/>
  <c r="AK65" i="2"/>
  <c r="AM65" i="2" s="1"/>
  <c r="AK39" i="2"/>
  <c r="AM39" i="2" s="1"/>
  <c r="AK124" i="2"/>
  <c r="AM124" i="2" s="1"/>
  <c r="AK29" i="2"/>
  <c r="AM29" i="2" s="1"/>
  <c r="AK71" i="2"/>
  <c r="AM71" i="2" s="1"/>
  <c r="AK54" i="2"/>
  <c r="AM54" i="2" s="1"/>
  <c r="AK68" i="2"/>
  <c r="AM68" i="2" s="1"/>
  <c r="AK72" i="2"/>
  <c r="AM72" i="2" s="1"/>
  <c r="AK109" i="2"/>
  <c r="AM109" i="2" s="1"/>
  <c r="AK137" i="2"/>
  <c r="AM137" i="2" s="1"/>
  <c r="AK97" i="2"/>
  <c r="AM97" i="2" s="1"/>
  <c r="AK110" i="2"/>
  <c r="AM110" i="2" s="1"/>
  <c r="AK149" i="2"/>
  <c r="AM149" i="2" s="1"/>
  <c r="AK49" i="2"/>
  <c r="AM49" i="2" s="1"/>
  <c r="AK31" i="2"/>
  <c r="AM31" i="2" s="1"/>
  <c r="AK98" i="2"/>
  <c r="AM98" i="2" s="1"/>
  <c r="AK22" i="2"/>
  <c r="AM22" i="2" s="1"/>
  <c r="AK23" i="2"/>
  <c r="AM23" i="2" s="1"/>
  <c r="AK101" i="2"/>
  <c r="AM101" i="2" s="1"/>
  <c r="AK145" i="2"/>
  <c r="AM145" i="2" s="1"/>
  <c r="AK141" i="2"/>
  <c r="AM141" i="2" s="1"/>
  <c r="AK146" i="2"/>
  <c r="AM146" i="2" s="1"/>
  <c r="AK142" i="2"/>
  <c r="AM142" i="2" s="1"/>
  <c r="AK150" i="2"/>
  <c r="AM150" i="2" s="1"/>
  <c r="AK102" i="2"/>
  <c r="AM102" i="2" s="1"/>
  <c r="AK99" i="2"/>
  <c r="AM99" i="2" s="1"/>
  <c r="AK138" i="2"/>
  <c r="AM138" i="2" s="1"/>
  <c r="AH648" i="2" l="1"/>
  <c r="AH641" i="2"/>
  <c r="AG648" i="2"/>
  <c r="AG641" i="2"/>
  <c r="AJ648" i="2"/>
  <c r="AJ641" i="2"/>
  <c r="AI648" i="2"/>
  <c r="AI641" i="2"/>
  <c r="AK105" i="2"/>
  <c r="AM105" i="2" s="1"/>
  <c r="AK45" i="2"/>
  <c r="AM45" i="2" s="1"/>
  <c r="AK107" i="2"/>
  <c r="AM107" i="2" s="1"/>
  <c r="AK44" i="2"/>
  <c r="AM44" i="2" s="1"/>
  <c r="AK60" i="2"/>
  <c r="AM60" i="2" s="1"/>
  <c r="AK17" i="2"/>
  <c r="AM17" i="2" s="1"/>
  <c r="AK104" i="2"/>
  <c r="AM104" i="2" s="1"/>
  <c r="AK103" i="2"/>
  <c r="AM103" i="2" s="1"/>
  <c r="AK10" i="2" l="1"/>
  <c r="AM10" i="2" s="1"/>
  <c r="AK12" i="2"/>
  <c r="AM12" i="2" s="1"/>
  <c r="AK13" i="2"/>
  <c r="AM13" i="2" s="1"/>
  <c r="AK20" i="2"/>
  <c r="AM20" i="2" s="1"/>
  <c r="AK14" i="2"/>
  <c r="AM14" i="2" s="1"/>
  <c r="AK15" i="2"/>
  <c r="AM15" i="2" s="1"/>
  <c r="AK16" i="2"/>
  <c r="AM16" i="2" s="1"/>
  <c r="AK21" i="2"/>
  <c r="AM21" i="2" s="1"/>
  <c r="AK24" i="2"/>
  <c r="AM24" i="2" s="1"/>
  <c r="AK25" i="2"/>
  <c r="AM25" i="2" s="1"/>
  <c r="AK26" i="2"/>
  <c r="AM26" i="2" s="1"/>
  <c r="AK28" i="2"/>
  <c r="AM28" i="2" s="1"/>
  <c r="AK34" i="2"/>
  <c r="AM34" i="2" s="1"/>
  <c r="AK35" i="2"/>
  <c r="AM35" i="2" s="1"/>
  <c r="AK36" i="2"/>
  <c r="AM36" i="2" s="1"/>
  <c r="AK37" i="2"/>
  <c r="AM37" i="2" s="1"/>
  <c r="AK40" i="2"/>
  <c r="AM40" i="2" s="1"/>
  <c r="AK42" i="2"/>
  <c r="AM42" i="2" s="1"/>
  <c r="AK43" i="2"/>
  <c r="AM43" i="2" s="1"/>
  <c r="AK46" i="2"/>
  <c r="AM46" i="2" s="1"/>
  <c r="AK47" i="2"/>
  <c r="AM47" i="2" s="1"/>
  <c r="AK48" i="2"/>
  <c r="AM48" i="2" s="1"/>
  <c r="AK50" i="2"/>
  <c r="AM50" i="2" s="1"/>
  <c r="AK51" i="2"/>
  <c r="AM51" i="2" s="1"/>
  <c r="AK52" i="2"/>
  <c r="AM52" i="2" s="1"/>
  <c r="AK56" i="2"/>
  <c r="AM56" i="2" s="1"/>
  <c r="AK58" i="2"/>
  <c r="AM58" i="2" s="1"/>
  <c r="AK61" i="2"/>
  <c r="AM61" i="2" s="1"/>
  <c r="AK62" i="2"/>
  <c r="AM62" i="2" s="1"/>
  <c r="AK63" i="2"/>
  <c r="AM63" i="2" s="1"/>
  <c r="AK66" i="2"/>
  <c r="AM66" i="2" s="1"/>
  <c r="AK115" i="2"/>
  <c r="AM115" i="2" s="1"/>
  <c r="AK67" i="2"/>
  <c r="AM67" i="2" s="1"/>
  <c r="AK69" i="2"/>
  <c r="AM69" i="2" s="1"/>
  <c r="AK70" i="2"/>
  <c r="AM70" i="2" s="1"/>
  <c r="AK73" i="2"/>
  <c r="AM73" i="2" s="1"/>
  <c r="AK74" i="2"/>
  <c r="AM74" i="2" s="1"/>
  <c r="AK75" i="2"/>
  <c r="AM75" i="2" s="1"/>
  <c r="AK77" i="2"/>
  <c r="AM77" i="2" s="1"/>
  <c r="AK78" i="2"/>
  <c r="AM78" i="2" s="1"/>
  <c r="AK79" i="2"/>
  <c r="AM79" i="2" s="1"/>
  <c r="AK80" i="2"/>
  <c r="AM80" i="2" s="1"/>
  <c r="AK89" i="2"/>
  <c r="AM89" i="2" s="1"/>
  <c r="AK90" i="2"/>
  <c r="AM90" i="2" s="1"/>
  <c r="AK91" i="2"/>
  <c r="AM91" i="2" s="1"/>
  <c r="AK92" i="2"/>
  <c r="AM92" i="2" s="1"/>
  <c r="AK93" i="2"/>
  <c r="AM93" i="2" s="1"/>
  <c r="AK94" i="2"/>
  <c r="AM94" i="2" s="1"/>
  <c r="AK95" i="2"/>
  <c r="AM95" i="2" s="1"/>
  <c r="AK96" i="2"/>
  <c r="AM96" i="2" s="1"/>
  <c r="AK108" i="2"/>
  <c r="AM108" i="2" s="1"/>
  <c r="AK113" i="2"/>
  <c r="AM113" i="2" s="1"/>
  <c r="AK114" i="2"/>
  <c r="AM114" i="2" s="1"/>
  <c r="AK116" i="2"/>
  <c r="AM116" i="2" s="1"/>
  <c r="AK117" i="2"/>
  <c r="AM117" i="2" s="1"/>
  <c r="AK119" i="2"/>
  <c r="AM119" i="2" s="1"/>
  <c r="AK121" i="2"/>
  <c r="AM121" i="2" s="1"/>
  <c r="AK122" i="2"/>
  <c r="AM122" i="2" s="1"/>
  <c r="AK125" i="2"/>
  <c r="AM125" i="2" s="1"/>
  <c r="AK126" i="2"/>
  <c r="AM126" i="2" s="1"/>
  <c r="AK135" i="2"/>
  <c r="AM135" i="2" s="1"/>
  <c r="AK136" i="2"/>
  <c r="AM136" i="2" s="1"/>
  <c r="AK139" i="2"/>
  <c r="AM139" i="2" s="1"/>
  <c r="AK140" i="2"/>
  <c r="AM140" i="2" s="1"/>
  <c r="AK143" i="2"/>
  <c r="AM143" i="2" s="1"/>
  <c r="AK144" i="2"/>
  <c r="AM144" i="2" s="1"/>
  <c r="AK147" i="2"/>
  <c r="AM147" i="2" s="1"/>
  <c r="AK148" i="2"/>
  <c r="AM148" i="2" s="1"/>
  <c r="AK153" i="2"/>
  <c r="AM153" i="2" s="1"/>
  <c r="AK154" i="2"/>
  <c r="AM154" i="2" s="1"/>
  <c r="AM639" i="2" l="1"/>
  <c r="AM650" i="2" s="1"/>
  <c r="G99" i="3"/>
  <c r="H99" i="3"/>
  <c r="I99" i="3"/>
  <c r="J99" i="3"/>
  <c r="K99" i="3"/>
  <c r="L99" i="3"/>
  <c r="M99" i="3"/>
  <c r="N99" i="3"/>
  <c r="O99" i="3"/>
  <c r="P99" i="3"/>
  <c r="Q99" i="3"/>
  <c r="R99" i="3"/>
  <c r="AM107" i="3"/>
  <c r="AM110" i="3" s="1"/>
  <c r="AE99" i="3"/>
  <c r="AD99" i="3"/>
  <c r="AC99" i="3"/>
  <c r="AB99" i="3"/>
  <c r="T99" i="3"/>
  <c r="S99" i="3"/>
  <c r="AM647" i="2"/>
  <c r="AM653" i="2" s="1"/>
  <c r="AK132" i="1"/>
  <c r="G648" i="2" l="1"/>
  <c r="G641" i="2"/>
  <c r="L648" i="2"/>
  <c r="L641" i="2"/>
  <c r="X648" i="2"/>
  <c r="X641" i="2"/>
  <c r="T648" i="2"/>
  <c r="T641" i="2"/>
  <c r="AF648" i="2"/>
  <c r="AF641" i="2"/>
  <c r="AB648" i="2"/>
  <c r="AB641" i="2"/>
  <c r="K648" i="2"/>
  <c r="K641" i="2"/>
  <c r="AA648" i="2"/>
  <c r="AA641" i="2"/>
  <c r="S648" i="2"/>
  <c r="S641" i="2"/>
  <c r="R648" i="2"/>
  <c r="R641" i="2"/>
  <c r="AC648" i="2"/>
  <c r="AC641" i="2"/>
  <c r="H648" i="2"/>
  <c r="H641" i="2"/>
  <c r="P648" i="2"/>
  <c r="P641" i="2"/>
  <c r="W648" i="2"/>
  <c r="W641" i="2"/>
  <c r="O648" i="2"/>
  <c r="O641" i="2"/>
  <c r="AE648" i="2"/>
  <c r="AE641" i="2"/>
  <c r="N648" i="2"/>
  <c r="N641" i="2"/>
  <c r="J648" i="2"/>
  <c r="J641" i="2"/>
  <c r="Z648" i="2"/>
  <c r="Z641" i="2"/>
  <c r="V648" i="2"/>
  <c r="V641" i="2"/>
  <c r="AD648" i="2"/>
  <c r="AD641" i="2"/>
  <c r="M648" i="2"/>
  <c r="M641" i="2"/>
  <c r="I648" i="2"/>
  <c r="I641" i="2"/>
  <c r="Y641" i="2"/>
  <c r="Y648" i="2"/>
  <c r="U648" i="2"/>
  <c r="U641" i="2"/>
  <c r="Q648" i="2"/>
  <c r="Q641" i="2"/>
  <c r="AM101" i="3"/>
  <c r="AK99" i="3"/>
  <c r="AK637" i="2"/>
  <c r="AM132" i="1"/>
  <c r="AM135" i="1" s="1"/>
  <c r="AM654" i="2" s="1"/>
  <c r="AK648" i="2" l="1"/>
  <c r="AM648" i="2" s="1"/>
  <c r="AM655" i="2" s="1"/>
  <c r="AK641" i="2"/>
  <c r="AM109" i="3"/>
  <c r="AM651" i="2"/>
  <c r="AK124" i="1"/>
  <c r="AM134" i="1" l="1"/>
  <c r="AM137" i="1" s="1"/>
  <c r="AM138" i="1" s="1"/>
  <c r="AM139" i="1" s="1"/>
  <c r="AM652" i="2"/>
  <c r="AM657" i="2" s="1"/>
  <c r="AM658" i="2" s="1"/>
  <c r="AM659" i="2" s="1"/>
</calcChain>
</file>

<file path=xl/sharedStrings.xml><?xml version="1.0" encoding="utf-8"?>
<sst xmlns="http://schemas.openxmlformats.org/spreadsheetml/2006/main" count="4298" uniqueCount="1159">
  <si>
    <t>HAB</t>
  </si>
  <si>
    <t>APELLIDO PATERNO</t>
  </si>
  <si>
    <t>APELLIDO MATERNO</t>
  </si>
  <si>
    <t>NOMBRE</t>
  </si>
  <si>
    <t>RUT</t>
  </si>
  <si>
    <t>D. OCUP</t>
  </si>
  <si>
    <t>V. OCUP</t>
  </si>
  <si>
    <t>T. OCUP.</t>
  </si>
  <si>
    <t>OLIVARES</t>
  </si>
  <si>
    <t>JUAN</t>
  </si>
  <si>
    <t>CASTRO</t>
  </si>
  <si>
    <t>LUIS</t>
  </si>
  <si>
    <t>RIVERA</t>
  </si>
  <si>
    <t>FUENTES</t>
  </si>
  <si>
    <t>PEREZ</t>
  </si>
  <si>
    <t>PATRICIO</t>
  </si>
  <si>
    <t>GUTIERREZ</t>
  </si>
  <si>
    <t>RETAMAL</t>
  </si>
  <si>
    <t>SAEZ</t>
  </si>
  <si>
    <t>GALAZ</t>
  </si>
  <si>
    <t>GONZALEZ</t>
  </si>
  <si>
    <t>ALEJANDRO</t>
  </si>
  <si>
    <t>CARLOS</t>
  </si>
  <si>
    <t>MARCO</t>
  </si>
  <si>
    <t>MORALES</t>
  </si>
  <si>
    <t>JOSE</t>
  </si>
  <si>
    <t>PABLO</t>
  </si>
  <si>
    <t>SEPULVEDA</t>
  </si>
  <si>
    <t>MORA</t>
  </si>
  <si>
    <t>FRANCISCO</t>
  </si>
  <si>
    <t xml:space="preserve">   </t>
  </si>
  <si>
    <t>TOTAL</t>
  </si>
  <si>
    <t xml:space="preserve">ALMUERZOS </t>
  </si>
  <si>
    <t>ALMUERZOS</t>
  </si>
  <si>
    <t xml:space="preserve">ALOJAMIENTO </t>
  </si>
  <si>
    <t>TOTAL NETO</t>
  </si>
  <si>
    <t>I.V.A 19%</t>
  </si>
  <si>
    <t>AC</t>
  </si>
  <si>
    <t>MARIA</t>
  </si>
  <si>
    <t>18785701-5</t>
  </si>
  <si>
    <t>DUARTE</t>
  </si>
  <si>
    <t>JORGE</t>
  </si>
  <si>
    <t>9635487-8</t>
  </si>
  <si>
    <t>BARRIENTOS</t>
  </si>
  <si>
    <t>ROCIO</t>
  </si>
  <si>
    <t>19907354-0</t>
  </si>
  <si>
    <t>VALENZUELA</t>
  </si>
  <si>
    <t>VICTORIA</t>
  </si>
  <si>
    <t>19120001-2</t>
  </si>
  <si>
    <t>AZOCAR</t>
  </si>
  <si>
    <t>CORNEJO</t>
  </si>
  <si>
    <t>NICOLAS</t>
  </si>
  <si>
    <t>19114498-8</t>
  </si>
  <si>
    <t>RONALD</t>
  </si>
  <si>
    <t>13507456-K</t>
  </si>
  <si>
    <t>AGUILERA</t>
  </si>
  <si>
    <t>ZARATE</t>
  </si>
  <si>
    <t>FABIAN</t>
  </si>
  <si>
    <t>18150201-0</t>
  </si>
  <si>
    <t>GONZALO</t>
  </si>
  <si>
    <t>18408247-0</t>
  </si>
  <si>
    <t>FERNANDO</t>
  </si>
  <si>
    <t>17319810-8</t>
  </si>
  <si>
    <t>CARRASCO</t>
  </si>
  <si>
    <t>FELIPE</t>
  </si>
  <si>
    <t>16690731-4</t>
  </si>
  <si>
    <t>RODRIGUEZ</t>
  </si>
  <si>
    <t>CUETO</t>
  </si>
  <si>
    <t>13225829-5</t>
  </si>
  <si>
    <t>CERECEDA</t>
  </si>
  <si>
    <t>SOLANGE</t>
  </si>
  <si>
    <t>17172403-1</t>
  </si>
  <si>
    <t>TOLOZA</t>
  </si>
  <si>
    <t>18843149-6</t>
  </si>
  <si>
    <t>MOSCOSO</t>
  </si>
  <si>
    <t>DANIEL</t>
  </si>
  <si>
    <t>17678108-4</t>
  </si>
  <si>
    <t>DANIELA</t>
  </si>
  <si>
    <t>SANDOVAL</t>
  </si>
  <si>
    <t>GISELA</t>
  </si>
  <si>
    <t>19120950-8</t>
  </si>
  <si>
    <t>19359014-4</t>
  </si>
  <si>
    <t>PINOCHET</t>
  </si>
  <si>
    <t>17904147-2</t>
  </si>
  <si>
    <t>H1</t>
  </si>
  <si>
    <t>HERNANDEZ</t>
  </si>
  <si>
    <t>MATIAS</t>
  </si>
  <si>
    <t>21456295-2</t>
  </si>
  <si>
    <t>ORELLANA</t>
  </si>
  <si>
    <t>CASTILLO</t>
  </si>
  <si>
    <t>MAURICIO</t>
  </si>
  <si>
    <t>16688300-8</t>
  </si>
  <si>
    <t>FERNANDEZ</t>
  </si>
  <si>
    <t>ROBERTO</t>
  </si>
  <si>
    <t>ARAVENA</t>
  </si>
  <si>
    <t>LEYTON</t>
  </si>
  <si>
    <t>URIBE</t>
  </si>
  <si>
    <t>ARANCIBIA</t>
  </si>
  <si>
    <t>OVALLE</t>
  </si>
  <si>
    <t>9347291-8</t>
  </si>
  <si>
    <t>BENJAMIN</t>
  </si>
  <si>
    <t>19346121-2</t>
  </si>
  <si>
    <t>ALFREDO</t>
  </si>
  <si>
    <t>SOLIS</t>
  </si>
  <si>
    <t>HIDALGO</t>
  </si>
  <si>
    <t>17078357-3</t>
  </si>
  <si>
    <t>ÑANCO</t>
  </si>
  <si>
    <t>MILLALEN</t>
  </si>
  <si>
    <t>15248769-K</t>
  </si>
  <si>
    <t>RIOS</t>
  </si>
  <si>
    <t>12915179-K</t>
  </si>
  <si>
    <t>INOSTROZA</t>
  </si>
  <si>
    <t>RINDOLFO</t>
  </si>
  <si>
    <t>11585182-9</t>
  </si>
  <si>
    <t>CAYUQUEO</t>
  </si>
  <si>
    <t>CAMPOS</t>
  </si>
  <si>
    <t>ERWIN</t>
  </si>
  <si>
    <t>17261752-2</t>
  </si>
  <si>
    <t>MUÑOZ</t>
  </si>
  <si>
    <t>15508059-0</t>
  </si>
  <si>
    <t>R</t>
  </si>
  <si>
    <t>URBINA</t>
  </si>
  <si>
    <t>ABURTO</t>
  </si>
  <si>
    <t>FLORES</t>
  </si>
  <si>
    <t>CORRELATIVO N°2</t>
  </si>
  <si>
    <t>PAYE</t>
  </si>
  <si>
    <t>ELIAS</t>
  </si>
  <si>
    <t>JESUS</t>
  </si>
  <si>
    <t>MAMANI</t>
  </si>
  <si>
    <t>YONY</t>
  </si>
  <si>
    <t>SANCHEZ</t>
  </si>
  <si>
    <t>HANCCO</t>
  </si>
  <si>
    <t>WILSON</t>
  </si>
  <si>
    <t>HUAYRA</t>
  </si>
  <si>
    <t>FIDEL</t>
  </si>
  <si>
    <t>GENIX</t>
  </si>
  <si>
    <t>DANTAS</t>
  </si>
  <si>
    <t>RAUL</t>
  </si>
  <si>
    <t>VELASQUEZ</t>
  </si>
  <si>
    <t>HELBER</t>
  </si>
  <si>
    <t>PASCUAL</t>
  </si>
  <si>
    <t>EDSON</t>
  </si>
  <si>
    <t>HUACCHA</t>
  </si>
  <si>
    <t>LLANOS</t>
  </si>
  <si>
    <t>PIO</t>
  </si>
  <si>
    <t>MICHUY</t>
  </si>
  <si>
    <t>LADISLAO</t>
  </si>
  <si>
    <t>VIVANCO</t>
  </si>
  <si>
    <t>ALDO</t>
  </si>
  <si>
    <t>TORRE</t>
  </si>
  <si>
    <t>LIDO</t>
  </si>
  <si>
    <t>PALOMINO</t>
  </si>
  <si>
    <t>CABRERA</t>
  </si>
  <si>
    <t>ALARCON</t>
  </si>
  <si>
    <t>ULICES</t>
  </si>
  <si>
    <t>GARCIA</t>
  </si>
  <si>
    <t>SAAVEDRA</t>
  </si>
  <si>
    <t>AMERICO</t>
  </si>
  <si>
    <t>AREVALO</t>
  </si>
  <si>
    <t>HUAMAN</t>
  </si>
  <si>
    <t>PAUCAR</t>
  </si>
  <si>
    <t>ZAMBRANO</t>
  </si>
  <si>
    <t>QUISPE</t>
  </si>
  <si>
    <t>HERMINIO</t>
  </si>
  <si>
    <t>YACTAYO</t>
  </si>
  <si>
    <t>VERGARAY</t>
  </si>
  <si>
    <t>JAIME</t>
  </si>
  <si>
    <t>ACEVEDO</t>
  </si>
  <si>
    <t>CRISTIAN</t>
  </si>
  <si>
    <t>BEROIZA</t>
  </si>
  <si>
    <t>RAILAF</t>
  </si>
  <si>
    <t>19463033-6</t>
  </si>
  <si>
    <t>CALPIQUEO</t>
  </si>
  <si>
    <t>PAILLACAN</t>
  </si>
  <si>
    <t>ALIRO</t>
  </si>
  <si>
    <t>15239015-7</t>
  </si>
  <si>
    <t>DONOSO</t>
  </si>
  <si>
    <t>CORTES</t>
  </si>
  <si>
    <t>20681999-5</t>
  </si>
  <si>
    <t>LLANCAPAN</t>
  </si>
  <si>
    <t>MICHEL</t>
  </si>
  <si>
    <t>13199156-8</t>
  </si>
  <si>
    <t>MARAMBIO</t>
  </si>
  <si>
    <t>SALINAS</t>
  </si>
  <si>
    <t>9253816-8</t>
  </si>
  <si>
    <t>MORAGA</t>
  </si>
  <si>
    <t>POBLETE</t>
  </si>
  <si>
    <t>IGNACIO</t>
  </si>
  <si>
    <t>19777682-K</t>
  </si>
  <si>
    <t>LOPEZ</t>
  </si>
  <si>
    <t>IVAN</t>
  </si>
  <si>
    <t>QUEZADA</t>
  </si>
  <si>
    <t>MIGUEL</t>
  </si>
  <si>
    <t>15819396-5</t>
  </si>
  <si>
    <t>SANTELICES</t>
  </si>
  <si>
    <t>AVILA</t>
  </si>
  <si>
    <t>PIZARRO</t>
  </si>
  <si>
    <t>KLEIN</t>
  </si>
  <si>
    <t>12501155-1</t>
  </si>
  <si>
    <t>CESAR</t>
  </si>
  <si>
    <t>CLAUDIO</t>
  </si>
  <si>
    <t>ROJAS</t>
  </si>
  <si>
    <t>RAMIREZ</t>
  </si>
  <si>
    <t>VARGAS</t>
  </si>
  <si>
    <t>VENEGAS</t>
  </si>
  <si>
    <t>CARES</t>
  </si>
  <si>
    <t>12512803-3</t>
  </si>
  <si>
    <t>ALEGRIA</t>
  </si>
  <si>
    <t>HUERMAN</t>
  </si>
  <si>
    <t>ARROYO</t>
  </si>
  <si>
    <t>ORTIZ</t>
  </si>
  <si>
    <t>DAVID</t>
  </si>
  <si>
    <t>ASCENCIO</t>
  </si>
  <si>
    <t>AVENDAÑO</t>
  </si>
  <si>
    <t>CANDIA</t>
  </si>
  <si>
    <t>ISAAC</t>
  </si>
  <si>
    <t>20550837-6</t>
  </si>
  <si>
    <t>SERGIO</t>
  </si>
  <si>
    <t>19510126-4</t>
  </si>
  <si>
    <t>DOMINGUEZ</t>
  </si>
  <si>
    <t>SALAZAR</t>
  </si>
  <si>
    <t>ECHEVERRIA </t>
  </si>
  <si>
    <t>CERDA</t>
  </si>
  <si>
    <t>INZUNZA</t>
  </si>
  <si>
    <t>CHANDIA</t>
  </si>
  <si>
    <t>13128159-5</t>
  </si>
  <si>
    <t>LABRIN</t>
  </si>
  <si>
    <t>TORRES</t>
  </si>
  <si>
    <t>RUBEN</t>
  </si>
  <si>
    <t>19421525-8</t>
  </si>
  <si>
    <t>BASCUR</t>
  </si>
  <si>
    <t>ARTURO</t>
  </si>
  <si>
    <t>9715707-3</t>
  </si>
  <si>
    <t>LAVIN</t>
  </si>
  <si>
    <t>13134007-9</t>
  </si>
  <si>
    <t>ROZAS</t>
  </si>
  <si>
    <t>NOVOA</t>
  </si>
  <si>
    <t>GERSON</t>
  </si>
  <si>
    <t>PLACENCIA</t>
  </si>
  <si>
    <t>ALEXIS</t>
  </si>
  <si>
    <t>17640226-1</t>
  </si>
  <si>
    <t>RIQUELME </t>
  </si>
  <si>
    <t>AROLDO</t>
  </si>
  <si>
    <t>13623789-6</t>
  </si>
  <si>
    <t>ROSALES</t>
  </si>
  <si>
    <t>LEANDRO</t>
  </si>
  <si>
    <t>16140720-8</t>
  </si>
  <si>
    <t>SALGADO</t>
  </si>
  <si>
    <t>BREVIS</t>
  </si>
  <si>
    <t>MALTRAIN</t>
  </si>
  <si>
    <t>11496095-0</t>
  </si>
  <si>
    <t>PARRA</t>
  </si>
  <si>
    <t>MARCELO</t>
  </si>
  <si>
    <t>18318800-3</t>
  </si>
  <si>
    <t>CIFUENTES </t>
  </si>
  <si>
    <t>11677141-1</t>
  </si>
  <si>
    <t>PUENTES</t>
  </si>
  <si>
    <t>SANHUEZA</t>
  </si>
  <si>
    <t>RAMOS</t>
  </si>
  <si>
    <t>DIEGO</t>
  </si>
  <si>
    <t>GALLEGOS</t>
  </si>
  <si>
    <t>RICARDO</t>
  </si>
  <si>
    <t>REYES</t>
  </si>
  <si>
    <t>MICHAEL</t>
  </si>
  <si>
    <t>GUERRA</t>
  </si>
  <si>
    <t>BURGOS</t>
  </si>
  <si>
    <t>CEA</t>
  </si>
  <si>
    <t>EDISON</t>
  </si>
  <si>
    <t>18082022-1</t>
  </si>
  <si>
    <t>21959229-9</t>
  </si>
  <si>
    <t>16873475-1</t>
  </si>
  <si>
    <t>DAGOBERTO</t>
  </si>
  <si>
    <t>CALFUEQUE</t>
  </si>
  <si>
    <t>VERA</t>
  </si>
  <si>
    <t>FIERRO</t>
  </si>
  <si>
    <t>VEJAR</t>
  </si>
  <si>
    <t>NEIRA</t>
  </si>
  <si>
    <t>15512453-9</t>
  </si>
  <si>
    <t>15183952-5</t>
  </si>
  <si>
    <t>14207222-K</t>
  </si>
  <si>
    <t>15554007-9</t>
  </si>
  <si>
    <t>17975319-7</t>
  </si>
  <si>
    <t>SANTANDER</t>
  </si>
  <si>
    <t>HAROLD</t>
  </si>
  <si>
    <t>URZUA</t>
  </si>
  <si>
    <t>AHUMADA</t>
  </si>
  <si>
    <t>ESPINOZA</t>
  </si>
  <si>
    <t>19105072-K</t>
  </si>
  <si>
    <t>19042549-5</t>
  </si>
  <si>
    <t>20070824-5</t>
  </si>
  <si>
    <t>PACHECO</t>
  </si>
  <si>
    <t>SOTO</t>
  </si>
  <si>
    <t>RIVAS</t>
  </si>
  <si>
    <t>JOAQUIN</t>
  </si>
  <si>
    <t>18573870-1</t>
  </si>
  <si>
    <t>13852202-4</t>
  </si>
  <si>
    <t>14332421-4</t>
  </si>
  <si>
    <t>14083002-K</t>
  </si>
  <si>
    <t>GALLARDO</t>
  </si>
  <si>
    <t>JIMENEZ</t>
  </si>
  <si>
    <t>ARENAS</t>
  </si>
  <si>
    <t>ANGEL</t>
  </si>
  <si>
    <t>ESCOBAR</t>
  </si>
  <si>
    <t>RODOLFO</t>
  </si>
  <si>
    <t>14059897-6</t>
  </si>
  <si>
    <t>22428439-K</t>
  </si>
  <si>
    <t>13358916-3</t>
  </si>
  <si>
    <t>11372628-8</t>
  </si>
  <si>
    <t>17137085-K</t>
  </si>
  <si>
    <t>19365127-5</t>
  </si>
  <si>
    <t>17137111-2</t>
  </si>
  <si>
    <t>TENORIO</t>
  </si>
  <si>
    <t>FELIX</t>
  </si>
  <si>
    <t>ARCHILES</t>
  </si>
  <si>
    <t>BENITEZ</t>
  </si>
  <si>
    <t>SALVO</t>
  </si>
  <si>
    <t>CUEVAS</t>
  </si>
  <si>
    <t>SEBASTIAN</t>
  </si>
  <si>
    <t>ESCUDERO</t>
  </si>
  <si>
    <t>ANTONELLA</t>
  </si>
  <si>
    <t>14000392-1</t>
  </si>
  <si>
    <t>DEL VALLE</t>
  </si>
  <si>
    <t>IVACETA</t>
  </si>
  <si>
    <t>17479133-3</t>
  </si>
  <si>
    <t>HECTOR</t>
  </si>
  <si>
    <t>15974325-K</t>
  </si>
  <si>
    <t>ACUÑA</t>
  </si>
  <si>
    <t>MATELUNA</t>
  </si>
  <si>
    <t>RODRIGO</t>
  </si>
  <si>
    <t>12604611-1</t>
  </si>
  <si>
    <t>14000832-K</t>
  </si>
  <si>
    <t>MONTENEGRO</t>
  </si>
  <si>
    <t>17479774-9</t>
  </si>
  <si>
    <t>ÁVILA</t>
  </si>
  <si>
    <t>ESCALANTE</t>
  </si>
  <si>
    <t>ÁLVAREZ</t>
  </si>
  <si>
    <t>16232633-3</t>
  </si>
  <si>
    <t>JOSÉ</t>
  </si>
  <si>
    <t>PINCHON</t>
  </si>
  <si>
    <t>COMICHEO</t>
  </si>
  <si>
    <t>VIDAL</t>
  </si>
  <si>
    <t>SOLAR</t>
  </si>
  <si>
    <t>VILLAGRA</t>
  </si>
  <si>
    <t>FUENTEALBA</t>
  </si>
  <si>
    <t>AEDO</t>
  </si>
  <si>
    <t>19090851-8</t>
  </si>
  <si>
    <t>MOLINA</t>
  </si>
  <si>
    <t>MANUEL</t>
  </si>
  <si>
    <t>15820197-6</t>
  </si>
  <si>
    <t>SHERIDON</t>
  </si>
  <si>
    <t>19287191-3</t>
  </si>
  <si>
    <t>YERSON</t>
  </si>
  <si>
    <t>20384563-4</t>
  </si>
  <si>
    <t>17400535-4</t>
  </si>
  <si>
    <t>PAVEZ</t>
  </si>
  <si>
    <t>RAÚL</t>
  </si>
  <si>
    <t>14032230-K</t>
  </si>
  <si>
    <t>RIFO</t>
  </si>
  <si>
    <t>CÁRCAMO</t>
  </si>
  <si>
    <t>21273867-0</t>
  </si>
  <si>
    <t>SUSANA</t>
  </si>
  <si>
    <t>ANCANAO</t>
  </si>
  <si>
    <t>15210383-2</t>
  </si>
  <si>
    <t>COFRE</t>
  </si>
  <si>
    <t>TRONCOSO</t>
  </si>
  <si>
    <t>13155394-3</t>
  </si>
  <si>
    <t>CISTERNAS</t>
  </si>
  <si>
    <t>MACAYA</t>
  </si>
  <si>
    <t>MOISES  </t>
  </si>
  <si>
    <t>12980913-2</t>
  </si>
  <si>
    <t>VILLAGRAN</t>
  </si>
  <si>
    <t>10571908-6</t>
  </si>
  <si>
    <t>CARTES</t>
  </si>
  <si>
    <t>ARRIAGADA</t>
  </si>
  <si>
    <t>19767976-K</t>
  </si>
  <si>
    <t>ZAPATA</t>
  </si>
  <si>
    <t>MANRIQUEZ</t>
  </si>
  <si>
    <t>11179233-K</t>
  </si>
  <si>
    <t>ERIK</t>
  </si>
  <si>
    <t>17870662-4</t>
  </si>
  <si>
    <t>18405090-0</t>
  </si>
  <si>
    <t>FIGUEROA</t>
  </si>
  <si>
    <t>11215037-4</t>
  </si>
  <si>
    <t>ALFARO</t>
  </si>
  <si>
    <t>BENITO</t>
  </si>
  <si>
    <t>16054392-2</t>
  </si>
  <si>
    <t>PIERRE</t>
  </si>
  <si>
    <t>25980292-K</t>
  </si>
  <si>
    <t>MERA</t>
  </si>
  <si>
    <t>VICENCIO</t>
  </si>
  <si>
    <t>22285961-1</t>
  </si>
  <si>
    <t>VILLAR</t>
  </si>
  <si>
    <t>ARANDA</t>
  </si>
  <si>
    <t>17905126-5</t>
  </si>
  <si>
    <t>CONTRERAS</t>
  </si>
  <si>
    <t>BASTIAN</t>
  </si>
  <si>
    <t>H3</t>
  </si>
  <si>
    <t>CHURATA</t>
  </si>
  <si>
    <t>ELISEO</t>
  </si>
  <si>
    <t>MATO</t>
  </si>
  <si>
    <t>BALDEON</t>
  </si>
  <si>
    <t>PEÑA</t>
  </si>
  <si>
    <t>CLEMENTE</t>
  </si>
  <si>
    <t>ANGELINO</t>
  </si>
  <si>
    <t>HUGO</t>
  </si>
  <si>
    <t>PANDURO</t>
  </si>
  <si>
    <t>DÍAZ</t>
  </si>
  <si>
    <t>BILLY</t>
  </si>
  <si>
    <t>ERICK</t>
  </si>
  <si>
    <t>BEJAR</t>
  </si>
  <si>
    <t>OTERO</t>
  </si>
  <si>
    <t>ELLEN</t>
  </si>
  <si>
    <t>JANAMPA</t>
  </si>
  <si>
    <t>RONY</t>
  </si>
  <si>
    <t>RODRÍGUEZ</t>
  </si>
  <si>
    <t>VARAS</t>
  </si>
  <si>
    <t>REYNER</t>
  </si>
  <si>
    <t>UQUICHE</t>
  </si>
  <si>
    <t>BERMEJO</t>
  </si>
  <si>
    <t>VICTOR</t>
  </si>
  <si>
    <t>PADILLA</t>
  </si>
  <si>
    <t>CALLE</t>
  </si>
  <si>
    <t>ODAR</t>
  </si>
  <si>
    <t>EDGAR</t>
  </si>
  <si>
    <t>VILLARREAL</t>
  </si>
  <si>
    <t>BRUNA</t>
  </si>
  <si>
    <t>ARAYA</t>
  </si>
  <si>
    <t>EDUARDO</t>
  </si>
  <si>
    <t>16325978-8</t>
  </si>
  <si>
    <t>POLANCO</t>
  </si>
  <si>
    <t>ZAVALA</t>
  </si>
  <si>
    <t>CID</t>
  </si>
  <si>
    <t>13957122-3</t>
  </si>
  <si>
    <t>20891578-9</t>
  </si>
  <si>
    <t>17287619-6</t>
  </si>
  <si>
    <t>15198618-8</t>
  </si>
  <si>
    <t>ROMERO </t>
  </si>
  <si>
    <t>11963508-K</t>
  </si>
  <si>
    <t>17764546-K</t>
  </si>
  <si>
    <t>IBACETA</t>
  </si>
  <si>
    <t>PORMA</t>
  </si>
  <si>
    <t>FRANCHESCA</t>
  </si>
  <si>
    <t>20408882-9</t>
  </si>
  <si>
    <t>LEON</t>
  </si>
  <si>
    <t>19045218-2</t>
  </si>
  <si>
    <t>RIFFO</t>
  </si>
  <si>
    <t>15728475-4</t>
  </si>
  <si>
    <t>PEZO</t>
  </si>
  <si>
    <t>15568743-6</t>
  </si>
  <si>
    <t>CONSTANZO</t>
  </si>
  <si>
    <t>JELVEZ</t>
  </si>
  <si>
    <t>14028085-2</t>
  </si>
  <si>
    <t>MONJE</t>
  </si>
  <si>
    <t>GARAY</t>
  </si>
  <si>
    <t>15962839-6</t>
  </si>
  <si>
    <t>LEPE</t>
  </si>
  <si>
    <t>HERRERA</t>
  </si>
  <si>
    <t>11582166-0</t>
  </si>
  <si>
    <t>ANTINAO </t>
  </si>
  <si>
    <t>CALFIQUEO </t>
  </si>
  <si>
    <t>17446134-1</t>
  </si>
  <si>
    <t>10822787-7</t>
  </si>
  <si>
    <t>GARRIDO</t>
  </si>
  <si>
    <t>ULLOA</t>
  </si>
  <si>
    <t>NECOLMAN</t>
  </si>
  <si>
    <t>17814175-9</t>
  </si>
  <si>
    <t>JARAMILLO</t>
  </si>
  <si>
    <t>PAINEQUIR</t>
  </si>
  <si>
    <t>MARIO</t>
  </si>
  <si>
    <t>10351151-8</t>
  </si>
  <si>
    <t>17872110-0</t>
  </si>
  <si>
    <t>GUERRERO</t>
  </si>
  <si>
    <t>17204833-1</t>
  </si>
  <si>
    <t>20356924-6</t>
  </si>
  <si>
    <t>CACERES</t>
  </si>
  <si>
    <t>13762738-8</t>
  </si>
  <si>
    <t>CASSAB</t>
  </si>
  <si>
    <t>ANDRADE</t>
  </si>
  <si>
    <t>ANDRES</t>
  </si>
  <si>
    <t>13194918-9</t>
  </si>
  <si>
    <t>19120307-0</t>
  </si>
  <si>
    <t>BRAVO</t>
  </si>
  <si>
    <t>18111892-K</t>
  </si>
  <si>
    <t>RIQUELME</t>
  </si>
  <si>
    <t>MORIN</t>
  </si>
  <si>
    <t>18809990-4</t>
  </si>
  <si>
    <t>VEGA</t>
  </si>
  <si>
    <t>BERNARDINO</t>
  </si>
  <si>
    <t>18883847-5</t>
  </si>
  <si>
    <t>SALAMANCA</t>
  </si>
  <si>
    <t>ARAUNA</t>
  </si>
  <si>
    <t>18414742-4</t>
  </si>
  <si>
    <t>BATIAS</t>
  </si>
  <si>
    <t>OSCAR</t>
  </si>
  <si>
    <t>15756061-1</t>
  </si>
  <si>
    <t>BARRIGA</t>
  </si>
  <si>
    <t>15193371-8</t>
  </si>
  <si>
    <t>HERNANDEZ </t>
  </si>
  <si>
    <t>ARANGUIZ</t>
  </si>
  <si>
    <t>13316376-k</t>
  </si>
  <si>
    <t>FERNANDOY</t>
  </si>
  <si>
    <t>CHAVEZ</t>
  </si>
  <si>
    <t>13144399-4</t>
  </si>
  <si>
    <t>20411753-5</t>
  </si>
  <si>
    <t>PEREIRA</t>
  </si>
  <si>
    <t>15881750-0</t>
  </si>
  <si>
    <t>SEGURA</t>
  </si>
  <si>
    <t>18296380-1</t>
  </si>
  <si>
    <t>18522943-2</t>
  </si>
  <si>
    <t>MONDACA</t>
  </si>
  <si>
    <t>OSORIO</t>
  </si>
  <si>
    <t>14350133-7</t>
  </si>
  <si>
    <t>LOVERA</t>
  </si>
  <si>
    <t>18142777-9</t>
  </si>
  <si>
    <t>DIAZ</t>
  </si>
  <si>
    <t>FREDY</t>
  </si>
  <si>
    <t>14559347-6</t>
  </si>
  <si>
    <t>VALERIA</t>
  </si>
  <si>
    <t>13072247-4</t>
  </si>
  <si>
    <t>MATUS</t>
  </si>
  <si>
    <t>BARRIA</t>
  </si>
  <si>
    <t>OYARZUN</t>
  </si>
  <si>
    <t>10518538-3</t>
  </si>
  <si>
    <t>RAMON</t>
  </si>
  <si>
    <t>15199055-K</t>
  </si>
  <si>
    <t>LUCERO</t>
  </si>
  <si>
    <t>ANDERSON</t>
  </si>
  <si>
    <t>15872186-4</t>
  </si>
  <si>
    <t>18803852-2</t>
  </si>
  <si>
    <t>PINTO</t>
  </si>
  <si>
    <t>19900031-4</t>
  </si>
  <si>
    <t>RUIZ</t>
  </si>
  <si>
    <t>16140832-8</t>
  </si>
  <si>
    <t>CAPRISTAN</t>
  </si>
  <si>
    <t>LARA</t>
  </si>
  <si>
    <t>ORLANDO</t>
  </si>
  <si>
    <t>26113310-5</t>
  </si>
  <si>
    <t>12895277-2</t>
  </si>
  <si>
    <t>VERGARA</t>
  </si>
  <si>
    <t>DE LA JARA</t>
  </si>
  <si>
    <t>GUILLERMO</t>
  </si>
  <si>
    <t>13306171-1</t>
  </si>
  <si>
    <t>REBOLLEDO</t>
  </si>
  <si>
    <t>19549222-0</t>
  </si>
  <si>
    <t>OCHOA</t>
  </si>
  <si>
    <t>DURAN</t>
  </si>
  <si>
    <t>17187778-4</t>
  </si>
  <si>
    <t>ORTEGA</t>
  </si>
  <si>
    <t>BASAURE</t>
  </si>
  <si>
    <t>ABELARDO</t>
  </si>
  <si>
    <t>16049257-0</t>
  </si>
  <si>
    <t>11295426-0</t>
  </si>
  <si>
    <t>16090751-7</t>
  </si>
  <si>
    <t>JARPA</t>
  </si>
  <si>
    <t>JARA</t>
  </si>
  <si>
    <t>GOMEZ</t>
  </si>
  <si>
    <t>LT</t>
  </si>
  <si>
    <t>19797369-2</t>
  </si>
  <si>
    <t xml:space="preserve">ADICIONAL DESAYUNO </t>
  </si>
  <si>
    <t>MARIA F</t>
  </si>
  <si>
    <t xml:space="preserve"> BERNARD </t>
  </si>
  <si>
    <t>BUSTOS</t>
  </si>
  <si>
    <t>URQUIZA</t>
  </si>
  <si>
    <t xml:space="preserve">SEPULVEDA </t>
  </si>
  <si>
    <t>19122318-7</t>
  </si>
  <si>
    <t>20037519-K</t>
  </si>
  <si>
    <t>12463574-8</t>
  </si>
  <si>
    <t>15370757-K</t>
  </si>
  <si>
    <t>19320445-7</t>
  </si>
  <si>
    <t>24337176-7</t>
  </si>
  <si>
    <t>9092883-K</t>
  </si>
  <si>
    <t>10231531-6</t>
  </si>
  <si>
    <t>15753932-9</t>
  </si>
  <si>
    <t>19454472-3</t>
  </si>
  <si>
    <t>9862021-4</t>
  </si>
  <si>
    <t>11981189-9</t>
  </si>
  <si>
    <t>13344434-3</t>
  </si>
  <si>
    <t>17502616-9</t>
  </si>
  <si>
    <t>18374238-8</t>
  </si>
  <si>
    <t>10749588-6</t>
  </si>
  <si>
    <t>12197014-7</t>
  </si>
  <si>
    <t>14290297-4</t>
  </si>
  <si>
    <t>14389879-2</t>
  </si>
  <si>
    <t>15907871-K</t>
  </si>
  <si>
    <t>19410879-6</t>
  </si>
  <si>
    <t>20413141-4</t>
  </si>
  <si>
    <t>19780776-8</t>
  </si>
  <si>
    <t>BASTIAS</t>
  </si>
  <si>
    <t>ARNOLD</t>
  </si>
  <si>
    <t>LEONEL</t>
  </si>
  <si>
    <t>ESTEBAN</t>
  </si>
  <si>
    <t>DARWING</t>
  </si>
  <si>
    <t>LEIVA</t>
  </si>
  <si>
    <t>HERNAN</t>
  </si>
  <si>
    <t>GALLEGUILLOS</t>
  </si>
  <si>
    <t>AVILES</t>
  </si>
  <si>
    <t>CESPEDES</t>
  </si>
  <si>
    <t>VASQUEZ</t>
  </si>
  <si>
    <t>VALDES</t>
  </si>
  <si>
    <t>MENDEZ</t>
  </si>
  <si>
    <t>CIFUENTES</t>
  </si>
  <si>
    <t>ROMERO</t>
  </si>
  <si>
    <t>SEPULVEDA </t>
  </si>
  <si>
    <t>IBARRA</t>
  </si>
  <si>
    <t>CRESPO</t>
  </si>
  <si>
    <t>FUENZALIDA</t>
  </si>
  <si>
    <t>SILVA</t>
  </si>
  <si>
    <t>16818093-4</t>
  </si>
  <si>
    <t>19038296-6</t>
  </si>
  <si>
    <t>PEDRO</t>
  </si>
  <si>
    <t>TERRAZA</t>
  </si>
  <si>
    <t>VERDUGO</t>
  </si>
  <si>
    <t>ANGELO</t>
  </si>
  <si>
    <t>17186705-3</t>
  </si>
  <si>
    <t>17013061-8</t>
  </si>
  <si>
    <t>15190004-6</t>
  </si>
  <si>
    <t>BERNAL</t>
  </si>
  <si>
    <t>MATURANA</t>
  </si>
  <si>
    <t>IBAÑEZ</t>
  </si>
  <si>
    <t>VALENCIA</t>
  </si>
  <si>
    <t>MALDONADO</t>
  </si>
  <si>
    <t>12818204-7</t>
  </si>
  <si>
    <t>17545154-4</t>
  </si>
  <si>
    <t>13388937-K</t>
  </si>
  <si>
    <t>12602022-8</t>
  </si>
  <si>
    <t>CHRISTOPHER</t>
  </si>
  <si>
    <t>FRANCO</t>
  </si>
  <si>
    <t>CANALES</t>
  </si>
  <si>
    <t>LAGOS</t>
  </si>
  <si>
    <t>NUÑEZ</t>
  </si>
  <si>
    <t>CANCINO</t>
  </si>
  <si>
    <t>GERARDO</t>
  </si>
  <si>
    <t>LANDERO</t>
  </si>
  <si>
    <t>11241778-8</t>
  </si>
  <si>
    <t>14210107-6</t>
  </si>
  <si>
    <t>15222340-4</t>
  </si>
  <si>
    <t>11901984-2</t>
  </si>
  <si>
    <t>15247087-8</t>
  </si>
  <si>
    <t>13151852-8</t>
  </si>
  <si>
    <t>21830481-8</t>
  </si>
  <si>
    <t>19908182-9</t>
  </si>
  <si>
    <t>16504476-2</t>
  </si>
  <si>
    <t>19376474-6</t>
  </si>
  <si>
    <t>ALOJAMIENTO  H1</t>
  </si>
  <si>
    <t>ALOJAMIENTO H3</t>
  </si>
  <si>
    <t>ALOJAMIENTO ACON</t>
  </si>
  <si>
    <t>ALMUERZOS AC</t>
  </si>
  <si>
    <t>ALMUERZOS H1</t>
  </si>
  <si>
    <t>ADICIONAL DESAYUNO</t>
  </si>
  <si>
    <t>MARTIN</t>
  </si>
  <si>
    <t>OVIEDO</t>
  </si>
  <si>
    <t>FABIO</t>
  </si>
  <si>
    <t>QUIJADA</t>
  </si>
  <si>
    <t>RAMIRO</t>
  </si>
  <si>
    <t>12705484-3</t>
  </si>
  <si>
    <t>16691371-3</t>
  </si>
  <si>
    <t>11901926-5</t>
  </si>
  <si>
    <t>20379072-4</t>
  </si>
  <si>
    <t>13626685-3</t>
  </si>
  <si>
    <t>HUENTENAO</t>
  </si>
  <si>
    <t>GARRETON</t>
  </si>
  <si>
    <t>CORONADO</t>
  </si>
  <si>
    <t>QUINTANA</t>
  </si>
  <si>
    <t>ARANEDA</t>
  </si>
  <si>
    <t>11789833-4</t>
  </si>
  <si>
    <t>12187987-5</t>
  </si>
  <si>
    <t>19123612-2</t>
  </si>
  <si>
    <t>VILLA</t>
  </si>
  <si>
    <t>VILLANUEVA</t>
  </si>
  <si>
    <t>16037431-4</t>
  </si>
  <si>
    <t>15183270-9</t>
  </si>
  <si>
    <t>MELLADO</t>
  </si>
  <si>
    <t>CORDOVA</t>
  </si>
  <si>
    <t>20513904-4</t>
  </si>
  <si>
    <t>20907528-8</t>
  </si>
  <si>
    <t>GERALD</t>
  </si>
  <si>
    <t>NAVARRETE</t>
  </si>
  <si>
    <t>CARMONA</t>
  </si>
  <si>
    <t>DAROCH</t>
  </si>
  <si>
    <t>DENIS</t>
  </si>
  <si>
    <t>GARCES</t>
  </si>
  <si>
    <t>ALMAZABAL</t>
  </si>
  <si>
    <t>OMERANDO</t>
  </si>
  <si>
    <t>12521035-K</t>
  </si>
  <si>
    <t>14444202-4</t>
  </si>
  <si>
    <t>16641048-7</t>
  </si>
  <si>
    <t>13382676-9</t>
  </si>
  <si>
    <t>20152621-3</t>
  </si>
  <si>
    <t>18411429-1</t>
  </si>
  <si>
    <t>20618153-4</t>
  </si>
  <si>
    <t>20322178-2</t>
  </si>
  <si>
    <t>ARELLANO</t>
  </si>
  <si>
    <t>CARO</t>
  </si>
  <si>
    <t>PINO</t>
  </si>
  <si>
    <t>ALONSO</t>
  </si>
  <si>
    <t>MEDINA</t>
  </si>
  <si>
    <t>GOVET</t>
  </si>
  <si>
    <t>GILBERT</t>
  </si>
  <si>
    <t>MARIN</t>
  </si>
  <si>
    <t>12025317-4</t>
  </si>
  <si>
    <t>17196576-4</t>
  </si>
  <si>
    <t>17868178-8</t>
  </si>
  <si>
    <t>16167713-2</t>
  </si>
  <si>
    <t>20489492-2</t>
  </si>
  <si>
    <t>19927836-3</t>
  </si>
  <si>
    <t>12051577-2</t>
  </si>
  <si>
    <t>16827294-4</t>
  </si>
  <si>
    <t>REINALDO</t>
  </si>
  <si>
    <t>NESTOR</t>
  </si>
  <si>
    <t>SANGUINETTI</t>
  </si>
  <si>
    <t>LUNA</t>
  </si>
  <si>
    <t>14027749-5</t>
  </si>
  <si>
    <t>15503449-1</t>
  </si>
  <si>
    <t>15499412-2</t>
  </si>
  <si>
    <t>21269464-9</t>
  </si>
  <si>
    <t>15160416-1</t>
  </si>
  <si>
    <t>18067804-2</t>
  </si>
  <si>
    <t xml:space="preserve">VALENTINA </t>
  </si>
  <si>
    <t>CINTHIA </t>
  </si>
  <si>
    <t xml:space="preserve"> OLIVARES</t>
  </si>
  <si>
    <t xml:space="preserve"> SEPULVEDA</t>
  </si>
  <si>
    <t xml:space="preserve">   EDUARDO </t>
  </si>
  <si>
    <t xml:space="preserve"> QUEVEDO</t>
  </si>
  <si>
    <t>CRISTÓBAL</t>
  </si>
  <si>
    <t>19527019-8</t>
  </si>
  <si>
    <t xml:space="preserve">CLAUDIO </t>
  </si>
  <si>
    <t>13726534-6</t>
  </si>
  <si>
    <t xml:space="preserve">KATHERINE </t>
  </si>
  <si>
    <t>15188041-k</t>
  </si>
  <si>
    <t xml:space="preserve">CONSUELO </t>
  </si>
  <si>
    <t>EDWAR</t>
  </si>
  <si>
    <t>HERMOSILLA </t>
  </si>
  <si>
    <t>HÉCTOR </t>
  </si>
  <si>
    <t>19297281-7</t>
  </si>
  <si>
    <t>19278451-3</t>
  </si>
  <si>
    <t>01 AL 30 DE JUNIO</t>
  </si>
  <si>
    <t>CORRELATIVO N°3</t>
  </si>
  <si>
    <t>ÁVILES</t>
  </si>
  <si>
    <t xml:space="preserve">JAVIER </t>
  </si>
  <si>
    <t>FERERICO</t>
  </si>
  <si>
    <t xml:space="preserve">RAUL </t>
  </si>
  <si>
    <t xml:space="preserve">SAAVEDRA </t>
  </si>
  <si>
    <t>FUENSALIDA</t>
  </si>
  <si>
    <t xml:space="preserve"> CID</t>
  </si>
  <si>
    <t xml:space="preserve"> URRIOLA</t>
  </si>
  <si>
    <t>IVAN MAURICIO</t>
  </si>
  <si>
    <t xml:space="preserve"> TOLEDO</t>
  </si>
  <si>
    <t>JOSE ABELARDO</t>
  </si>
  <si>
    <t xml:space="preserve">FLORES </t>
  </si>
  <si>
    <t>JOSE LUIS</t>
  </si>
  <si>
    <t>14494698-7</t>
  </si>
  <si>
    <t>CARDIA</t>
  </si>
  <si>
    <t>GONZALES</t>
  </si>
  <si>
    <t>LUIS IVAN</t>
  </si>
  <si>
    <t>DE LA HOZ</t>
  </si>
  <si>
    <t>VILCHEZ</t>
  </si>
  <si>
    <t xml:space="preserve">JHONATAN </t>
  </si>
  <si>
    <t>RIVEROS</t>
  </si>
  <si>
    <t>CÉSAR</t>
  </si>
  <si>
    <t xml:space="preserve"> CLAVERIA</t>
  </si>
  <si>
    <t xml:space="preserve">ROGELIO MARCELINO </t>
  </si>
  <si>
    <t>CRISTOPHER</t>
  </si>
  <si>
    <t>MUÑOS</t>
  </si>
  <si>
    <t>15592455-4</t>
  </si>
  <si>
    <t xml:space="preserve">PABLO </t>
  </si>
  <si>
    <t>12973296-5</t>
  </si>
  <si>
    <t xml:space="preserve">JOSE </t>
  </si>
  <si>
    <t>SCHIPMAN</t>
  </si>
  <si>
    <t xml:space="preserve">CRISTIAN </t>
  </si>
  <si>
    <t>PARDO </t>
  </si>
  <si>
    <t>CABEZAS</t>
  </si>
  <si>
    <t>13800055-9</t>
  </si>
  <si>
    <t>ORTEGA </t>
  </si>
  <si>
    <t>HERMOSILLA</t>
  </si>
  <si>
    <t>OLIVER</t>
  </si>
  <si>
    <t>19000720-0</t>
  </si>
  <si>
    <t>ARIEL</t>
  </si>
  <si>
    <t>19717188-K</t>
  </si>
  <si>
    <t>17885860-2</t>
  </si>
  <si>
    <t>GARRIDO </t>
  </si>
  <si>
    <t>PARRA </t>
  </si>
  <si>
    <t>17845281-9</t>
  </si>
  <si>
    <t>ZAPATA </t>
  </si>
  <si>
    <t>MUÑOZ </t>
  </si>
  <si>
    <t>17003144-K</t>
  </si>
  <si>
    <t>QUIÑILEN </t>
  </si>
  <si>
    <t>CABRAPAN</t>
  </si>
  <si>
    <t>EDGARDO</t>
  </si>
  <si>
    <t>17153756-8</t>
  </si>
  <si>
    <t>TELLO </t>
  </si>
  <si>
    <t>ARIAS</t>
  </si>
  <si>
    <t>16582639-6</t>
  </si>
  <si>
    <t>SAN MARTIN</t>
  </si>
  <si>
    <t>17154588-9</t>
  </si>
  <si>
    <t>16058200-6</t>
  </si>
  <si>
    <t>15224105-4</t>
  </si>
  <si>
    <t>18812093-8</t>
  </si>
  <si>
    <t>ARDILES</t>
  </si>
  <si>
    <t>17388585-7</t>
  </si>
  <si>
    <t>BUSTAMANTE</t>
  </si>
  <si>
    <t>17413905-9</t>
  </si>
  <si>
    <t>19091776-2</t>
  </si>
  <si>
    <t>PRADO</t>
  </si>
  <si>
    <t>17969365-8</t>
  </si>
  <si>
    <t>CARIAGA</t>
  </si>
  <si>
    <t>18135361-9</t>
  </si>
  <si>
    <t>15473281-0</t>
  </si>
  <si>
    <t>POMERI</t>
  </si>
  <si>
    <t>13310910-2</t>
  </si>
  <si>
    <t>12529202-K</t>
  </si>
  <si>
    <t>ALMONACID</t>
  </si>
  <si>
    <t>19799878-4</t>
  </si>
  <si>
    <t>VEGA </t>
  </si>
  <si>
    <t>ROBINSON</t>
  </si>
  <si>
    <t>11807287-1</t>
  </si>
  <si>
    <t>VERGARA  </t>
  </si>
  <si>
    <t>MONARDEZ</t>
  </si>
  <si>
    <t>18752497-0</t>
  </si>
  <si>
    <t>IVER</t>
  </si>
  <si>
    <t>16878679-4</t>
  </si>
  <si>
    <t>MOLINA </t>
  </si>
  <si>
    <t>FERNÁNDEZ </t>
  </si>
  <si>
    <t>11564716-4</t>
  </si>
  <si>
    <t>RODRIGUEZ </t>
  </si>
  <si>
    <t>12052678-2</t>
  </si>
  <si>
    <t>TRIGO</t>
  </si>
  <si>
    <t>BUGUEÑO</t>
  </si>
  <si>
    <t>14440684-2</t>
  </si>
  <si>
    <t>UREN</t>
  </si>
  <si>
    <t>21268498-8</t>
  </si>
  <si>
    <t>ECHEVERRIA</t>
  </si>
  <si>
    <t>15589938-5</t>
  </si>
  <si>
    <t>MARTINEZ</t>
  </si>
  <si>
    <t>MONARES</t>
  </si>
  <si>
    <t>MATAMALA</t>
  </si>
  <si>
    <t>FERMIN</t>
  </si>
  <si>
    <t>9836126-K</t>
  </si>
  <si>
    <t>MONTECINO </t>
  </si>
  <si>
    <t>CATALDO </t>
  </si>
  <si>
    <t>19214272-5</t>
  </si>
  <si>
    <t>OLGUIN</t>
  </si>
  <si>
    <t>16539370-8</t>
  </si>
  <si>
    <t>SALAS</t>
  </si>
  <si>
    <t>14602558-7</t>
  </si>
  <si>
    <t>12380197-0</t>
  </si>
  <si>
    <t>11777836-3</t>
  </si>
  <si>
    <t>MORALES </t>
  </si>
  <si>
    <t>16836698-1</t>
  </si>
  <si>
    <t>SILVA </t>
  </si>
  <si>
    <t>12788957-0</t>
  </si>
  <si>
    <t>MONSALVE</t>
  </si>
  <si>
    <t>11903598-8</t>
  </si>
  <si>
    <t>11152410-6</t>
  </si>
  <si>
    <t>FARIAS </t>
  </si>
  <si>
    <t>11765529-6</t>
  </si>
  <si>
    <t>PAINEMIL</t>
  </si>
  <si>
    <t>20932684-2</t>
  </si>
  <si>
    <t>MOCHICADO</t>
  </si>
  <si>
    <t>12246156-0</t>
  </si>
  <si>
    <t>SEGUNDO</t>
  </si>
  <si>
    <t>16306206-2</t>
  </si>
  <si>
    <t>ARRIAGAA</t>
  </si>
  <si>
    <t>MOISES</t>
  </si>
  <si>
    <t>14573834-7</t>
  </si>
  <si>
    <t>CRISTOFER</t>
  </si>
  <si>
    <t>CANALEZ</t>
  </si>
  <si>
    <t>CISTERNA</t>
  </si>
  <si>
    <t>TECHELET</t>
  </si>
  <si>
    <t>14303777-8</t>
  </si>
  <si>
    <t>BERNARD</t>
  </si>
  <si>
    <t>9635787-8</t>
  </si>
  <si>
    <t>H7</t>
  </si>
  <si>
    <t xml:space="preserve">DE LA CRUZ </t>
  </si>
  <si>
    <t>PAYTAN</t>
  </si>
  <si>
    <t>SATALAYA</t>
  </si>
  <si>
    <t>HUAMACTO</t>
  </si>
  <si>
    <t>CIRIACO</t>
  </si>
  <si>
    <t>TUESTA</t>
  </si>
  <si>
    <t>EVER</t>
  </si>
  <si>
    <t>MONTALVO</t>
  </si>
  <si>
    <t>CAYLLAHUA</t>
  </si>
  <si>
    <t>JUVELIO</t>
  </si>
  <si>
    <t>CHUQUIJA</t>
  </si>
  <si>
    <t>ANG</t>
  </si>
  <si>
    <t>17043751-9</t>
  </si>
  <si>
    <t>MACHICADO</t>
  </si>
  <si>
    <t>JONY</t>
  </si>
  <si>
    <t>CCACCALA</t>
  </si>
  <si>
    <t>YOMPOSI</t>
  </si>
  <si>
    <t>ARAUJO</t>
  </si>
  <si>
    <t>GABRIEL</t>
  </si>
  <si>
    <t>11683054-K</t>
  </si>
  <si>
    <t>AMPUERO</t>
  </si>
  <si>
    <t>7910608-9</t>
  </si>
  <si>
    <t>17549110-4</t>
  </si>
  <si>
    <t>BARRAZA</t>
  </si>
  <si>
    <t>PLAZA</t>
  </si>
  <si>
    <t>19181129-1</t>
  </si>
  <si>
    <t>BELMAR</t>
  </si>
  <si>
    <t>HENRIQUEZ</t>
  </si>
  <si>
    <t>12047482-0</t>
  </si>
  <si>
    <t>BRIONES</t>
  </si>
  <si>
    <t>FRIZ</t>
  </si>
  <si>
    <t>16444641-7</t>
  </si>
  <si>
    <t>JAVIER</t>
  </si>
  <si>
    <t>14020644-K</t>
  </si>
  <si>
    <t>16154557-0</t>
  </si>
  <si>
    <t>12519877-5</t>
  </si>
  <si>
    <t>TERREU</t>
  </si>
  <si>
    <t>15185128-2</t>
  </si>
  <si>
    <t>ITRIAGO</t>
  </si>
  <si>
    <t>26276143-6</t>
  </si>
  <si>
    <t>LABARCA</t>
  </si>
  <si>
    <t>CAMPILLAY</t>
  </si>
  <si>
    <t>15871161-3</t>
  </si>
  <si>
    <t>14546104-9</t>
  </si>
  <si>
    <t>NARVAEZ</t>
  </si>
  <si>
    <t>17843113-7</t>
  </si>
  <si>
    <t>15568474-7</t>
  </si>
  <si>
    <t>OVIRECE</t>
  </si>
  <si>
    <t>YAMAMI</t>
  </si>
  <si>
    <t>24644304-1</t>
  </si>
  <si>
    <t>PORTILLO</t>
  </si>
  <si>
    <t>MORILLO</t>
  </si>
  <si>
    <t>26589491-6</t>
  </si>
  <si>
    <t>ROGER</t>
  </si>
  <si>
    <t>19780731-8</t>
  </si>
  <si>
    <t>VILLALOBOS</t>
  </si>
  <si>
    <t>NAZARIO</t>
  </si>
  <si>
    <t>9259772-5</t>
  </si>
  <si>
    <t>PALMA</t>
  </si>
  <si>
    <t>16167621-7</t>
  </si>
  <si>
    <t>SANZANA</t>
  </si>
  <si>
    <t>LOBERA</t>
  </si>
  <si>
    <t>19538971-3</t>
  </si>
  <si>
    <t>CASTAÑEDA</t>
  </si>
  <si>
    <t>16856249-7</t>
  </si>
  <si>
    <t>GANGA</t>
  </si>
  <si>
    <t>CRISTOBAL</t>
  </si>
  <si>
    <t>20229204-6</t>
  </si>
  <si>
    <t>17223336-8</t>
  </si>
  <si>
    <t>MEZA</t>
  </si>
  <si>
    <t>ANTONIO</t>
  </si>
  <si>
    <t>SEGUEL</t>
  </si>
  <si>
    <t>GUIDO</t>
  </si>
  <si>
    <t>17641524-K</t>
  </si>
  <si>
    <t>12525619-8</t>
  </si>
  <si>
    <t>NAVARRO</t>
  </si>
  <si>
    <t>BELTRAN</t>
  </si>
  <si>
    <t>ISAIAS</t>
  </si>
  <si>
    <t>SARAVIA</t>
  </si>
  <si>
    <t>13150178-1</t>
  </si>
  <si>
    <t>16405105-6</t>
  </si>
  <si>
    <t>12382889-5</t>
  </si>
  <si>
    <t>20515488-4</t>
  </si>
  <si>
    <t>16514562-3</t>
  </si>
  <si>
    <t>IRRIBARRA</t>
  </si>
  <si>
    <t>LEAL</t>
  </si>
  <si>
    <t>WLADIMIR</t>
  </si>
  <si>
    <t>GAMBOA</t>
  </si>
  <si>
    <t>12664478-7</t>
  </si>
  <si>
    <t>16571995-6</t>
  </si>
  <si>
    <t>17561264-5</t>
  </si>
  <si>
    <t>19677167-0</t>
  </si>
  <si>
    <t>17842500-5</t>
  </si>
  <si>
    <t>18279851-7</t>
  </si>
  <si>
    <t>SANTIBAÑEZ</t>
  </si>
  <si>
    <t>PAEZ</t>
  </si>
  <si>
    <t>18751969-1</t>
  </si>
  <si>
    <t>8X6</t>
  </si>
  <si>
    <t>COVARRUBIAS</t>
  </si>
  <si>
    <t>PAVES</t>
  </si>
  <si>
    <t>JAVIERA</t>
  </si>
  <si>
    <t>17353868-5</t>
  </si>
  <si>
    <t>CONSUELO</t>
  </si>
  <si>
    <t>ARCE</t>
  </si>
  <si>
    <t>GUISELA</t>
  </si>
  <si>
    <t>KATHERINE</t>
  </si>
  <si>
    <t>PEZOA</t>
  </si>
  <si>
    <t>CINTHIA</t>
  </si>
  <si>
    <t>AMESTICA</t>
  </si>
  <si>
    <t>QUEVEDO</t>
  </si>
  <si>
    <t>MERINO</t>
  </si>
  <si>
    <t>GUZMAN</t>
  </si>
  <si>
    <t>MIGUELES</t>
  </si>
  <si>
    <t>CERNA</t>
  </si>
  <si>
    <t>EDWARD</t>
  </si>
  <si>
    <t>VELIZ</t>
  </si>
  <si>
    <t>19408470-6</t>
  </si>
  <si>
    <t>16728609-7</t>
  </si>
  <si>
    <t>20101406-9</t>
  </si>
  <si>
    <t>19720960-7</t>
  </si>
  <si>
    <t>18024668-1</t>
  </si>
  <si>
    <t>19278457-3</t>
  </si>
  <si>
    <t>15188041-K</t>
  </si>
  <si>
    <t>17904147-9</t>
  </si>
  <si>
    <t>14472229-9</t>
  </si>
  <si>
    <t>ALVAREZ</t>
  </si>
  <si>
    <t xml:space="preserve">MONTOYA </t>
  </si>
  <si>
    <t>11971168-1</t>
  </si>
  <si>
    <t>8x6</t>
  </si>
  <si>
    <t>PUGA</t>
  </si>
  <si>
    <t>12789118-4</t>
  </si>
  <si>
    <t>TAPIA</t>
  </si>
  <si>
    <t>PAZ</t>
  </si>
  <si>
    <t>12963938-5</t>
  </si>
  <si>
    <t>9299666-2</t>
  </si>
  <si>
    <t>15569834-9</t>
  </si>
  <si>
    <t>15188863-1</t>
  </si>
  <si>
    <t>12924143-8</t>
  </si>
  <si>
    <t>DAZA </t>
  </si>
  <si>
    <t>13725970-2</t>
  </si>
  <si>
    <t>AGUAYO</t>
  </si>
  <si>
    <t>10073590-3</t>
  </si>
  <si>
    <t>AGUILERA </t>
  </si>
  <si>
    <t>16765205-0</t>
  </si>
  <si>
    <t>20611553-K</t>
  </si>
  <si>
    <t>LANAS</t>
  </si>
  <si>
    <t>VALDENEGRO</t>
  </si>
  <si>
    <t>18037466-3</t>
  </si>
  <si>
    <t>18810893-8</t>
  </si>
  <si>
    <t>JORDAN</t>
  </si>
  <si>
    <t>19578427-2</t>
  </si>
  <si>
    <t>MORENO</t>
  </si>
  <si>
    <t>13726440-4</t>
  </si>
  <si>
    <t>ARAVENA </t>
  </si>
  <si>
    <t>VAZQUEZ</t>
  </si>
  <si>
    <t>MARCOS</t>
  </si>
  <si>
    <t>18501057-0</t>
  </si>
  <si>
    <t>BARRARE</t>
  </si>
  <si>
    <t>ABRAHAM</t>
  </si>
  <si>
    <t>14341569-4</t>
  </si>
  <si>
    <t xml:space="preserve">MICHAEL </t>
  </si>
  <si>
    <t xml:space="preserve">JARPA </t>
  </si>
  <si>
    <t>BARRA</t>
  </si>
  <si>
    <t>NAVEA</t>
  </si>
  <si>
    <t>LOZANO</t>
  </si>
  <si>
    <t>RIASCOS</t>
  </si>
  <si>
    <t>LINTON</t>
  </si>
  <si>
    <t>13025138-2</t>
  </si>
  <si>
    <t>27453592-K</t>
  </si>
  <si>
    <t>12188198-5</t>
  </si>
  <si>
    <t>MENA</t>
  </si>
  <si>
    <t>BADILLA</t>
  </si>
  <si>
    <t>BERNARDO</t>
  </si>
  <si>
    <t>9758880-5</t>
  </si>
  <si>
    <t>16736619-8</t>
  </si>
  <si>
    <t>VALDERRAMA</t>
  </si>
  <si>
    <t>DARLETH</t>
  </si>
  <si>
    <t>PRICSILA</t>
  </si>
  <si>
    <t>20210460-6</t>
  </si>
  <si>
    <t>20941532-1</t>
  </si>
  <si>
    <t>NECULMAN</t>
  </si>
  <si>
    <t>PRISCILA</t>
  </si>
  <si>
    <t>20210400-6</t>
  </si>
  <si>
    <t>13316376-K</t>
  </si>
  <si>
    <t>PICHON</t>
  </si>
  <si>
    <t>13025135-2</t>
  </si>
  <si>
    <t>9753556-5</t>
  </si>
  <si>
    <t>NORIN</t>
  </si>
  <si>
    <t>18683847-5</t>
  </si>
  <si>
    <t>CÓRDOVA</t>
  </si>
  <si>
    <t>20322176-2</t>
  </si>
  <si>
    <t>20618653-4</t>
  </si>
  <si>
    <t>FARIÑA</t>
  </si>
  <si>
    <t>20514920-1</t>
  </si>
  <si>
    <t>VILCHES</t>
  </si>
  <si>
    <t>JONATHAN</t>
  </si>
  <si>
    <t>SHERIDAN</t>
  </si>
  <si>
    <t>FEDERICO</t>
  </si>
  <si>
    <t>ANTINAO</t>
  </si>
  <si>
    <t>CALFIQUEO</t>
  </si>
  <si>
    <t>SCHIPMANN</t>
  </si>
  <si>
    <t>CARCAMO</t>
  </si>
  <si>
    <t>TOLEDO</t>
  </si>
  <si>
    <t>URRIOLA</t>
  </si>
  <si>
    <t>VILIA</t>
  </si>
  <si>
    <t>ROJO</t>
  </si>
  <si>
    <t>12973286-5</t>
  </si>
  <si>
    <t>20660891-9</t>
  </si>
  <si>
    <t>20580973-2</t>
  </si>
  <si>
    <t>19351605-K</t>
  </si>
  <si>
    <t>YAMBAMINI</t>
  </si>
  <si>
    <t>AGUANTA</t>
  </si>
  <si>
    <t>26816504-5</t>
  </si>
  <si>
    <t>HARDD</t>
  </si>
  <si>
    <t>20670313-K</t>
  </si>
  <si>
    <t>ESCABAL</t>
  </si>
  <si>
    <t>LISSETTE</t>
  </si>
  <si>
    <t>19878941-0</t>
  </si>
  <si>
    <t>ARACIBIA</t>
  </si>
  <si>
    <t>ROCO</t>
  </si>
  <si>
    <t>13949407-5</t>
  </si>
  <si>
    <t>VILLEGAS</t>
  </si>
  <si>
    <t>ANIBAL</t>
  </si>
  <si>
    <t>18900701-1</t>
  </si>
  <si>
    <t>AGUSTIN</t>
  </si>
  <si>
    <t>14727466-1</t>
  </si>
  <si>
    <t>MIRANDA</t>
  </si>
  <si>
    <t>20112892-7</t>
  </si>
  <si>
    <t>15330424-6</t>
  </si>
  <si>
    <t>HURVINA</t>
  </si>
  <si>
    <t>COBARUBIA</t>
  </si>
  <si>
    <t xml:space="preserve"> CUETO</t>
  </si>
  <si>
    <t xml:space="preserve"> SANDOVAL</t>
  </si>
  <si>
    <t>19510126-K</t>
  </si>
  <si>
    <t>19835830-K</t>
  </si>
  <si>
    <t>CUPO EN DPTO RESERVADO</t>
  </si>
  <si>
    <t>MILENA</t>
  </si>
  <si>
    <t>18579932-8</t>
  </si>
  <si>
    <t xml:space="preserve">CYNTHIA </t>
  </si>
  <si>
    <t>42B</t>
  </si>
  <si>
    <t>43B</t>
  </si>
  <si>
    <t>26B</t>
  </si>
  <si>
    <t>44B</t>
  </si>
  <si>
    <t>OJEDA</t>
  </si>
  <si>
    <t>AUGUSTO</t>
  </si>
  <si>
    <t>JACINTO</t>
  </si>
  <si>
    <t>16823187-3</t>
  </si>
  <si>
    <t>19654042-3</t>
  </si>
  <si>
    <t>19194470-4</t>
  </si>
  <si>
    <t>20384872-0</t>
  </si>
  <si>
    <t>AYALA</t>
  </si>
  <si>
    <t>HUMBERTO</t>
  </si>
  <si>
    <t>8849655-8</t>
  </si>
  <si>
    <t>VELIS</t>
  </si>
  <si>
    <t xml:space="preserve">AVILA </t>
  </si>
  <si>
    <t>CYNTHIA</t>
  </si>
  <si>
    <t xml:space="preserve">JAVIERA </t>
  </si>
  <si>
    <t xml:space="preserve">DANIELA </t>
  </si>
  <si>
    <t>ZAMORANO</t>
  </si>
  <si>
    <t>GILBERTO</t>
  </si>
  <si>
    <t xml:space="preserve">ANDERSON </t>
  </si>
  <si>
    <t>JOVANNI</t>
  </si>
  <si>
    <t>16768895-0</t>
  </si>
  <si>
    <t>15938076-9</t>
  </si>
  <si>
    <t>12B</t>
  </si>
  <si>
    <t>IMIHUALA</t>
  </si>
  <si>
    <t>COLLILEF</t>
  </si>
  <si>
    <t>19553112-9</t>
  </si>
  <si>
    <t>HUIRCAPAN</t>
  </si>
  <si>
    <t xml:space="preserve">RUCAN </t>
  </si>
  <si>
    <t>10332868-3</t>
  </si>
  <si>
    <t xml:space="preserve">BUSTOS </t>
  </si>
  <si>
    <t>FRANK</t>
  </si>
  <si>
    <t>20364247-4</t>
  </si>
  <si>
    <t>14273288-2</t>
  </si>
  <si>
    <t>ANGULO</t>
  </si>
  <si>
    <t>MARQUEZ</t>
  </si>
  <si>
    <t>9972192-8</t>
  </si>
  <si>
    <t>10367357-2</t>
  </si>
  <si>
    <t>11579721-2</t>
  </si>
  <si>
    <t>OLATE</t>
  </si>
  <si>
    <t>19565749-0</t>
  </si>
  <si>
    <t>VIEDMA</t>
  </si>
  <si>
    <t>LUCAS</t>
  </si>
  <si>
    <t>111295257-8</t>
  </si>
  <si>
    <t>11183349-4</t>
  </si>
  <si>
    <t>TOTAL HOSPEDADOS H1, H3, H7 Y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</si>
</sst>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340A]\ #,##0"/>
  </numFmts>
  <fonts count="25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28"/>
      <color theme="3"/>
      <name val="comic"/>
      <family val="5"/>
      <charset val="1"/>
    </font>
    <font>
      <b/>
      <sz val="13"/>
      <color rgb="FF000000"/>
      <name val="Calibri"/>
      <family val="2"/>
      <charset val="1"/>
    </font>
    <font>
      <b/>
      <sz val="14"/>
      <name val="Arial"/>
      <family val="2"/>
      <charset val="1"/>
    </font>
    <font>
      <sz val="7"/>
      <color rgb="FF000000"/>
      <name val="Calibri"/>
      <family val="2"/>
      <charset val="1"/>
    </font>
    <font>
      <b/>
      <sz val="12"/>
      <name val="Arial"/>
      <family val="2"/>
      <charset val="1"/>
    </font>
    <font>
      <b/>
      <sz val="8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sz val="8"/>
      <name val="Arial"/>
      <family val="2"/>
      <charset val="1"/>
    </font>
    <font>
      <b/>
      <sz val="12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sz val="16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theme="0"/>
      <name val="Arial"/>
      <family val="2"/>
      <charset val="1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A6A6A6"/>
        <bgColor rgb="FF8DB4E3"/>
      </patternFill>
    </fill>
    <fill>
      <patternFill patternType="solid">
        <fgColor rgb="FFFFFFFF"/>
        <bgColor rgb="FFFFFFCC"/>
      </patternFill>
    </fill>
    <fill>
      <patternFill patternType="solid">
        <fgColor theme="3" tint="0.59968871120334488"/>
        <bgColor rgb="FF9999FF"/>
      </patternFill>
    </fill>
    <fill>
      <patternFill patternType="solid">
        <fgColor rgb="FFFF0000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6" tint="0.79998168889431442"/>
        <bgColor rgb="FFFFCC99"/>
      </patternFill>
    </fill>
    <fill>
      <patternFill patternType="solid">
        <fgColor rgb="FFFFFF00"/>
        <bgColor rgb="FFFFFFCC"/>
      </patternFill>
    </fill>
    <fill>
      <patternFill patternType="solid">
        <fgColor theme="8" tint="0.79998168889431442"/>
        <bgColor rgb="FFFFCC99"/>
      </patternFill>
    </fill>
    <fill>
      <patternFill patternType="solid">
        <fgColor theme="4" tint="0.79998168889431442"/>
        <bgColor rgb="FFFFCC99"/>
      </patternFill>
    </fill>
    <fill>
      <patternFill patternType="solid">
        <fgColor theme="5" tint="0.79998168889431442"/>
        <bgColor rgb="FFFFCC99"/>
      </patternFill>
    </fill>
    <fill>
      <patternFill patternType="solid">
        <fgColor rgb="FFEE0000"/>
        <bgColor rgb="FFFFFFCC"/>
      </patternFill>
    </fill>
    <fill>
      <patternFill patternType="solid">
        <fgColor theme="2" tint="-9.9978637043366805E-2"/>
        <bgColor rgb="FFFFFFCC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1" fillId="0" borderId="0"/>
  </cellStyleXfs>
  <cellXfs count="130">
    <xf numFmtId="0" fontId="0" fillId="0" borderId="0" xfId="0"/>
    <xf numFmtId="0" fontId="2" fillId="0" borderId="0" xfId="5" applyAlignment="1">
      <alignment horizontal="center"/>
    </xf>
    <xf numFmtId="0" fontId="20" fillId="3" borderId="0" xfId="5" applyFont="1" applyFill="1" applyAlignment="1">
      <alignment horizontal="center"/>
    </xf>
    <xf numFmtId="0" fontId="2" fillId="0" borderId="0" xfId="5"/>
    <xf numFmtId="0" fontId="6" fillId="2" borderId="6" xfId="5" applyFont="1" applyFill="1" applyBorder="1" applyAlignment="1">
      <alignment horizontal="center" vertical="center"/>
    </xf>
    <xf numFmtId="0" fontId="6" fillId="2" borderId="7" xfId="5" applyFont="1" applyFill="1" applyBorder="1" applyAlignment="1">
      <alignment horizontal="center" vertical="center"/>
    </xf>
    <xf numFmtId="3" fontId="6" fillId="2" borderId="7" xfId="5" applyNumberFormat="1" applyFont="1" applyFill="1" applyBorder="1" applyAlignment="1">
      <alignment horizontal="center" vertical="center"/>
    </xf>
    <xf numFmtId="0" fontId="6" fillId="2" borderId="8" xfId="5" applyFont="1" applyFill="1" applyBorder="1" applyAlignment="1">
      <alignment horizontal="center" vertical="center"/>
    </xf>
    <xf numFmtId="0" fontId="6" fillId="2" borderId="9" xfId="5" applyFont="1" applyFill="1" applyBorder="1" applyAlignment="1">
      <alignment horizontal="center" vertical="center"/>
    </xf>
    <xf numFmtId="0" fontId="6" fillId="2" borderId="10" xfId="5" applyFont="1" applyFill="1" applyBorder="1" applyAlignment="1">
      <alignment horizontal="center" vertical="center"/>
    </xf>
    <xf numFmtId="0" fontId="11" fillId="3" borderId="12" xfId="5" applyFont="1" applyFill="1" applyBorder="1" applyAlignment="1">
      <alignment horizontal="center" vertical="center"/>
    </xf>
    <xf numFmtId="164" fontId="12" fillId="3" borderId="11" xfId="5" applyNumberFormat="1" applyFont="1" applyFill="1" applyBorder="1" applyAlignment="1">
      <alignment horizontal="center" vertical="center"/>
    </xf>
    <xf numFmtId="164" fontId="12" fillId="3" borderId="12" xfId="5" applyNumberFormat="1" applyFont="1" applyFill="1" applyBorder="1" applyAlignment="1">
      <alignment horizontal="center" vertical="center"/>
    </xf>
    <xf numFmtId="0" fontId="11" fillId="3" borderId="13" xfId="5" applyFont="1" applyFill="1" applyBorder="1" applyAlignment="1">
      <alignment horizontal="center" vertical="center"/>
    </xf>
    <xf numFmtId="164" fontId="12" fillId="3" borderId="13" xfId="5" applyNumberFormat="1" applyFont="1" applyFill="1" applyBorder="1" applyAlignment="1">
      <alignment horizontal="center" vertical="center"/>
    </xf>
    <xf numFmtId="164" fontId="11" fillId="3" borderId="12" xfId="5" applyNumberFormat="1" applyFont="1" applyFill="1" applyBorder="1" applyAlignment="1">
      <alignment horizontal="center" vertical="center"/>
    </xf>
    <xf numFmtId="0" fontId="2" fillId="3" borderId="11" xfId="5" applyFill="1" applyBorder="1"/>
    <xf numFmtId="0" fontId="14" fillId="0" borderId="12" xfId="5" applyFont="1" applyBorder="1" applyAlignment="1">
      <alignment horizontal="center"/>
    </xf>
    <xf numFmtId="164" fontId="2" fillId="0" borderId="12" xfId="5" applyNumberFormat="1" applyBorder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6" fillId="2" borderId="15" xfId="5" applyFont="1" applyFill="1" applyBorder="1" applyAlignment="1">
      <alignment horizontal="center" vertical="center"/>
    </xf>
    <xf numFmtId="0" fontId="6" fillId="2" borderId="16" xfId="5" applyFont="1" applyFill="1" applyBorder="1" applyAlignment="1">
      <alignment horizontal="center" vertical="center"/>
    </xf>
    <xf numFmtId="1" fontId="2" fillId="0" borderId="12" xfId="5" applyNumberFormat="1" applyBorder="1" applyAlignment="1">
      <alignment horizontal="center" vertical="center"/>
    </xf>
    <xf numFmtId="1" fontId="11" fillId="3" borderId="12" xfId="5" applyNumberFormat="1" applyFont="1" applyFill="1" applyBorder="1" applyAlignment="1">
      <alignment horizontal="center" vertical="center"/>
    </xf>
    <xf numFmtId="0" fontId="18" fillId="0" borderId="0" xfId="5" applyFont="1"/>
    <xf numFmtId="164" fontId="8" fillId="3" borderId="12" xfId="5" applyNumberFormat="1" applyFont="1" applyFill="1" applyBorder="1" applyAlignment="1">
      <alignment horizontal="left" vertical="center"/>
    </xf>
    <xf numFmtId="164" fontId="8" fillId="3" borderId="12" xfId="5" applyNumberFormat="1" applyFont="1" applyFill="1" applyBorder="1" applyAlignment="1">
      <alignment horizontal="right" vertical="center"/>
    </xf>
    <xf numFmtId="0" fontId="18" fillId="0" borderId="0" xfId="5" applyFont="1" applyAlignment="1">
      <alignment horizontal="center"/>
    </xf>
    <xf numFmtId="164" fontId="19" fillId="3" borderId="12" xfId="5" applyNumberFormat="1" applyFont="1" applyFill="1" applyBorder="1" applyAlignment="1">
      <alignment horizontal="left" vertical="center"/>
    </xf>
    <xf numFmtId="164" fontId="19" fillId="3" borderId="12" xfId="5" applyNumberFormat="1" applyFont="1" applyFill="1" applyBorder="1" applyAlignment="1">
      <alignment horizontal="right" vertical="center"/>
    </xf>
    <xf numFmtId="0" fontId="20" fillId="3" borderId="0" xfId="5" applyFont="1" applyFill="1"/>
    <xf numFmtId="0" fontId="9" fillId="6" borderId="11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left"/>
    </xf>
    <xf numFmtId="0" fontId="10" fillId="6" borderId="11" xfId="5" applyFont="1" applyFill="1" applyBorder="1"/>
    <xf numFmtId="0" fontId="9" fillId="6" borderId="12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left"/>
    </xf>
    <xf numFmtId="0" fontId="10" fillId="6" borderId="12" xfId="5" applyFont="1" applyFill="1" applyBorder="1"/>
    <xf numFmtId="0" fontId="9" fillId="6" borderId="13" xfId="0" applyFont="1" applyFill="1" applyBorder="1" applyAlignment="1">
      <alignment horizontal="left"/>
    </xf>
    <xf numFmtId="0" fontId="10" fillId="6" borderId="13" xfId="5" applyFont="1" applyFill="1" applyBorder="1"/>
    <xf numFmtId="0" fontId="13" fillId="3" borderId="11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left" vertical="center"/>
    </xf>
    <xf numFmtId="0" fontId="11" fillId="3" borderId="11" xfId="5" applyFont="1" applyFill="1" applyBorder="1" applyAlignment="1">
      <alignment horizontal="center" vertical="center"/>
    </xf>
    <xf numFmtId="164" fontId="11" fillId="3" borderId="11" xfId="5" applyNumberFormat="1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10" fillId="5" borderId="11" xfId="5" applyFont="1" applyFill="1" applyBorder="1"/>
    <xf numFmtId="0" fontId="8" fillId="7" borderId="13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0" fillId="5" borderId="13" xfId="5" applyFont="1" applyFill="1" applyBorder="1"/>
    <xf numFmtId="0" fontId="8" fillId="7" borderId="12" xfId="0" applyFont="1" applyFill="1" applyBorder="1" applyAlignment="1">
      <alignment horizontal="center" vertical="center"/>
    </xf>
    <xf numFmtId="0" fontId="10" fillId="5" borderId="12" xfId="5" applyFont="1" applyFill="1" applyBorder="1"/>
    <xf numFmtId="1" fontId="2" fillId="0" borderId="0" xfId="5" applyNumberFormat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left"/>
    </xf>
    <xf numFmtId="0" fontId="10" fillId="6" borderId="17" xfId="5" applyFont="1" applyFill="1" applyBorder="1"/>
    <xf numFmtId="0" fontId="10" fillId="5" borderId="17" xfId="5" applyFont="1" applyFill="1" applyBorder="1"/>
    <xf numFmtId="164" fontId="12" fillId="3" borderId="17" xfId="5" applyNumberFormat="1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/>
    </xf>
    <xf numFmtId="0" fontId="9" fillId="8" borderId="13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/>
    </xf>
    <xf numFmtId="0" fontId="10" fillId="12" borderId="11" xfId="5" applyFont="1" applyFill="1" applyBorder="1"/>
    <xf numFmtId="0" fontId="10" fillId="12" borderId="12" xfId="5" applyFont="1" applyFill="1" applyBorder="1"/>
    <xf numFmtId="0" fontId="17" fillId="12" borderId="12" xfId="0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10" fillId="12" borderId="13" xfId="5" applyFont="1" applyFill="1" applyBorder="1"/>
    <xf numFmtId="0" fontId="9" fillId="13" borderId="11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 vertical="center"/>
    </xf>
    <xf numFmtId="0" fontId="10" fillId="12" borderId="17" xfId="5" applyFont="1" applyFill="1" applyBorder="1"/>
    <xf numFmtId="0" fontId="14" fillId="0" borderId="0" xfId="5" applyFont="1" applyAlignment="1">
      <alignment horizontal="center"/>
    </xf>
    <xf numFmtId="164" fontId="2" fillId="0" borderId="0" xfId="5" applyNumberFormat="1"/>
    <xf numFmtId="0" fontId="2" fillId="3" borderId="0" xfId="5" applyFill="1"/>
    <xf numFmtId="0" fontId="2" fillId="0" borderId="12" xfId="5" applyBorder="1" applyAlignment="1">
      <alignment horizontal="center"/>
    </xf>
    <xf numFmtId="0" fontId="24" fillId="0" borderId="12" xfId="5" applyFont="1" applyBorder="1" applyAlignment="1">
      <alignment horizontal="center"/>
    </xf>
    <xf numFmtId="0" fontId="9" fillId="6" borderId="23" xfId="0" applyFont="1" applyFill="1" applyBorder="1" applyAlignment="1">
      <alignment horizontal="left"/>
    </xf>
    <xf numFmtId="0" fontId="9" fillId="6" borderId="24" xfId="0" applyFont="1" applyFill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left"/>
    </xf>
    <xf numFmtId="0" fontId="9" fillId="6" borderId="19" xfId="0" applyFont="1" applyFill="1" applyBorder="1" applyAlignment="1">
      <alignment horizontal="left"/>
    </xf>
    <xf numFmtId="0" fontId="9" fillId="6" borderId="20" xfId="0" applyFont="1" applyFill="1" applyBorder="1" applyAlignment="1">
      <alignment horizontal="center"/>
    </xf>
    <xf numFmtId="0" fontId="9" fillId="6" borderId="24" xfId="0" applyFont="1" applyFill="1" applyBorder="1" applyAlignment="1">
      <alignment horizontal="center"/>
    </xf>
    <xf numFmtId="0" fontId="11" fillId="8" borderId="12" xfId="5" applyFont="1" applyFill="1" applyBorder="1" applyAlignment="1">
      <alignment horizontal="center" vertical="center"/>
    </xf>
    <xf numFmtId="0" fontId="9" fillId="14" borderId="11" xfId="0" applyFont="1" applyFill="1" applyBorder="1" applyAlignment="1">
      <alignment horizontal="center"/>
    </xf>
    <xf numFmtId="0" fontId="9" fillId="14" borderId="13" xfId="0" applyFont="1" applyFill="1" applyBorder="1" applyAlignment="1">
      <alignment horizontal="center"/>
    </xf>
    <xf numFmtId="0" fontId="11" fillId="14" borderId="12" xfId="5" applyFont="1" applyFill="1" applyBorder="1" applyAlignment="1">
      <alignment horizontal="center" vertical="center"/>
    </xf>
    <xf numFmtId="0" fontId="11" fillId="14" borderId="13" xfId="5" applyFont="1" applyFill="1" applyBorder="1" applyAlignment="1">
      <alignment horizontal="center" vertical="center"/>
    </xf>
    <xf numFmtId="0" fontId="11" fillId="8" borderId="13" xfId="5" applyFont="1" applyFill="1" applyBorder="1" applyAlignment="1">
      <alignment horizontal="center" vertical="center"/>
    </xf>
    <xf numFmtId="0" fontId="20" fillId="3" borderId="0" xfId="5" applyFont="1" applyFill="1" applyAlignment="1">
      <alignment horizontal="center"/>
    </xf>
    <xf numFmtId="0" fontId="7" fillId="0" borderId="5" xfId="5" applyFont="1" applyBorder="1" applyAlignment="1">
      <alignment horizontal="center" vertical="center"/>
    </xf>
    <xf numFmtId="0" fontId="2" fillId="0" borderId="0" xfId="5" applyAlignment="1">
      <alignment horizontal="center"/>
    </xf>
    <xf numFmtId="0" fontId="16" fillId="3" borderId="18" xfId="5" applyFont="1" applyFill="1" applyBorder="1" applyAlignment="1">
      <alignment horizontal="center" vertical="center"/>
    </xf>
    <xf numFmtId="0" fontId="16" fillId="3" borderId="19" xfId="5" applyFont="1" applyFill="1" applyBorder="1" applyAlignment="1">
      <alignment horizontal="center" vertical="center"/>
    </xf>
    <xf numFmtId="0" fontId="16" fillId="3" borderId="20" xfId="5" applyFont="1" applyFill="1" applyBorder="1" applyAlignment="1">
      <alignment horizontal="center" vertical="center"/>
    </xf>
    <xf numFmtId="14" fontId="6" fillId="0" borderId="4" xfId="5" applyNumberFormat="1" applyFont="1" applyBorder="1" applyAlignment="1">
      <alignment horizontal="center" vertical="center" textRotation="90"/>
    </xf>
    <xf numFmtId="14" fontId="6" fillId="15" borderId="4" xfId="5" applyNumberFormat="1" applyFont="1" applyFill="1" applyBorder="1" applyAlignment="1">
      <alignment horizontal="center" vertical="center" textRotation="90"/>
    </xf>
    <xf numFmtId="0" fontId="15" fillId="4" borderId="37" xfId="5" applyFont="1" applyFill="1" applyBorder="1" applyAlignment="1">
      <alignment horizontal="center" vertical="center"/>
    </xf>
    <xf numFmtId="0" fontId="15" fillId="4" borderId="38" xfId="5" applyFont="1" applyFill="1" applyBorder="1" applyAlignment="1">
      <alignment horizontal="center" vertical="center"/>
    </xf>
    <xf numFmtId="0" fontId="15" fillId="4" borderId="39" xfId="5" applyFont="1" applyFill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5" fillId="0" borderId="30" xfId="5" applyFont="1" applyBorder="1" applyAlignment="1">
      <alignment horizontal="center" vertical="center"/>
    </xf>
    <xf numFmtId="0" fontId="5" fillId="0" borderId="31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5" fillId="0" borderId="33" xfId="5" applyFont="1" applyBorder="1" applyAlignment="1">
      <alignment horizontal="center" vertical="center"/>
    </xf>
    <xf numFmtId="0" fontId="5" fillId="0" borderId="34" xfId="5" applyFont="1" applyBorder="1" applyAlignment="1">
      <alignment horizontal="center" vertical="center"/>
    </xf>
    <xf numFmtId="0" fontId="5" fillId="0" borderId="35" xfId="5" applyFont="1" applyBorder="1" applyAlignment="1">
      <alignment horizontal="center" vertical="center"/>
    </xf>
    <xf numFmtId="0" fontId="5" fillId="0" borderId="36" xfId="5" applyFont="1" applyBorder="1" applyAlignment="1">
      <alignment horizontal="center" vertical="center"/>
    </xf>
    <xf numFmtId="0" fontId="2" fillId="0" borderId="1" xfId="5" applyBorder="1" applyAlignment="1">
      <alignment horizontal="center"/>
    </xf>
    <xf numFmtId="0" fontId="3" fillId="0" borderId="2" xfId="5" applyFont="1" applyBorder="1" applyAlignment="1">
      <alignment horizontal="left" vertical="top"/>
    </xf>
    <xf numFmtId="0" fontId="4" fillId="0" borderId="2" xfId="5" applyFont="1" applyBorder="1" applyAlignment="1">
      <alignment horizontal="left" vertical="center"/>
    </xf>
    <xf numFmtId="0" fontId="5" fillId="0" borderId="3" xfId="5" applyFont="1" applyBorder="1" applyAlignment="1">
      <alignment horizontal="center" vertical="center"/>
    </xf>
    <xf numFmtId="0" fontId="2" fillId="0" borderId="18" xfId="5" applyBorder="1" applyAlignment="1">
      <alignment horizontal="center"/>
    </xf>
    <xf numFmtId="0" fontId="2" fillId="0" borderId="19" xfId="5" applyBorder="1" applyAlignment="1">
      <alignment horizontal="center"/>
    </xf>
    <xf numFmtId="0" fontId="2" fillId="0" borderId="20" xfId="5" applyBorder="1" applyAlignment="1">
      <alignment horizontal="center"/>
    </xf>
    <xf numFmtId="0" fontId="15" fillId="4" borderId="14" xfId="5" applyFont="1" applyFill="1" applyBorder="1" applyAlignment="1">
      <alignment horizontal="center" vertical="center"/>
    </xf>
    <xf numFmtId="0" fontId="16" fillId="3" borderId="12" xfId="5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0" fontId="9" fillId="6" borderId="26" xfId="0" applyFont="1" applyFill="1" applyBorder="1" applyAlignment="1">
      <alignment horizontal="center"/>
    </xf>
    <xf numFmtId="0" fontId="9" fillId="6" borderId="27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14" fontId="6" fillId="0" borderId="21" xfId="5" applyNumberFormat="1" applyFont="1" applyBorder="1" applyAlignment="1">
      <alignment horizontal="center" vertical="center" textRotation="90"/>
    </xf>
    <xf numFmtId="14" fontId="6" fillId="0" borderId="22" xfId="5" applyNumberFormat="1" applyFont="1" applyBorder="1" applyAlignment="1">
      <alignment horizontal="center" vertical="center" textRotation="90"/>
    </xf>
  </cellXfs>
  <cellStyles count="9">
    <cellStyle name="Normal" xfId="0" builtinId="0"/>
    <cellStyle name="Normal 10" xfId="8" xr:uid="{20E31DBF-8F3C-4887-BD53-7F5AB75E002C}"/>
    <cellStyle name="Normal 2" xfId="1" xr:uid="{00000000-0005-0000-0000-000006000000}"/>
    <cellStyle name="Normal 2 2" xfId="7" xr:uid="{3B86A4E8-87CB-4684-BF1D-5566750A8D3F}"/>
    <cellStyle name="Normal 3" xfId="2" xr:uid="{00000000-0005-0000-0000-000007000000}"/>
    <cellStyle name="Normal 4" xfId="3" xr:uid="{00000000-0005-0000-0000-000008000000}"/>
    <cellStyle name="Normal 5" xfId="4" xr:uid="{00000000-0005-0000-0000-000009000000}"/>
    <cellStyle name="Normal 6" xfId="5" xr:uid="{00000000-0005-0000-0000-00000A000000}"/>
    <cellStyle name="Normal 7" xfId="6" xr:uid="{2456A267-FCBD-4735-BF75-A86B57B9BAD6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444240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7703993-FDBF-4098-96F8-2EED74FEBC2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597150" cy="7016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444240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5EE130-B8F7-4D7B-B888-E92BF6968A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597150" cy="7016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444240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614E90-1622-49D9-8DBC-6CBC059C2D4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597150" cy="7016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447532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778200" cy="701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A04F-FEC7-4DF1-B52C-03C46657B1E5}">
  <dimension ref="A1:AP669"/>
  <sheetViews>
    <sheetView tabSelected="1" zoomScale="106" zoomScaleNormal="106" workbookViewId="0">
      <pane xSplit="6" ySplit="9" topLeftCell="G641" activePane="bottomRight" state="frozen"/>
      <selection pane="topRight" activeCell="I1" sqref="I1"/>
      <selection pane="bottomLeft" activeCell="A46" sqref="A46"/>
      <selection pane="bottomRight" activeCell="AK652" sqref="AK652"/>
    </sheetView>
  </sheetViews>
  <sheetFormatPr baseColWidth="10" defaultColWidth="11.42578125" defaultRowHeight="12.75"/>
  <cols>
    <col min="1" max="1" width="6.28515625" style="1" customWidth="1"/>
    <col min="2" max="2" width="4.7109375" style="1" customWidth="1"/>
    <col min="3" max="3" width="10.7109375" style="3" customWidth="1"/>
    <col min="4" max="4" width="12.42578125" style="3" customWidth="1"/>
    <col min="5" max="5" width="13.5703125" style="3" customWidth="1"/>
    <col min="6" max="6" width="10.5703125" style="1" customWidth="1"/>
    <col min="7" max="7" width="5.42578125" style="3" customWidth="1"/>
    <col min="8" max="13" width="4.140625" style="3" customWidth="1"/>
    <col min="14" max="14" width="4.28515625" style="3" customWidth="1"/>
    <col min="15" max="15" width="4.140625" style="3" customWidth="1"/>
    <col min="16" max="16" width="4.28515625" style="3" customWidth="1"/>
    <col min="17" max="25" width="4.140625" style="3" customWidth="1"/>
    <col min="26" max="27" width="4.28515625" style="3" customWidth="1"/>
    <col min="28" max="36" width="4.140625" style="3" customWidth="1"/>
    <col min="37" max="37" width="5.5703125" style="3" customWidth="1"/>
    <col min="38" max="38" width="18.28515625" style="3" customWidth="1"/>
    <col min="39" max="39" width="15.5703125" style="3" customWidth="1"/>
    <col min="40" max="40" width="4.140625" style="3" bestFit="1" customWidth="1"/>
    <col min="41" max="43" width="3" style="3" customWidth="1"/>
    <col min="44" max="16384" width="11.42578125" style="3"/>
  </cols>
  <sheetData>
    <row r="1" spans="1:39" ht="12.75" customHeight="1" thickBot="1">
      <c r="A1" s="113"/>
      <c r="B1" s="113"/>
      <c r="C1" s="113"/>
      <c r="D1" s="113"/>
      <c r="E1" s="113"/>
      <c r="F1" s="113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</row>
    <row r="2" spans="1:39" ht="12.75" customHeight="1" thickBot="1">
      <c r="A2" s="113"/>
      <c r="B2" s="113"/>
      <c r="C2" s="113"/>
      <c r="D2" s="113"/>
      <c r="E2" s="113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</row>
    <row r="3" spans="1:39" ht="20.25" customHeight="1" thickBot="1">
      <c r="A3" s="113"/>
      <c r="B3" s="113"/>
      <c r="C3" s="113"/>
      <c r="D3" s="113"/>
      <c r="E3" s="113"/>
      <c r="F3" s="113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</row>
    <row r="4" spans="1:39" ht="12.75" customHeight="1" thickBot="1">
      <c r="A4" s="113"/>
      <c r="B4" s="113"/>
      <c r="C4" s="113"/>
      <c r="D4" s="113"/>
      <c r="E4" s="113"/>
      <c r="F4" s="113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</row>
    <row r="5" spans="1:39" ht="7.5" customHeight="1" thickBot="1">
      <c r="A5" s="113"/>
      <c r="B5" s="113"/>
      <c r="C5" s="113"/>
      <c r="D5" s="113"/>
      <c r="E5" s="113"/>
      <c r="F5" s="113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 spans="1:39" ht="12.75" customHeight="1" thickBot="1">
      <c r="A6" s="116" t="s">
        <v>736</v>
      </c>
      <c r="B6" s="116"/>
      <c r="C6" s="116"/>
      <c r="D6" s="116"/>
      <c r="E6" s="116"/>
      <c r="F6" s="116"/>
      <c r="G6" s="100">
        <v>45778</v>
      </c>
      <c r="H6" s="100">
        <v>45779</v>
      </c>
      <c r="I6" s="100">
        <v>45780</v>
      </c>
      <c r="J6" s="100">
        <v>45781</v>
      </c>
      <c r="K6" s="100">
        <v>45782</v>
      </c>
      <c r="L6" s="100">
        <v>45783</v>
      </c>
      <c r="M6" s="100">
        <v>45784</v>
      </c>
      <c r="N6" s="100">
        <v>45785</v>
      </c>
      <c r="O6" s="100">
        <v>45786</v>
      </c>
      <c r="P6" s="100">
        <v>45787</v>
      </c>
      <c r="Q6" s="100">
        <v>45788</v>
      </c>
      <c r="R6" s="100">
        <v>45789</v>
      </c>
      <c r="S6" s="100">
        <v>45790</v>
      </c>
      <c r="T6" s="100">
        <v>45791</v>
      </c>
      <c r="U6" s="100">
        <v>45792</v>
      </c>
      <c r="V6" s="100">
        <v>45793</v>
      </c>
      <c r="W6" s="100">
        <v>45794</v>
      </c>
      <c r="X6" s="100">
        <v>45795</v>
      </c>
      <c r="Y6" s="100">
        <v>45796</v>
      </c>
      <c r="Z6" s="100">
        <v>45797</v>
      </c>
      <c r="AA6" s="100">
        <v>45798</v>
      </c>
      <c r="AB6" s="100">
        <v>45799</v>
      </c>
      <c r="AC6" s="100">
        <v>45800</v>
      </c>
      <c r="AD6" s="100">
        <v>45801</v>
      </c>
      <c r="AE6" s="100">
        <v>45802</v>
      </c>
      <c r="AF6" s="100">
        <v>45803</v>
      </c>
      <c r="AG6" s="100">
        <v>45804</v>
      </c>
      <c r="AH6" s="100">
        <v>45805</v>
      </c>
      <c r="AI6" s="100">
        <v>45806</v>
      </c>
      <c r="AJ6" s="100">
        <v>45807</v>
      </c>
      <c r="AK6" s="94" t="s">
        <v>735</v>
      </c>
      <c r="AL6" s="94"/>
      <c r="AM6" s="94"/>
    </row>
    <row r="7" spans="1:39" ht="15" customHeight="1" thickBot="1">
      <c r="A7" s="116"/>
      <c r="B7" s="116"/>
      <c r="C7" s="116"/>
      <c r="D7" s="116"/>
      <c r="E7" s="116"/>
      <c r="F7" s="116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94"/>
      <c r="AL7" s="94"/>
      <c r="AM7" s="94"/>
    </row>
    <row r="8" spans="1:39" ht="15.75" customHeight="1" thickBot="1">
      <c r="A8" s="116"/>
      <c r="B8" s="116"/>
      <c r="C8" s="116"/>
      <c r="D8" s="116"/>
      <c r="E8" s="116"/>
      <c r="F8" s="116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94"/>
      <c r="AL8" s="94"/>
      <c r="AM8" s="94"/>
    </row>
    <row r="9" spans="1:39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7" t="s">
        <v>5</v>
      </c>
      <c r="AL9" s="8" t="s">
        <v>6</v>
      </c>
      <c r="AM9" s="9" t="s">
        <v>7</v>
      </c>
    </row>
    <row r="10" spans="1:39">
      <c r="A10" s="48" t="s">
        <v>84</v>
      </c>
      <c r="B10" s="32">
        <v>3</v>
      </c>
      <c r="C10" s="33" t="s">
        <v>103</v>
      </c>
      <c r="D10" s="33" t="s">
        <v>104</v>
      </c>
      <c r="E10" s="33" t="s">
        <v>21</v>
      </c>
      <c r="F10" s="32" t="s">
        <v>105</v>
      </c>
      <c r="G10" s="34">
        <v>1</v>
      </c>
      <c r="H10" s="34">
        <v>1</v>
      </c>
      <c r="I10" s="34">
        <v>1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10">
        <f t="shared" ref="AK10:AK73" si="0">SUM(G10:AJ10)</f>
        <v>3</v>
      </c>
      <c r="AL10" s="11">
        <v>32000</v>
      </c>
      <c r="AM10" s="12">
        <f t="shared" ref="AM10:AM48" si="1">AL10*AK10</f>
        <v>96000</v>
      </c>
    </row>
    <row r="11" spans="1:39">
      <c r="A11" s="48" t="s">
        <v>84</v>
      </c>
      <c r="B11" s="32">
        <v>3</v>
      </c>
      <c r="C11" s="33" t="s">
        <v>282</v>
      </c>
      <c r="D11" s="33" t="s">
        <v>737</v>
      </c>
      <c r="E11" s="33" t="s">
        <v>738</v>
      </c>
      <c r="F11" s="32" t="s">
        <v>670</v>
      </c>
      <c r="G11" s="34">
        <v>1</v>
      </c>
      <c r="H11" s="34">
        <v>1</v>
      </c>
      <c r="I11" s="34">
        <v>1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10">
        <f t="shared" si="0"/>
        <v>3</v>
      </c>
      <c r="AL11" s="11">
        <v>32000</v>
      </c>
      <c r="AM11" s="12">
        <f t="shared" si="1"/>
        <v>96000</v>
      </c>
    </row>
    <row r="12" spans="1:39">
      <c r="A12" s="48" t="s">
        <v>84</v>
      </c>
      <c r="B12" s="32">
        <v>5</v>
      </c>
      <c r="C12" s="33" t="s">
        <v>210</v>
      </c>
      <c r="D12" s="33" t="s">
        <v>210</v>
      </c>
      <c r="E12" s="33" t="s">
        <v>9</v>
      </c>
      <c r="F12" s="32" t="s">
        <v>435</v>
      </c>
      <c r="G12" s="34">
        <v>1</v>
      </c>
      <c r="H12" s="34">
        <v>1</v>
      </c>
      <c r="I12" s="34">
        <v>1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10">
        <f t="shared" si="0"/>
        <v>3</v>
      </c>
      <c r="AL12" s="11">
        <v>32000</v>
      </c>
      <c r="AM12" s="12">
        <f t="shared" si="1"/>
        <v>96000</v>
      </c>
    </row>
    <row r="13" spans="1:39">
      <c r="A13" s="48" t="s">
        <v>84</v>
      </c>
      <c r="B13" s="32">
        <v>5</v>
      </c>
      <c r="C13" s="33" t="s">
        <v>436</v>
      </c>
      <c r="D13" s="33" t="s">
        <v>290</v>
      </c>
      <c r="E13" s="33" t="s">
        <v>168</v>
      </c>
      <c r="F13" s="32" t="s">
        <v>437</v>
      </c>
      <c r="G13" s="34">
        <v>1</v>
      </c>
      <c r="H13" s="34">
        <v>1</v>
      </c>
      <c r="I13" s="34">
        <v>1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10">
        <f t="shared" si="0"/>
        <v>3</v>
      </c>
      <c r="AL13" s="11">
        <v>32000</v>
      </c>
      <c r="AM13" s="12">
        <f t="shared" si="1"/>
        <v>96000</v>
      </c>
    </row>
    <row r="14" spans="1:39">
      <c r="A14" s="48" t="s">
        <v>84</v>
      </c>
      <c r="B14" s="32">
        <v>9</v>
      </c>
      <c r="C14" s="33" t="s">
        <v>118</v>
      </c>
      <c r="D14" s="33" t="s">
        <v>191</v>
      </c>
      <c r="E14" s="33" t="s">
        <v>192</v>
      </c>
      <c r="F14" s="32" t="s">
        <v>193</v>
      </c>
      <c r="G14" s="34">
        <v>1</v>
      </c>
      <c r="H14" s="34">
        <v>1</v>
      </c>
      <c r="I14" s="34">
        <v>1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10">
        <f t="shared" si="0"/>
        <v>3</v>
      </c>
      <c r="AL14" s="11">
        <v>32000</v>
      </c>
      <c r="AM14" s="12">
        <f t="shared" si="1"/>
        <v>96000</v>
      </c>
    </row>
    <row r="15" spans="1:39">
      <c r="A15" s="48" t="s">
        <v>84</v>
      </c>
      <c r="B15" s="32">
        <v>10</v>
      </c>
      <c r="C15" s="33" t="s">
        <v>338</v>
      </c>
      <c r="D15" s="33" t="s">
        <v>50</v>
      </c>
      <c r="E15" s="33" t="s">
        <v>23</v>
      </c>
      <c r="F15" s="32" t="s">
        <v>110</v>
      </c>
      <c r="G15" s="34">
        <v>1</v>
      </c>
      <c r="H15" s="34">
        <v>1</v>
      </c>
      <c r="I15" s="34">
        <v>1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10">
        <f t="shared" si="0"/>
        <v>3</v>
      </c>
      <c r="AL15" s="11">
        <v>32000</v>
      </c>
      <c r="AM15" s="12">
        <f t="shared" si="1"/>
        <v>96000</v>
      </c>
    </row>
    <row r="16" spans="1:39">
      <c r="A16" s="48" t="s">
        <v>84</v>
      </c>
      <c r="B16" s="32">
        <v>10</v>
      </c>
      <c r="C16" s="33" t="s">
        <v>111</v>
      </c>
      <c r="D16" s="33" t="s">
        <v>111</v>
      </c>
      <c r="E16" s="33" t="s">
        <v>112</v>
      </c>
      <c r="F16" s="32" t="s">
        <v>113</v>
      </c>
      <c r="G16" s="34">
        <v>1</v>
      </c>
      <c r="H16" s="34">
        <v>1</v>
      </c>
      <c r="I16" s="34">
        <v>1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10">
        <f t="shared" si="0"/>
        <v>3</v>
      </c>
      <c r="AL16" s="11">
        <v>32000</v>
      </c>
      <c r="AM16" s="12">
        <f t="shared" si="1"/>
        <v>96000</v>
      </c>
    </row>
    <row r="17" spans="1:39">
      <c r="A17" s="48" t="s">
        <v>84</v>
      </c>
      <c r="B17" s="32">
        <v>11</v>
      </c>
      <c r="C17" s="33" t="s">
        <v>342</v>
      </c>
      <c r="D17" s="33" t="s">
        <v>344</v>
      </c>
      <c r="E17" s="33" t="s">
        <v>187</v>
      </c>
      <c r="F17" s="32" t="s">
        <v>345</v>
      </c>
      <c r="G17" s="34">
        <v>1</v>
      </c>
      <c r="H17" s="34">
        <v>1</v>
      </c>
      <c r="I17" s="34">
        <v>1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10">
        <f t="shared" si="0"/>
        <v>3</v>
      </c>
      <c r="AL17" s="11">
        <v>32000</v>
      </c>
      <c r="AM17" s="12">
        <f t="shared" si="1"/>
        <v>96000</v>
      </c>
    </row>
    <row r="18" spans="1:39">
      <c r="A18" s="48" t="s">
        <v>84</v>
      </c>
      <c r="B18" s="32">
        <v>11</v>
      </c>
      <c r="C18" s="33" t="s">
        <v>286</v>
      </c>
      <c r="D18" s="33" t="s">
        <v>286</v>
      </c>
      <c r="E18" s="33" t="s">
        <v>303</v>
      </c>
      <c r="F18" s="32" t="s">
        <v>552</v>
      </c>
      <c r="G18" s="34">
        <v>1</v>
      </c>
      <c r="H18" s="34">
        <v>1</v>
      </c>
      <c r="I18" s="34">
        <v>1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10">
        <f t="shared" si="0"/>
        <v>3</v>
      </c>
      <c r="AL18" s="11">
        <v>32000</v>
      </c>
      <c r="AM18" s="12">
        <f t="shared" si="1"/>
        <v>96000</v>
      </c>
    </row>
    <row r="19" spans="1:39">
      <c r="A19" s="48" t="s">
        <v>84</v>
      </c>
      <c r="B19" s="32">
        <v>13</v>
      </c>
      <c r="C19" s="33" t="s">
        <v>681</v>
      </c>
      <c r="D19" s="33" t="s">
        <v>156</v>
      </c>
      <c r="E19" s="33" t="s">
        <v>682</v>
      </c>
      <c r="F19" s="32" t="s">
        <v>684</v>
      </c>
      <c r="G19" s="34">
        <v>1</v>
      </c>
      <c r="H19" s="34">
        <v>1</v>
      </c>
      <c r="I19" s="34">
        <v>1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10">
        <f t="shared" si="0"/>
        <v>3</v>
      </c>
      <c r="AL19" s="11">
        <v>32000</v>
      </c>
      <c r="AM19" s="12">
        <f t="shared" si="1"/>
        <v>96000</v>
      </c>
    </row>
    <row r="20" spans="1:39">
      <c r="A20" s="48" t="s">
        <v>84</v>
      </c>
      <c r="B20" s="32">
        <v>13</v>
      </c>
      <c r="C20" s="33" t="s">
        <v>538</v>
      </c>
      <c r="D20" s="33" t="s">
        <v>394</v>
      </c>
      <c r="E20" s="33" t="s">
        <v>200</v>
      </c>
      <c r="F20" s="32" t="s">
        <v>683</v>
      </c>
      <c r="G20" s="34">
        <v>1</v>
      </c>
      <c r="H20" s="34">
        <v>1</v>
      </c>
      <c r="I20" s="34">
        <v>1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10">
        <f t="shared" si="0"/>
        <v>3</v>
      </c>
      <c r="AL20" s="11">
        <v>32000</v>
      </c>
      <c r="AM20" s="12">
        <f t="shared" si="1"/>
        <v>96000</v>
      </c>
    </row>
    <row r="21" spans="1:39">
      <c r="A21" s="48" t="s">
        <v>84</v>
      </c>
      <c r="B21" s="32">
        <v>15</v>
      </c>
      <c r="C21" s="33" t="s">
        <v>439</v>
      </c>
      <c r="D21" s="33" t="s">
        <v>440</v>
      </c>
      <c r="E21" s="33" t="s">
        <v>441</v>
      </c>
      <c r="F21" s="32" t="s">
        <v>442</v>
      </c>
      <c r="G21" s="34">
        <v>1</v>
      </c>
      <c r="H21" s="34">
        <v>1</v>
      </c>
      <c r="I21" s="34">
        <v>1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10">
        <f t="shared" si="0"/>
        <v>3</v>
      </c>
      <c r="AL21" s="11">
        <v>32000</v>
      </c>
      <c r="AM21" s="12">
        <f t="shared" si="1"/>
        <v>96000</v>
      </c>
    </row>
    <row r="22" spans="1:39">
      <c r="A22" s="48" t="s">
        <v>84</v>
      </c>
      <c r="B22" s="32">
        <v>15</v>
      </c>
      <c r="C22" s="33" t="s">
        <v>318</v>
      </c>
      <c r="D22" s="33" t="s">
        <v>318</v>
      </c>
      <c r="E22" s="33" t="s">
        <v>319</v>
      </c>
      <c r="F22" s="32" t="s">
        <v>320</v>
      </c>
      <c r="G22" s="34">
        <v>1</v>
      </c>
      <c r="H22" s="34">
        <v>1</v>
      </c>
      <c r="I22" s="34">
        <v>1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10">
        <f t="shared" si="0"/>
        <v>3</v>
      </c>
      <c r="AL22" s="11">
        <v>32000</v>
      </c>
      <c r="AM22" s="12">
        <f t="shared" si="1"/>
        <v>96000</v>
      </c>
    </row>
    <row r="23" spans="1:39">
      <c r="A23" s="48" t="s">
        <v>84</v>
      </c>
      <c r="B23" s="32">
        <v>18</v>
      </c>
      <c r="C23" s="33" t="s">
        <v>603</v>
      </c>
      <c r="D23" s="33" t="s">
        <v>604</v>
      </c>
      <c r="E23" s="33" t="s">
        <v>739</v>
      </c>
      <c r="F23" s="32" t="s">
        <v>585</v>
      </c>
      <c r="G23" s="34">
        <v>1</v>
      </c>
      <c r="H23" s="34">
        <v>1</v>
      </c>
      <c r="I23" s="34">
        <v>1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10">
        <f t="shared" si="0"/>
        <v>3</v>
      </c>
      <c r="AL23" s="11">
        <v>32000</v>
      </c>
      <c r="AM23" s="12">
        <f t="shared" si="1"/>
        <v>96000</v>
      </c>
    </row>
    <row r="24" spans="1:39">
      <c r="A24" s="48" t="s">
        <v>84</v>
      </c>
      <c r="B24" s="32">
        <v>18</v>
      </c>
      <c r="C24" s="33" t="s">
        <v>547</v>
      </c>
      <c r="D24" s="33" t="s">
        <v>222</v>
      </c>
      <c r="E24" s="33" t="s">
        <v>740</v>
      </c>
      <c r="F24" s="32" t="s">
        <v>584</v>
      </c>
      <c r="G24" s="34">
        <v>1</v>
      </c>
      <c r="H24" s="34">
        <v>1</v>
      </c>
      <c r="I24" s="34">
        <v>1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10">
        <f t="shared" si="0"/>
        <v>3</v>
      </c>
      <c r="AL24" s="11">
        <v>32000</v>
      </c>
      <c r="AM24" s="12">
        <f t="shared" si="1"/>
        <v>96000</v>
      </c>
    </row>
    <row r="25" spans="1:39">
      <c r="A25" s="48" t="s">
        <v>84</v>
      </c>
      <c r="B25" s="32">
        <v>20</v>
      </c>
      <c r="C25" s="33" t="s">
        <v>106</v>
      </c>
      <c r="D25" s="33" t="s">
        <v>107</v>
      </c>
      <c r="E25" s="33" t="s">
        <v>11</v>
      </c>
      <c r="F25" s="32" t="s">
        <v>108</v>
      </c>
      <c r="G25" s="34">
        <v>1</v>
      </c>
      <c r="H25" s="34">
        <v>1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10">
        <f t="shared" si="0"/>
        <v>2</v>
      </c>
      <c r="AL25" s="11">
        <v>32000</v>
      </c>
      <c r="AM25" s="12">
        <f t="shared" si="1"/>
        <v>64000</v>
      </c>
    </row>
    <row r="26" spans="1:39">
      <c r="A26" s="48" t="s">
        <v>84</v>
      </c>
      <c r="B26" s="32">
        <v>22</v>
      </c>
      <c r="C26" s="33" t="s">
        <v>10</v>
      </c>
      <c r="D26" s="33" t="s">
        <v>443</v>
      </c>
      <c r="E26" s="33" t="s">
        <v>200</v>
      </c>
      <c r="F26" s="32" t="s">
        <v>444</v>
      </c>
      <c r="G26" s="34">
        <v>1</v>
      </c>
      <c r="H26" s="34">
        <v>1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10">
        <f t="shared" si="0"/>
        <v>2</v>
      </c>
      <c r="AL26" s="11">
        <v>32000</v>
      </c>
      <c r="AM26" s="12">
        <f t="shared" si="1"/>
        <v>64000</v>
      </c>
    </row>
    <row r="27" spans="1:39">
      <c r="A27" s="48" t="s">
        <v>84</v>
      </c>
      <c r="B27" s="32">
        <v>22</v>
      </c>
      <c r="C27" s="33" t="s">
        <v>445</v>
      </c>
      <c r="D27" s="33" t="s">
        <v>366</v>
      </c>
      <c r="E27" s="33" t="s">
        <v>217</v>
      </c>
      <c r="F27" s="32" t="s">
        <v>446</v>
      </c>
      <c r="G27" s="34">
        <v>1</v>
      </c>
      <c r="H27" s="34">
        <v>1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10">
        <f t="shared" si="0"/>
        <v>2</v>
      </c>
      <c r="AL27" s="11">
        <v>32000</v>
      </c>
      <c r="AM27" s="12">
        <f t="shared" si="1"/>
        <v>64000</v>
      </c>
    </row>
    <row r="28" spans="1:39">
      <c r="A28" s="48" t="s">
        <v>84</v>
      </c>
      <c r="B28" s="32">
        <v>24</v>
      </c>
      <c r="C28" s="33" t="s">
        <v>447</v>
      </c>
      <c r="D28" s="33" t="s">
        <v>331</v>
      </c>
      <c r="E28" s="33" t="s">
        <v>90</v>
      </c>
      <c r="F28" s="32" t="s">
        <v>448</v>
      </c>
      <c r="G28" s="34">
        <v>1</v>
      </c>
      <c r="H28" s="34">
        <v>1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10">
        <f t="shared" si="0"/>
        <v>2</v>
      </c>
      <c r="AL28" s="11">
        <v>32000</v>
      </c>
      <c r="AM28" s="12">
        <f t="shared" si="1"/>
        <v>64000</v>
      </c>
    </row>
    <row r="29" spans="1:39">
      <c r="A29" s="48" t="s">
        <v>84</v>
      </c>
      <c r="B29" s="32">
        <v>24</v>
      </c>
      <c r="C29" s="33" t="s">
        <v>692</v>
      </c>
      <c r="D29" s="33" t="s">
        <v>394</v>
      </c>
      <c r="E29" s="33" t="s">
        <v>337</v>
      </c>
      <c r="F29" s="32" t="s">
        <v>705</v>
      </c>
      <c r="G29" s="34">
        <v>1</v>
      </c>
      <c r="H29" s="34">
        <v>1</v>
      </c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10">
        <f t="shared" si="0"/>
        <v>2</v>
      </c>
      <c r="AL29" s="11">
        <v>32000</v>
      </c>
      <c r="AM29" s="12">
        <f t="shared" si="1"/>
        <v>64000</v>
      </c>
    </row>
    <row r="30" spans="1:39">
      <c r="A30" s="48" t="s">
        <v>84</v>
      </c>
      <c r="B30" s="32">
        <v>26</v>
      </c>
      <c r="C30" s="33" t="s">
        <v>97</v>
      </c>
      <c r="D30" s="33" t="s">
        <v>98</v>
      </c>
      <c r="E30" s="33" t="s">
        <v>93</v>
      </c>
      <c r="F30" s="32" t="s">
        <v>99</v>
      </c>
      <c r="G30" s="34">
        <v>1</v>
      </c>
      <c r="H30" s="34">
        <v>1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10">
        <f t="shared" si="0"/>
        <v>2</v>
      </c>
      <c r="AL30" s="11">
        <v>32000</v>
      </c>
      <c r="AM30" s="12">
        <f t="shared" si="1"/>
        <v>64000</v>
      </c>
    </row>
    <row r="31" spans="1:39">
      <c r="A31" s="48" t="s">
        <v>84</v>
      </c>
      <c r="B31" s="32">
        <v>26</v>
      </c>
      <c r="C31" s="33" t="s">
        <v>741</v>
      </c>
      <c r="D31" s="33" t="s">
        <v>742</v>
      </c>
      <c r="E31" s="33" t="s">
        <v>590</v>
      </c>
      <c r="F31" s="32" t="s">
        <v>572</v>
      </c>
      <c r="G31" s="34">
        <v>1</v>
      </c>
      <c r="H31" s="34">
        <v>1</v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10">
        <f t="shared" si="0"/>
        <v>2</v>
      </c>
      <c r="AL31" s="11">
        <v>32000</v>
      </c>
      <c r="AM31" s="12">
        <f t="shared" si="1"/>
        <v>64000</v>
      </c>
    </row>
    <row r="32" spans="1:39">
      <c r="A32" s="48" t="s">
        <v>84</v>
      </c>
      <c r="B32" s="32">
        <v>27</v>
      </c>
      <c r="C32" s="33" t="s">
        <v>394</v>
      </c>
      <c r="D32" s="33" t="s">
        <v>394</v>
      </c>
      <c r="E32" s="33" t="s">
        <v>738</v>
      </c>
      <c r="F32" s="32" t="s">
        <v>568</v>
      </c>
      <c r="G32" s="34">
        <v>1</v>
      </c>
      <c r="H32" s="34">
        <v>1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10">
        <f t="shared" si="0"/>
        <v>2</v>
      </c>
      <c r="AL32" s="11">
        <v>32000</v>
      </c>
      <c r="AM32" s="12">
        <f t="shared" si="1"/>
        <v>64000</v>
      </c>
    </row>
    <row r="33" spans="1:39">
      <c r="A33" s="48" t="s">
        <v>84</v>
      </c>
      <c r="B33" s="32">
        <v>27</v>
      </c>
      <c r="C33" s="33" t="s">
        <v>394</v>
      </c>
      <c r="D33" s="33" t="s">
        <v>27</v>
      </c>
      <c r="E33" s="33" t="s">
        <v>168</v>
      </c>
      <c r="F33" s="32" t="s">
        <v>582</v>
      </c>
      <c r="G33" s="34">
        <v>1</v>
      </c>
      <c r="H33" s="34">
        <v>1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10">
        <f t="shared" si="0"/>
        <v>2</v>
      </c>
      <c r="AL33" s="11">
        <v>32000</v>
      </c>
      <c r="AM33" s="12">
        <f t="shared" si="1"/>
        <v>64000</v>
      </c>
    </row>
    <row r="34" spans="1:39">
      <c r="A34" s="48" t="s">
        <v>84</v>
      </c>
      <c r="B34" s="32">
        <v>28</v>
      </c>
      <c r="C34" s="33" t="s">
        <v>677</v>
      </c>
      <c r="D34" s="33" t="s">
        <v>89</v>
      </c>
      <c r="E34" s="33" t="s">
        <v>100</v>
      </c>
      <c r="F34" s="32" t="s">
        <v>687</v>
      </c>
      <c r="G34" s="34">
        <v>1</v>
      </c>
      <c r="H34" s="34">
        <v>1</v>
      </c>
      <c r="I34" s="34">
        <v>1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10">
        <f t="shared" si="0"/>
        <v>3</v>
      </c>
      <c r="AL34" s="11">
        <v>32000</v>
      </c>
      <c r="AM34" s="12">
        <f t="shared" si="1"/>
        <v>96000</v>
      </c>
    </row>
    <row r="35" spans="1:39">
      <c r="A35" s="48" t="s">
        <v>84</v>
      </c>
      <c r="B35" s="32">
        <v>28</v>
      </c>
      <c r="C35" s="33" t="s">
        <v>204</v>
      </c>
      <c r="D35" s="33" t="s">
        <v>680</v>
      </c>
      <c r="E35" s="33" t="s">
        <v>593</v>
      </c>
      <c r="F35" s="32" t="s">
        <v>685</v>
      </c>
      <c r="G35" s="34">
        <v>1</v>
      </c>
      <c r="H35" s="34">
        <v>1</v>
      </c>
      <c r="I35" s="34">
        <v>1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10">
        <f t="shared" si="0"/>
        <v>3</v>
      </c>
      <c r="AL35" s="11">
        <v>32000</v>
      </c>
      <c r="AM35" s="12">
        <f t="shared" si="1"/>
        <v>96000</v>
      </c>
    </row>
    <row r="36" spans="1:39">
      <c r="A36" s="48" t="s">
        <v>84</v>
      </c>
      <c r="B36" s="32">
        <v>29</v>
      </c>
      <c r="C36" s="33" t="s">
        <v>339</v>
      </c>
      <c r="D36" s="33" t="s">
        <v>340</v>
      </c>
      <c r="E36" s="33" t="s">
        <v>215</v>
      </c>
      <c r="F36" s="32" t="s">
        <v>216</v>
      </c>
      <c r="G36" s="34">
        <v>1</v>
      </c>
      <c r="H36" s="34">
        <v>1</v>
      </c>
      <c r="I36" s="34">
        <v>1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10">
        <f t="shared" si="0"/>
        <v>3</v>
      </c>
      <c r="AL36" s="11">
        <v>32000</v>
      </c>
      <c r="AM36" s="12">
        <f t="shared" si="1"/>
        <v>96000</v>
      </c>
    </row>
    <row r="37" spans="1:39">
      <c r="A37" s="48" t="s">
        <v>84</v>
      </c>
      <c r="B37" s="32">
        <v>29</v>
      </c>
      <c r="C37" s="33" t="s">
        <v>341</v>
      </c>
      <c r="D37" s="33" t="s">
        <v>251</v>
      </c>
      <c r="E37" s="33" t="s">
        <v>252</v>
      </c>
      <c r="F37" s="32" t="s">
        <v>253</v>
      </c>
      <c r="G37" s="34">
        <v>1</v>
      </c>
      <c r="H37" s="34">
        <v>1</v>
      </c>
      <c r="I37" s="34">
        <v>1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10">
        <f t="shared" si="0"/>
        <v>3</v>
      </c>
      <c r="AL37" s="11">
        <v>32000</v>
      </c>
      <c r="AM37" s="12">
        <f t="shared" si="1"/>
        <v>96000</v>
      </c>
    </row>
    <row r="38" spans="1:39">
      <c r="A38" s="48" t="s">
        <v>84</v>
      </c>
      <c r="B38" s="32">
        <v>30</v>
      </c>
      <c r="C38" s="33" t="s">
        <v>449</v>
      </c>
      <c r="D38" s="33" t="s">
        <v>450</v>
      </c>
      <c r="E38" s="33" t="s">
        <v>93</v>
      </c>
      <c r="F38" s="32" t="s">
        <v>451</v>
      </c>
      <c r="G38" s="34">
        <v>1</v>
      </c>
      <c r="H38" s="34">
        <v>1</v>
      </c>
      <c r="I38" s="34">
        <v>1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10">
        <f t="shared" si="0"/>
        <v>3</v>
      </c>
      <c r="AL38" s="11">
        <v>32000</v>
      </c>
      <c r="AM38" s="12">
        <f t="shared" si="1"/>
        <v>96000</v>
      </c>
    </row>
    <row r="39" spans="1:39">
      <c r="A39" s="48" t="s">
        <v>84</v>
      </c>
      <c r="B39" s="32">
        <v>30</v>
      </c>
      <c r="C39" s="33" t="s">
        <v>452</v>
      </c>
      <c r="D39" s="33" t="s">
        <v>453</v>
      </c>
      <c r="E39" s="33" t="s">
        <v>168</v>
      </c>
      <c r="F39" s="32" t="s">
        <v>454</v>
      </c>
      <c r="G39" s="34">
        <v>1</v>
      </c>
      <c r="H39" s="34">
        <v>1</v>
      </c>
      <c r="I39" s="34">
        <v>1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10">
        <f t="shared" si="0"/>
        <v>3</v>
      </c>
      <c r="AL39" s="11">
        <v>32000</v>
      </c>
      <c r="AM39" s="12">
        <f t="shared" si="1"/>
        <v>96000</v>
      </c>
    </row>
    <row r="40" spans="1:39">
      <c r="A40" s="48" t="s">
        <v>84</v>
      </c>
      <c r="B40" s="32">
        <v>33</v>
      </c>
      <c r="C40" s="33" t="s">
        <v>743</v>
      </c>
      <c r="D40" s="33" t="s">
        <v>744</v>
      </c>
      <c r="E40" s="33" t="s">
        <v>745</v>
      </c>
      <c r="F40" s="32" t="s">
        <v>566</v>
      </c>
      <c r="G40" s="34">
        <v>1</v>
      </c>
      <c r="H40" s="34">
        <v>1</v>
      </c>
      <c r="I40" s="34">
        <v>1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10">
        <f t="shared" si="0"/>
        <v>3</v>
      </c>
      <c r="AL40" s="11">
        <v>32000</v>
      </c>
      <c r="AM40" s="12">
        <f t="shared" si="1"/>
        <v>96000</v>
      </c>
    </row>
    <row r="41" spans="1:39">
      <c r="A41" s="48" t="s">
        <v>84</v>
      </c>
      <c r="B41" s="32">
        <v>33</v>
      </c>
      <c r="C41" s="33" t="s">
        <v>746</v>
      </c>
      <c r="D41" s="33" t="s">
        <v>554</v>
      </c>
      <c r="E41" s="33" t="s">
        <v>747</v>
      </c>
      <c r="F41" s="32" t="s">
        <v>570</v>
      </c>
      <c r="G41" s="34">
        <v>1</v>
      </c>
      <c r="H41" s="34">
        <v>1</v>
      </c>
      <c r="I41" s="34">
        <v>1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10">
        <f t="shared" si="0"/>
        <v>3</v>
      </c>
      <c r="AL41" s="11">
        <v>32000</v>
      </c>
      <c r="AM41" s="12">
        <f t="shared" si="1"/>
        <v>96000</v>
      </c>
    </row>
    <row r="42" spans="1:39">
      <c r="A42" s="48" t="s">
        <v>84</v>
      </c>
      <c r="B42" s="32">
        <v>35</v>
      </c>
      <c r="C42" s="33" t="s">
        <v>455</v>
      </c>
      <c r="D42" s="33" t="s">
        <v>456</v>
      </c>
      <c r="E42" s="33" t="s">
        <v>29</v>
      </c>
      <c r="F42" s="32" t="s">
        <v>457</v>
      </c>
      <c r="G42" s="34">
        <v>1</v>
      </c>
      <c r="H42" s="34">
        <v>1</v>
      </c>
      <c r="I42" s="34">
        <v>1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10">
        <f t="shared" si="0"/>
        <v>3</v>
      </c>
      <c r="AL42" s="11">
        <v>32000</v>
      </c>
      <c r="AM42" s="12">
        <f t="shared" si="1"/>
        <v>96000</v>
      </c>
    </row>
    <row r="43" spans="1:39">
      <c r="A43" s="48" t="s">
        <v>84</v>
      </c>
      <c r="B43" s="32">
        <v>35</v>
      </c>
      <c r="C43" s="33" t="s">
        <v>671</v>
      </c>
      <c r="D43" s="33" t="s">
        <v>12</v>
      </c>
      <c r="E43" s="33" t="s">
        <v>395</v>
      </c>
      <c r="F43" s="32" t="s">
        <v>674</v>
      </c>
      <c r="G43" s="34">
        <v>1</v>
      </c>
      <c r="H43" s="34">
        <v>1</v>
      </c>
      <c r="I43" s="34">
        <v>1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10">
        <f t="shared" si="0"/>
        <v>3</v>
      </c>
      <c r="AL43" s="11">
        <v>32000</v>
      </c>
      <c r="AM43" s="12">
        <f t="shared" si="1"/>
        <v>96000</v>
      </c>
    </row>
    <row r="44" spans="1:39">
      <c r="A44" s="48" t="s">
        <v>84</v>
      </c>
      <c r="B44" s="32">
        <v>37</v>
      </c>
      <c r="C44" s="33" t="s">
        <v>458</v>
      </c>
      <c r="D44" s="33" t="s">
        <v>459</v>
      </c>
      <c r="E44" s="33" t="s">
        <v>9</v>
      </c>
      <c r="F44" s="32" t="s">
        <v>460</v>
      </c>
      <c r="G44" s="34">
        <v>1</v>
      </c>
      <c r="H44" s="34">
        <v>1</v>
      </c>
      <c r="I44" s="34">
        <v>1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10">
        <f t="shared" si="0"/>
        <v>3</v>
      </c>
      <c r="AL44" s="11">
        <v>32000</v>
      </c>
      <c r="AM44" s="12">
        <f t="shared" si="1"/>
        <v>96000</v>
      </c>
    </row>
    <row r="45" spans="1:39">
      <c r="A45" s="48" t="s">
        <v>84</v>
      </c>
      <c r="B45" s="32">
        <v>37</v>
      </c>
      <c r="C45" s="33" t="s">
        <v>219</v>
      </c>
      <c r="D45" s="33" t="s">
        <v>381</v>
      </c>
      <c r="E45" s="33" t="s">
        <v>61</v>
      </c>
      <c r="F45" s="32" t="s">
        <v>461</v>
      </c>
      <c r="G45" s="34">
        <v>1</v>
      </c>
      <c r="H45" s="34">
        <v>1</v>
      </c>
      <c r="I45" s="34">
        <v>1</v>
      </c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10">
        <f t="shared" si="0"/>
        <v>3</v>
      </c>
      <c r="AL45" s="11">
        <v>32000</v>
      </c>
      <c r="AM45" s="12">
        <f t="shared" si="1"/>
        <v>96000</v>
      </c>
    </row>
    <row r="46" spans="1:39">
      <c r="A46" s="48" t="s">
        <v>84</v>
      </c>
      <c r="B46" s="32">
        <v>38</v>
      </c>
      <c r="C46" s="33" t="s">
        <v>529</v>
      </c>
      <c r="D46" s="33" t="s">
        <v>431</v>
      </c>
      <c r="E46" s="33" t="s">
        <v>192</v>
      </c>
      <c r="F46" s="32" t="s">
        <v>565</v>
      </c>
      <c r="G46" s="34">
        <v>1</v>
      </c>
      <c r="H46" s="34">
        <v>1</v>
      </c>
      <c r="I46" s="34">
        <v>1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10">
        <f t="shared" si="0"/>
        <v>3</v>
      </c>
      <c r="AL46" s="11">
        <v>32000</v>
      </c>
      <c r="AM46" s="12">
        <f t="shared" si="1"/>
        <v>96000</v>
      </c>
    </row>
    <row r="47" spans="1:39">
      <c r="A47" s="48" t="s">
        <v>84</v>
      </c>
      <c r="B47" s="32">
        <v>38</v>
      </c>
      <c r="C47" s="33" t="s">
        <v>24</v>
      </c>
      <c r="D47" s="33" t="s">
        <v>85</v>
      </c>
      <c r="E47" s="33" t="s">
        <v>86</v>
      </c>
      <c r="F47" s="32" t="s">
        <v>87</v>
      </c>
      <c r="G47" s="34">
        <v>1</v>
      </c>
      <c r="H47" s="34">
        <v>1</v>
      </c>
      <c r="I47" s="34">
        <v>1</v>
      </c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10">
        <f t="shared" si="0"/>
        <v>3</v>
      </c>
      <c r="AL47" s="11">
        <v>32000</v>
      </c>
      <c r="AM47" s="12">
        <f t="shared" si="1"/>
        <v>96000</v>
      </c>
    </row>
    <row r="48" spans="1:39">
      <c r="A48" s="48" t="s">
        <v>84</v>
      </c>
      <c r="B48" s="32">
        <v>40</v>
      </c>
      <c r="C48" s="33" t="s">
        <v>463</v>
      </c>
      <c r="D48" s="33" t="s">
        <v>464</v>
      </c>
      <c r="E48" s="33" t="s">
        <v>75</v>
      </c>
      <c r="F48" s="32" t="s">
        <v>465</v>
      </c>
      <c r="G48" s="34">
        <v>1</v>
      </c>
      <c r="H48" s="34">
        <v>1</v>
      </c>
      <c r="I48" s="34">
        <v>1</v>
      </c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10">
        <f t="shared" si="0"/>
        <v>3</v>
      </c>
      <c r="AL48" s="11">
        <v>32000</v>
      </c>
      <c r="AM48" s="12">
        <f t="shared" si="1"/>
        <v>96000</v>
      </c>
    </row>
    <row r="49" spans="1:39">
      <c r="A49" s="48" t="s">
        <v>84</v>
      </c>
      <c r="B49" s="32">
        <v>40</v>
      </c>
      <c r="C49" s="33" t="s">
        <v>466</v>
      </c>
      <c r="D49" s="33" t="s">
        <v>467</v>
      </c>
      <c r="E49" s="33" t="s">
        <v>468</v>
      </c>
      <c r="F49" s="32" t="s">
        <v>469</v>
      </c>
      <c r="G49" s="34">
        <v>1</v>
      </c>
      <c r="H49" s="34">
        <v>1</v>
      </c>
      <c r="I49" s="34">
        <v>1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10">
        <f t="shared" si="0"/>
        <v>3</v>
      </c>
      <c r="AL49" s="11">
        <v>32000</v>
      </c>
      <c r="AM49" s="12">
        <f t="shared" ref="AM49:AM92" si="2">AL49*AK49</f>
        <v>96000</v>
      </c>
    </row>
    <row r="50" spans="1:39">
      <c r="A50" s="48" t="s">
        <v>84</v>
      </c>
      <c r="B50" s="32">
        <v>41</v>
      </c>
      <c r="C50" s="33" t="s">
        <v>342</v>
      </c>
      <c r="D50" s="33" t="s">
        <v>254</v>
      </c>
      <c r="E50" s="33" t="s">
        <v>9</v>
      </c>
      <c r="F50" s="32" t="s">
        <v>255</v>
      </c>
      <c r="G50" s="34">
        <v>1</v>
      </c>
      <c r="H50" s="34">
        <v>1</v>
      </c>
      <c r="I50" s="34">
        <v>1</v>
      </c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10">
        <f t="shared" si="0"/>
        <v>3</v>
      </c>
      <c r="AL50" s="11">
        <v>32000</v>
      </c>
      <c r="AM50" s="12">
        <f t="shared" si="2"/>
        <v>96000</v>
      </c>
    </row>
    <row r="51" spans="1:39">
      <c r="A51" s="48" t="s">
        <v>84</v>
      </c>
      <c r="B51" s="32">
        <v>41</v>
      </c>
      <c r="C51" s="33" t="s">
        <v>222</v>
      </c>
      <c r="D51" s="33" t="s">
        <v>601</v>
      </c>
      <c r="E51" s="33" t="s">
        <v>41</v>
      </c>
      <c r="F51" s="32" t="s">
        <v>581</v>
      </c>
      <c r="G51" s="34">
        <v>1</v>
      </c>
      <c r="H51" s="34">
        <v>1</v>
      </c>
      <c r="I51" s="34">
        <v>1</v>
      </c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10">
        <f t="shared" si="0"/>
        <v>3</v>
      </c>
      <c r="AL51" s="11">
        <v>32000</v>
      </c>
      <c r="AM51" s="12">
        <f t="shared" si="2"/>
        <v>96000</v>
      </c>
    </row>
    <row r="52" spans="1:39">
      <c r="A52" s="48" t="s">
        <v>84</v>
      </c>
      <c r="B52" s="32">
        <v>42</v>
      </c>
      <c r="C52" s="33" t="s">
        <v>28</v>
      </c>
      <c r="D52" s="33" t="s">
        <v>104</v>
      </c>
      <c r="E52" s="33" t="s">
        <v>468</v>
      </c>
      <c r="F52" s="32" t="s">
        <v>470</v>
      </c>
      <c r="G52" s="34">
        <v>1</v>
      </c>
      <c r="H52" s="34">
        <v>1</v>
      </c>
      <c r="I52" s="34">
        <v>1</v>
      </c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10">
        <f t="shared" si="0"/>
        <v>3</v>
      </c>
      <c r="AL52" s="11">
        <v>32000</v>
      </c>
      <c r="AM52" s="12">
        <f t="shared" si="2"/>
        <v>96000</v>
      </c>
    </row>
    <row r="53" spans="1:39">
      <c r="A53" s="48" t="s">
        <v>84</v>
      </c>
      <c r="B53" s="32">
        <v>42</v>
      </c>
      <c r="C53" s="33" t="s">
        <v>471</v>
      </c>
      <c r="D53" s="33" t="s">
        <v>302</v>
      </c>
      <c r="E53" s="33" t="s">
        <v>41</v>
      </c>
      <c r="F53" s="32" t="s">
        <v>472</v>
      </c>
      <c r="G53" s="34">
        <v>1</v>
      </c>
      <c r="H53" s="34">
        <v>1</v>
      </c>
      <c r="I53" s="34">
        <v>1</v>
      </c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10">
        <f t="shared" si="0"/>
        <v>3</v>
      </c>
      <c r="AL53" s="11">
        <v>32000</v>
      </c>
      <c r="AM53" s="12">
        <f t="shared" si="2"/>
        <v>96000</v>
      </c>
    </row>
    <row r="54" spans="1:39">
      <c r="A54" s="48" t="s">
        <v>84</v>
      </c>
      <c r="B54" s="32">
        <v>43</v>
      </c>
      <c r="C54" s="33" t="s">
        <v>334</v>
      </c>
      <c r="D54" s="33" t="s">
        <v>335</v>
      </c>
      <c r="E54" s="33" t="s">
        <v>211</v>
      </c>
      <c r="F54" s="32" t="s">
        <v>336</v>
      </c>
      <c r="G54" s="34">
        <v>1</v>
      </c>
      <c r="H54" s="34">
        <v>1</v>
      </c>
      <c r="I54" s="34">
        <v>1</v>
      </c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10">
        <f t="shared" si="0"/>
        <v>3</v>
      </c>
      <c r="AL54" s="11">
        <v>32000</v>
      </c>
      <c r="AM54" s="12">
        <f t="shared" si="2"/>
        <v>96000</v>
      </c>
    </row>
    <row r="55" spans="1:39">
      <c r="A55" s="48" t="s">
        <v>84</v>
      </c>
      <c r="B55" s="32">
        <v>43</v>
      </c>
      <c r="C55" s="33" t="s">
        <v>672</v>
      </c>
      <c r="D55" s="33" t="s">
        <v>10</v>
      </c>
      <c r="E55" s="33" t="s">
        <v>41</v>
      </c>
      <c r="F55" s="32" t="s">
        <v>673</v>
      </c>
      <c r="G55" s="34">
        <v>1</v>
      </c>
      <c r="H55" s="34">
        <v>1</v>
      </c>
      <c r="I55" s="34">
        <v>1</v>
      </c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10">
        <f t="shared" si="0"/>
        <v>3</v>
      </c>
      <c r="AL55" s="11">
        <v>32000</v>
      </c>
      <c r="AM55" s="12">
        <f t="shared" si="2"/>
        <v>96000</v>
      </c>
    </row>
    <row r="56" spans="1:39">
      <c r="A56" s="48" t="s">
        <v>84</v>
      </c>
      <c r="B56" s="32">
        <v>44</v>
      </c>
      <c r="C56" s="33" t="s">
        <v>130</v>
      </c>
      <c r="D56" s="33" t="s">
        <v>594</v>
      </c>
      <c r="E56" s="33" t="s">
        <v>593</v>
      </c>
      <c r="F56" s="32" t="s">
        <v>574</v>
      </c>
      <c r="G56" s="34">
        <v>1</v>
      </c>
      <c r="H56" s="34">
        <v>1</v>
      </c>
      <c r="I56" s="34">
        <v>1</v>
      </c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10">
        <f t="shared" si="0"/>
        <v>3</v>
      </c>
      <c r="AL56" s="11">
        <v>32000</v>
      </c>
      <c r="AM56" s="12">
        <f t="shared" si="2"/>
        <v>96000</v>
      </c>
    </row>
    <row r="57" spans="1:39">
      <c r="A57" s="48" t="s">
        <v>84</v>
      </c>
      <c r="B57" s="32">
        <v>44</v>
      </c>
      <c r="C57" s="33" t="s">
        <v>299</v>
      </c>
      <c r="D57" s="33" t="s">
        <v>394</v>
      </c>
      <c r="E57" s="33" t="s">
        <v>675</v>
      </c>
      <c r="F57" s="32" t="s">
        <v>690</v>
      </c>
      <c r="G57" s="34">
        <v>1</v>
      </c>
      <c r="H57" s="34">
        <v>1</v>
      </c>
      <c r="I57" s="34">
        <v>1</v>
      </c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10">
        <f t="shared" si="0"/>
        <v>3</v>
      </c>
      <c r="AL57" s="11">
        <v>32000</v>
      </c>
      <c r="AM57" s="12">
        <f t="shared" si="2"/>
        <v>96000</v>
      </c>
    </row>
    <row r="58" spans="1:39">
      <c r="A58" s="48" t="s">
        <v>84</v>
      </c>
      <c r="B58" s="32">
        <v>45</v>
      </c>
      <c r="C58" s="33" t="s">
        <v>109</v>
      </c>
      <c r="D58" s="33" t="s">
        <v>72</v>
      </c>
      <c r="E58" s="33" t="s">
        <v>126</v>
      </c>
      <c r="F58" s="32" t="s">
        <v>473</v>
      </c>
      <c r="G58" s="34">
        <v>1</v>
      </c>
      <c r="H58" s="34">
        <v>1</v>
      </c>
      <c r="I58" s="34">
        <v>1</v>
      </c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10">
        <f t="shared" si="0"/>
        <v>3</v>
      </c>
      <c r="AL58" s="11">
        <v>32000</v>
      </c>
      <c r="AM58" s="12">
        <f t="shared" si="2"/>
        <v>96000</v>
      </c>
    </row>
    <row r="59" spans="1:39">
      <c r="A59" s="48" t="s">
        <v>84</v>
      </c>
      <c r="B59" s="32">
        <v>45</v>
      </c>
      <c r="C59" s="33" t="s">
        <v>118</v>
      </c>
      <c r="D59" s="33" t="s">
        <v>676</v>
      </c>
      <c r="E59" s="33" t="s">
        <v>317</v>
      </c>
      <c r="F59" s="32" t="s">
        <v>689</v>
      </c>
      <c r="G59" s="34">
        <v>1</v>
      </c>
      <c r="H59" s="34">
        <v>1</v>
      </c>
      <c r="I59" s="34">
        <v>1</v>
      </c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10">
        <f t="shared" si="0"/>
        <v>3</v>
      </c>
      <c r="AL59" s="11">
        <v>32000</v>
      </c>
      <c r="AM59" s="12">
        <f t="shared" si="2"/>
        <v>96000</v>
      </c>
    </row>
    <row r="60" spans="1:39">
      <c r="A60" s="48" t="s">
        <v>84</v>
      </c>
      <c r="B60" s="32">
        <v>48</v>
      </c>
      <c r="C60" s="33" t="s">
        <v>66</v>
      </c>
      <c r="D60" s="33" t="s">
        <v>474</v>
      </c>
      <c r="E60" s="33" t="s">
        <v>25</v>
      </c>
      <c r="F60" s="32" t="s">
        <v>475</v>
      </c>
      <c r="G60" s="34">
        <v>1</v>
      </c>
      <c r="H60" s="34">
        <v>1</v>
      </c>
      <c r="I60" s="34">
        <v>1</v>
      </c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10">
        <f t="shared" si="0"/>
        <v>3</v>
      </c>
      <c r="AL60" s="11">
        <v>32000</v>
      </c>
      <c r="AM60" s="12">
        <f t="shared" si="2"/>
        <v>96000</v>
      </c>
    </row>
    <row r="61" spans="1:39">
      <c r="A61" s="48" t="s">
        <v>84</v>
      </c>
      <c r="B61" s="32">
        <v>48</v>
      </c>
      <c r="C61" s="33" t="s">
        <v>616</v>
      </c>
      <c r="D61" s="33" t="s">
        <v>617</v>
      </c>
      <c r="E61" s="33" t="s">
        <v>609</v>
      </c>
      <c r="F61" s="32" t="s">
        <v>624</v>
      </c>
      <c r="G61" s="34">
        <v>1</v>
      </c>
      <c r="H61" s="34">
        <v>1</v>
      </c>
      <c r="I61" s="34">
        <v>1</v>
      </c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10">
        <f t="shared" si="0"/>
        <v>3</v>
      </c>
      <c r="AL61" s="11">
        <v>32000</v>
      </c>
      <c r="AM61" s="12">
        <f t="shared" si="2"/>
        <v>96000</v>
      </c>
    </row>
    <row r="62" spans="1:39">
      <c r="A62" s="48" t="s">
        <v>84</v>
      </c>
      <c r="B62" s="32">
        <v>50</v>
      </c>
      <c r="C62" s="33" t="s">
        <v>476</v>
      </c>
      <c r="D62" s="33" t="s">
        <v>477</v>
      </c>
      <c r="E62" s="33" t="s">
        <v>478</v>
      </c>
      <c r="F62" s="32" t="s">
        <v>479</v>
      </c>
      <c r="G62" s="34">
        <v>1</v>
      </c>
      <c r="H62" s="34">
        <v>1</v>
      </c>
      <c r="I62" s="34">
        <v>1</v>
      </c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10">
        <f t="shared" si="0"/>
        <v>3</v>
      </c>
      <c r="AL62" s="11">
        <v>32000</v>
      </c>
      <c r="AM62" s="12">
        <f t="shared" si="2"/>
        <v>96000</v>
      </c>
    </row>
    <row r="63" spans="1:39">
      <c r="A63" s="48" t="s">
        <v>84</v>
      </c>
      <c r="B63" s="32">
        <v>50</v>
      </c>
      <c r="C63" s="33" t="s">
        <v>17</v>
      </c>
      <c r="D63" s="33" t="s">
        <v>10</v>
      </c>
      <c r="E63" s="33" t="s">
        <v>100</v>
      </c>
      <c r="F63" s="32" t="s">
        <v>101</v>
      </c>
      <c r="G63" s="34">
        <v>1</v>
      </c>
      <c r="H63" s="34">
        <v>1</v>
      </c>
      <c r="I63" s="34">
        <v>1</v>
      </c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10">
        <f t="shared" si="0"/>
        <v>3</v>
      </c>
      <c r="AL63" s="11">
        <v>32000</v>
      </c>
      <c r="AM63" s="12">
        <f t="shared" si="2"/>
        <v>96000</v>
      </c>
    </row>
    <row r="64" spans="1:39">
      <c r="A64" s="48" t="s">
        <v>84</v>
      </c>
      <c r="B64" s="32">
        <v>51</v>
      </c>
      <c r="C64" s="33" t="s">
        <v>220</v>
      </c>
      <c r="D64" s="33" t="s">
        <v>118</v>
      </c>
      <c r="E64" s="33" t="s">
        <v>328</v>
      </c>
      <c r="F64" s="32" t="s">
        <v>480</v>
      </c>
      <c r="G64" s="34">
        <v>1</v>
      </c>
      <c r="H64" s="34">
        <v>1</v>
      </c>
      <c r="I64" s="34">
        <v>1</v>
      </c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10">
        <f t="shared" si="0"/>
        <v>3</v>
      </c>
      <c r="AL64" s="11">
        <v>32000</v>
      </c>
      <c r="AM64" s="12">
        <f t="shared" si="2"/>
        <v>96000</v>
      </c>
    </row>
    <row r="65" spans="1:39">
      <c r="A65" s="48" t="s">
        <v>84</v>
      </c>
      <c r="B65" s="32">
        <v>51</v>
      </c>
      <c r="C65" s="33" t="s">
        <v>481</v>
      </c>
      <c r="D65" s="33" t="s">
        <v>28</v>
      </c>
      <c r="E65" s="33" t="s">
        <v>200</v>
      </c>
      <c r="F65" s="32" t="s">
        <v>482</v>
      </c>
      <c r="G65" s="34">
        <v>1</v>
      </c>
      <c r="H65" s="34">
        <v>1</v>
      </c>
      <c r="I65" s="34">
        <v>1</v>
      </c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10">
        <f t="shared" si="0"/>
        <v>3</v>
      </c>
      <c r="AL65" s="11">
        <v>32000</v>
      </c>
      <c r="AM65" s="12">
        <f t="shared" si="2"/>
        <v>96000</v>
      </c>
    </row>
    <row r="66" spans="1:39">
      <c r="A66" s="48" t="s">
        <v>84</v>
      </c>
      <c r="B66" s="32">
        <v>52</v>
      </c>
      <c r="C66" s="33" t="s">
        <v>748</v>
      </c>
      <c r="D66" s="33" t="s">
        <v>201</v>
      </c>
      <c r="E66" s="33" t="s">
        <v>588</v>
      </c>
      <c r="F66" s="32" t="s">
        <v>569</v>
      </c>
      <c r="G66" s="34">
        <v>1</v>
      </c>
      <c r="H66" s="34">
        <v>1</v>
      </c>
      <c r="I66" s="34">
        <v>1</v>
      </c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10">
        <f t="shared" si="0"/>
        <v>3</v>
      </c>
      <c r="AL66" s="11">
        <v>32000</v>
      </c>
      <c r="AM66" s="12">
        <f t="shared" si="2"/>
        <v>96000</v>
      </c>
    </row>
    <row r="67" spans="1:39">
      <c r="A67" s="48" t="s">
        <v>84</v>
      </c>
      <c r="B67" s="32">
        <v>57</v>
      </c>
      <c r="C67" s="33" t="s">
        <v>431</v>
      </c>
      <c r="D67" s="33" t="s">
        <v>484</v>
      </c>
      <c r="E67" s="33" t="s">
        <v>324</v>
      </c>
      <c r="F67" s="32" t="s">
        <v>485</v>
      </c>
      <c r="G67" s="34">
        <v>1</v>
      </c>
      <c r="H67" s="34">
        <v>1</v>
      </c>
      <c r="I67" s="34">
        <v>1</v>
      </c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10">
        <f t="shared" si="0"/>
        <v>3</v>
      </c>
      <c r="AL67" s="11">
        <v>32000</v>
      </c>
      <c r="AM67" s="12">
        <f t="shared" si="2"/>
        <v>96000</v>
      </c>
    </row>
    <row r="68" spans="1:39">
      <c r="A68" s="48" t="s">
        <v>84</v>
      </c>
      <c r="B68" s="32">
        <v>57</v>
      </c>
      <c r="C68" s="33" t="s">
        <v>103</v>
      </c>
      <c r="D68" s="33" t="s">
        <v>486</v>
      </c>
      <c r="E68" s="33" t="s">
        <v>487</v>
      </c>
      <c r="F68" s="32" t="s">
        <v>488</v>
      </c>
      <c r="G68" s="34">
        <v>1</v>
      </c>
      <c r="H68" s="34">
        <v>1</v>
      </c>
      <c r="I68" s="34">
        <v>1</v>
      </c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10">
        <f t="shared" si="0"/>
        <v>3</v>
      </c>
      <c r="AL68" s="11">
        <v>32000</v>
      </c>
      <c r="AM68" s="12">
        <f t="shared" si="2"/>
        <v>96000</v>
      </c>
    </row>
    <row r="69" spans="1:39">
      <c r="A69" s="48" t="s">
        <v>84</v>
      </c>
      <c r="B69" s="32">
        <v>58</v>
      </c>
      <c r="C69" s="33" t="s">
        <v>492</v>
      </c>
      <c r="D69" s="33" t="s">
        <v>290</v>
      </c>
      <c r="E69" s="33" t="s">
        <v>493</v>
      </c>
      <c r="F69" s="32" t="s">
        <v>494</v>
      </c>
      <c r="G69" s="34">
        <v>1</v>
      </c>
      <c r="H69" s="34">
        <v>1</v>
      </c>
      <c r="I69" s="34">
        <v>1</v>
      </c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10">
        <f t="shared" si="0"/>
        <v>3</v>
      </c>
      <c r="AL69" s="11">
        <v>32000</v>
      </c>
      <c r="AM69" s="12">
        <f t="shared" si="2"/>
        <v>96000</v>
      </c>
    </row>
    <row r="70" spans="1:39">
      <c r="A70" s="48" t="s">
        <v>84</v>
      </c>
      <c r="B70" s="32">
        <v>58</v>
      </c>
      <c r="C70" s="33" t="s">
        <v>63</v>
      </c>
      <c r="D70" s="33" t="s">
        <v>599</v>
      </c>
      <c r="E70" s="33" t="s">
        <v>749</v>
      </c>
      <c r="F70" s="32" t="s">
        <v>575</v>
      </c>
      <c r="G70" s="34">
        <v>1</v>
      </c>
      <c r="H70" s="34">
        <v>1</v>
      </c>
      <c r="I70" s="34">
        <v>1</v>
      </c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10">
        <f t="shared" si="0"/>
        <v>3</v>
      </c>
      <c r="AL70" s="11">
        <v>32000</v>
      </c>
      <c r="AM70" s="12">
        <f t="shared" si="2"/>
        <v>96000</v>
      </c>
    </row>
    <row r="71" spans="1:39">
      <c r="A71" s="48" t="s">
        <v>84</v>
      </c>
      <c r="B71" s="32">
        <v>59</v>
      </c>
      <c r="C71" s="33" t="s">
        <v>495</v>
      </c>
      <c r="D71" s="33" t="s">
        <v>17</v>
      </c>
      <c r="E71" s="33" t="s">
        <v>199</v>
      </c>
      <c r="F71" s="32" t="s">
        <v>496</v>
      </c>
      <c r="G71" s="34">
        <v>1</v>
      </c>
      <c r="H71" s="34">
        <v>1</v>
      </c>
      <c r="I71" s="34">
        <v>1</v>
      </c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10">
        <f t="shared" si="0"/>
        <v>3</v>
      </c>
      <c r="AL71" s="11">
        <v>32000</v>
      </c>
      <c r="AM71" s="12">
        <f t="shared" si="2"/>
        <v>96000</v>
      </c>
    </row>
    <row r="72" spans="1:39">
      <c r="A72" s="48" t="s">
        <v>84</v>
      </c>
      <c r="B72" s="32">
        <v>59</v>
      </c>
      <c r="C72" s="33" t="s">
        <v>497</v>
      </c>
      <c r="D72" s="33" t="s">
        <v>498</v>
      </c>
      <c r="E72" s="33" t="s">
        <v>9</v>
      </c>
      <c r="F72" s="32" t="s">
        <v>499</v>
      </c>
      <c r="G72" s="34">
        <v>1</v>
      </c>
      <c r="H72" s="34">
        <v>1</v>
      </c>
      <c r="I72" s="34">
        <v>1</v>
      </c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10">
        <f t="shared" si="0"/>
        <v>3</v>
      </c>
      <c r="AL72" s="11">
        <v>32000</v>
      </c>
      <c r="AM72" s="12">
        <f t="shared" si="2"/>
        <v>96000</v>
      </c>
    </row>
    <row r="73" spans="1:39">
      <c r="A73" s="48" t="s">
        <v>84</v>
      </c>
      <c r="B73" s="32">
        <v>61</v>
      </c>
      <c r="C73" s="33" t="s">
        <v>510</v>
      </c>
      <c r="D73" s="33" t="s">
        <v>595</v>
      </c>
      <c r="E73" s="33" t="s">
        <v>41</v>
      </c>
      <c r="F73" s="32" t="s">
        <v>576</v>
      </c>
      <c r="G73" s="34">
        <v>1</v>
      </c>
      <c r="H73" s="34">
        <v>1</v>
      </c>
      <c r="I73" s="34">
        <v>1</v>
      </c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10">
        <f t="shared" si="0"/>
        <v>3</v>
      </c>
      <c r="AL73" s="11">
        <v>32000</v>
      </c>
      <c r="AM73" s="12">
        <f t="shared" si="2"/>
        <v>96000</v>
      </c>
    </row>
    <row r="74" spans="1:39">
      <c r="A74" s="48" t="s">
        <v>84</v>
      </c>
      <c r="B74" s="32">
        <v>61</v>
      </c>
      <c r="C74" s="33" t="s">
        <v>667</v>
      </c>
      <c r="D74" s="33" t="s">
        <v>592</v>
      </c>
      <c r="E74" s="33" t="s">
        <v>591</v>
      </c>
      <c r="F74" s="32" t="s">
        <v>573</v>
      </c>
      <c r="G74" s="34">
        <v>1</v>
      </c>
      <c r="H74" s="34">
        <v>1</v>
      </c>
      <c r="I74" s="34">
        <v>1</v>
      </c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10">
        <f t="shared" ref="AK74:AK137" si="3">SUM(G74:AJ74)</f>
        <v>3</v>
      </c>
      <c r="AL74" s="11">
        <v>32000</v>
      </c>
      <c r="AM74" s="12">
        <f t="shared" si="2"/>
        <v>96000</v>
      </c>
    </row>
    <row r="75" spans="1:39">
      <c r="A75" s="48" t="s">
        <v>84</v>
      </c>
      <c r="B75" s="32">
        <v>66</v>
      </c>
      <c r="C75" s="33" t="s">
        <v>500</v>
      </c>
      <c r="D75" s="33" t="s">
        <v>501</v>
      </c>
      <c r="E75" s="33" t="s">
        <v>9</v>
      </c>
      <c r="F75" s="32" t="s">
        <v>502</v>
      </c>
      <c r="G75" s="34">
        <v>1</v>
      </c>
      <c r="H75" s="34">
        <v>1</v>
      </c>
      <c r="I75" s="34">
        <v>1</v>
      </c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10">
        <f t="shared" si="3"/>
        <v>3</v>
      </c>
      <c r="AL75" s="11">
        <v>32000</v>
      </c>
      <c r="AM75" s="12">
        <f t="shared" si="2"/>
        <v>96000</v>
      </c>
    </row>
    <row r="76" spans="1:39">
      <c r="A76" s="48" t="s">
        <v>84</v>
      </c>
      <c r="B76" s="32">
        <v>66</v>
      </c>
      <c r="C76" s="33" t="s">
        <v>497</v>
      </c>
      <c r="D76" s="33" t="s">
        <v>122</v>
      </c>
      <c r="E76" s="33" t="s">
        <v>102</v>
      </c>
      <c r="F76" s="32" t="s">
        <v>503</v>
      </c>
      <c r="G76" s="34">
        <v>1</v>
      </c>
      <c r="H76" s="34">
        <v>1</v>
      </c>
      <c r="I76" s="34">
        <v>1</v>
      </c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10">
        <f t="shared" si="3"/>
        <v>3</v>
      </c>
      <c r="AL76" s="11">
        <v>32000</v>
      </c>
      <c r="AM76" s="12">
        <f t="shared" si="2"/>
        <v>96000</v>
      </c>
    </row>
    <row r="77" spans="1:39">
      <c r="A77" s="48" t="s">
        <v>84</v>
      </c>
      <c r="B77" s="32">
        <v>67</v>
      </c>
      <c r="C77" s="33" t="s">
        <v>504</v>
      </c>
      <c r="D77" s="33" t="s">
        <v>130</v>
      </c>
      <c r="E77" s="33" t="s">
        <v>11</v>
      </c>
      <c r="F77" s="32" t="s">
        <v>505</v>
      </c>
      <c r="G77" s="34">
        <v>1</v>
      </c>
      <c r="H77" s="34">
        <v>1</v>
      </c>
      <c r="I77" s="34">
        <v>1</v>
      </c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10">
        <f t="shared" si="3"/>
        <v>3</v>
      </c>
      <c r="AL77" s="11">
        <v>32000</v>
      </c>
      <c r="AM77" s="12">
        <f t="shared" si="2"/>
        <v>96000</v>
      </c>
    </row>
    <row r="78" spans="1:39">
      <c r="A78" s="48" t="s">
        <v>84</v>
      </c>
      <c r="B78" s="32">
        <v>67</v>
      </c>
      <c r="C78" s="33" t="s">
        <v>88</v>
      </c>
      <c r="D78" s="33" t="s">
        <v>89</v>
      </c>
      <c r="E78" s="33" t="s">
        <v>90</v>
      </c>
      <c r="F78" s="32" t="s">
        <v>91</v>
      </c>
      <c r="G78" s="34">
        <v>1</v>
      </c>
      <c r="H78" s="34">
        <v>1</v>
      </c>
      <c r="I78" s="34">
        <v>1</v>
      </c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10">
        <f t="shared" si="3"/>
        <v>3</v>
      </c>
      <c r="AL78" s="11">
        <v>32000</v>
      </c>
      <c r="AM78" s="12">
        <f t="shared" si="2"/>
        <v>96000</v>
      </c>
    </row>
    <row r="79" spans="1:39">
      <c r="A79" s="48" t="s">
        <v>84</v>
      </c>
      <c r="B79" s="32">
        <v>68</v>
      </c>
      <c r="C79" s="33" t="s">
        <v>63</v>
      </c>
      <c r="D79" s="33" t="s">
        <v>506</v>
      </c>
      <c r="E79" s="33" t="s">
        <v>22</v>
      </c>
      <c r="F79" s="32" t="s">
        <v>507</v>
      </c>
      <c r="G79" s="34">
        <v>1</v>
      </c>
      <c r="H79" s="34">
        <v>1</v>
      </c>
      <c r="I79" s="34">
        <v>1</v>
      </c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10">
        <f t="shared" si="3"/>
        <v>3</v>
      </c>
      <c r="AL79" s="11">
        <v>32000</v>
      </c>
      <c r="AM79" s="12">
        <f t="shared" si="2"/>
        <v>96000</v>
      </c>
    </row>
    <row r="80" spans="1:39">
      <c r="A80" s="48" t="s">
        <v>84</v>
      </c>
      <c r="B80" s="32">
        <v>68</v>
      </c>
      <c r="C80" s="33" t="s">
        <v>394</v>
      </c>
      <c r="D80" s="33" t="s">
        <v>430</v>
      </c>
      <c r="E80" s="33" t="s">
        <v>25</v>
      </c>
      <c r="F80" s="32" t="s">
        <v>508</v>
      </c>
      <c r="G80" s="34">
        <v>1</v>
      </c>
      <c r="H80" s="34">
        <v>1</v>
      </c>
      <c r="I80" s="34">
        <v>1</v>
      </c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10">
        <f t="shared" si="3"/>
        <v>3</v>
      </c>
      <c r="AL80" s="11">
        <v>32000</v>
      </c>
      <c r="AM80" s="12">
        <f t="shared" si="2"/>
        <v>96000</v>
      </c>
    </row>
    <row r="81" spans="1:39">
      <c r="A81" s="48" t="s">
        <v>84</v>
      </c>
      <c r="B81" s="32">
        <v>69</v>
      </c>
      <c r="C81" s="33" t="s">
        <v>321</v>
      </c>
      <c r="D81" s="33" t="s">
        <v>322</v>
      </c>
      <c r="E81" s="33" t="s">
        <v>25</v>
      </c>
      <c r="F81" s="32" t="s">
        <v>323</v>
      </c>
      <c r="G81" s="34">
        <v>1</v>
      </c>
      <c r="H81" s="34">
        <v>1</v>
      </c>
      <c r="I81" s="34">
        <v>1</v>
      </c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10">
        <f t="shared" si="3"/>
        <v>3</v>
      </c>
      <c r="AL81" s="11">
        <v>32000</v>
      </c>
      <c r="AM81" s="12">
        <f t="shared" si="2"/>
        <v>96000</v>
      </c>
    </row>
    <row r="82" spans="1:39">
      <c r="A82" s="48" t="s">
        <v>84</v>
      </c>
      <c r="B82" s="32">
        <v>69</v>
      </c>
      <c r="C82" s="33" t="s">
        <v>321</v>
      </c>
      <c r="D82" s="33" t="s">
        <v>322</v>
      </c>
      <c r="E82" s="33" t="s">
        <v>324</v>
      </c>
      <c r="F82" s="32" t="s">
        <v>325</v>
      </c>
      <c r="G82" s="34">
        <v>1</v>
      </c>
      <c r="H82" s="34">
        <v>1</v>
      </c>
      <c r="I82" s="34">
        <v>1</v>
      </c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10">
        <f t="shared" si="3"/>
        <v>3</v>
      </c>
      <c r="AL82" s="11">
        <v>32000</v>
      </c>
      <c r="AM82" s="12">
        <f t="shared" si="2"/>
        <v>96000</v>
      </c>
    </row>
    <row r="83" spans="1:39">
      <c r="A83" s="48" t="s">
        <v>84</v>
      </c>
      <c r="B83" s="32">
        <v>71</v>
      </c>
      <c r="C83" s="33" t="s">
        <v>266</v>
      </c>
      <c r="D83" s="33" t="s">
        <v>138</v>
      </c>
      <c r="E83" s="33" t="s">
        <v>649</v>
      </c>
      <c r="F83" s="32" t="s">
        <v>658</v>
      </c>
      <c r="G83" s="34">
        <v>1</v>
      </c>
      <c r="H83" s="34">
        <v>1</v>
      </c>
      <c r="I83" s="34">
        <v>1</v>
      </c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10">
        <f t="shared" si="3"/>
        <v>3</v>
      </c>
      <c r="AL83" s="11">
        <v>32000</v>
      </c>
      <c r="AM83" s="12">
        <f t="shared" si="2"/>
        <v>96000</v>
      </c>
    </row>
    <row r="84" spans="1:39">
      <c r="A84" s="48" t="s">
        <v>84</v>
      </c>
      <c r="B84" s="32">
        <v>71</v>
      </c>
      <c r="C84" s="33" t="s">
        <v>693</v>
      </c>
      <c r="D84" s="33" t="s">
        <v>13</v>
      </c>
      <c r="E84" s="33" t="s">
        <v>694</v>
      </c>
      <c r="F84" s="32" t="s">
        <v>704</v>
      </c>
      <c r="G84" s="34">
        <v>1</v>
      </c>
      <c r="H84" s="34">
        <v>1</v>
      </c>
      <c r="I84" s="34">
        <v>1</v>
      </c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10">
        <f t="shared" si="3"/>
        <v>3</v>
      </c>
      <c r="AL84" s="11">
        <v>32000</v>
      </c>
      <c r="AM84" s="12">
        <f t="shared" si="2"/>
        <v>96000</v>
      </c>
    </row>
    <row r="85" spans="1:39">
      <c r="A85" s="48" t="s">
        <v>84</v>
      </c>
      <c r="B85" s="32">
        <v>74</v>
      </c>
      <c r="C85" s="33" t="s">
        <v>89</v>
      </c>
      <c r="D85" s="33" t="s">
        <v>24</v>
      </c>
      <c r="E85" s="33" t="s">
        <v>651</v>
      </c>
      <c r="F85" s="32" t="s">
        <v>655</v>
      </c>
      <c r="G85" s="34">
        <v>1</v>
      </c>
      <c r="H85" s="34">
        <v>1</v>
      </c>
      <c r="I85" s="34">
        <v>1</v>
      </c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10">
        <f t="shared" si="3"/>
        <v>3</v>
      </c>
      <c r="AL85" s="11">
        <v>32000</v>
      </c>
      <c r="AM85" s="12">
        <f t="shared" si="2"/>
        <v>96000</v>
      </c>
    </row>
    <row r="86" spans="1:39">
      <c r="A86" s="48" t="s">
        <v>84</v>
      </c>
      <c r="B86" s="32">
        <v>74</v>
      </c>
      <c r="C86" s="33" t="s">
        <v>46</v>
      </c>
      <c r="D86" s="33" t="s">
        <v>652</v>
      </c>
      <c r="E86" s="33" t="s">
        <v>653</v>
      </c>
      <c r="F86" s="32" t="s">
        <v>654</v>
      </c>
      <c r="G86" s="34">
        <v>1</v>
      </c>
      <c r="H86" s="34">
        <v>1</v>
      </c>
      <c r="I86" s="34">
        <v>1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10">
        <f t="shared" si="3"/>
        <v>3</v>
      </c>
      <c r="AL86" s="11">
        <v>32000</v>
      </c>
      <c r="AM86" s="12">
        <f t="shared" si="2"/>
        <v>96000</v>
      </c>
    </row>
    <row r="87" spans="1:39">
      <c r="A87" s="48" t="s">
        <v>84</v>
      </c>
      <c r="B87" s="32">
        <v>76</v>
      </c>
      <c r="C87" s="33" t="s">
        <v>316</v>
      </c>
      <c r="D87" s="33" t="s">
        <v>659</v>
      </c>
      <c r="E87" s="33" t="s">
        <v>100</v>
      </c>
      <c r="F87" s="32" t="s">
        <v>666</v>
      </c>
      <c r="G87" s="34">
        <v>1</v>
      </c>
      <c r="H87" s="34">
        <v>1</v>
      </c>
      <c r="I87" s="34">
        <v>1</v>
      </c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10">
        <f t="shared" si="3"/>
        <v>3</v>
      </c>
      <c r="AL87" s="11">
        <v>32000</v>
      </c>
      <c r="AM87" s="12">
        <f t="shared" si="2"/>
        <v>96000</v>
      </c>
    </row>
    <row r="88" spans="1:39">
      <c r="A88" s="48" t="s">
        <v>84</v>
      </c>
      <c r="B88" s="32">
        <v>76</v>
      </c>
      <c r="C88" s="33" t="s">
        <v>660</v>
      </c>
      <c r="D88" s="33" t="s">
        <v>661</v>
      </c>
      <c r="E88" s="33" t="s">
        <v>419</v>
      </c>
      <c r="F88" s="32" t="s">
        <v>750</v>
      </c>
      <c r="G88" s="34">
        <v>1</v>
      </c>
      <c r="H88" s="34">
        <v>1</v>
      </c>
      <c r="I88" s="34">
        <v>1</v>
      </c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10">
        <f t="shared" si="3"/>
        <v>3</v>
      </c>
      <c r="AL88" s="11">
        <v>32000</v>
      </c>
      <c r="AM88" s="12">
        <f t="shared" si="2"/>
        <v>96000</v>
      </c>
    </row>
    <row r="89" spans="1:39">
      <c r="A89" s="48" t="s">
        <v>84</v>
      </c>
      <c r="B89" s="32">
        <v>77</v>
      </c>
      <c r="C89" s="33" t="s">
        <v>662</v>
      </c>
      <c r="D89" s="33" t="s">
        <v>55</v>
      </c>
      <c r="E89" s="33" t="s">
        <v>21</v>
      </c>
      <c r="F89" s="32" t="s">
        <v>665</v>
      </c>
      <c r="G89" s="34">
        <v>1</v>
      </c>
      <c r="H89" s="34">
        <v>1</v>
      </c>
      <c r="I89" s="34">
        <v>1</v>
      </c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10">
        <f t="shared" si="3"/>
        <v>3</v>
      </c>
      <c r="AL89" s="11">
        <v>32000</v>
      </c>
      <c r="AM89" s="12">
        <f t="shared" si="2"/>
        <v>96000</v>
      </c>
    </row>
    <row r="90" spans="1:39">
      <c r="A90" s="48" t="s">
        <v>84</v>
      </c>
      <c r="B90" s="32">
        <v>77</v>
      </c>
      <c r="C90" s="33" t="s">
        <v>663</v>
      </c>
      <c r="D90" s="33" t="s">
        <v>251</v>
      </c>
      <c r="E90" s="33" t="s">
        <v>540</v>
      </c>
      <c r="F90" s="32" t="s">
        <v>664</v>
      </c>
      <c r="G90" s="34">
        <v>1</v>
      </c>
      <c r="H90" s="34">
        <v>1</v>
      </c>
      <c r="I90" s="34">
        <v>1</v>
      </c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10">
        <f t="shared" si="3"/>
        <v>3</v>
      </c>
      <c r="AL90" s="11">
        <v>32000</v>
      </c>
      <c r="AM90" s="12">
        <f t="shared" si="2"/>
        <v>96000</v>
      </c>
    </row>
    <row r="91" spans="1:39">
      <c r="A91" s="48" t="s">
        <v>84</v>
      </c>
      <c r="B91" s="32">
        <v>79</v>
      </c>
      <c r="C91" s="33" t="s">
        <v>509</v>
      </c>
      <c r="D91" s="33" t="s">
        <v>510</v>
      </c>
      <c r="E91" s="33" t="s">
        <v>64</v>
      </c>
      <c r="F91" s="32" t="s">
        <v>511</v>
      </c>
      <c r="G91" s="34">
        <v>1</v>
      </c>
      <c r="H91" s="34">
        <v>1</v>
      </c>
      <c r="I91" s="34">
        <v>1</v>
      </c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10">
        <f t="shared" si="3"/>
        <v>3</v>
      </c>
      <c r="AL91" s="11">
        <v>32000</v>
      </c>
      <c r="AM91" s="12">
        <f t="shared" si="2"/>
        <v>96000</v>
      </c>
    </row>
    <row r="92" spans="1:39">
      <c r="A92" s="48" t="s">
        <v>84</v>
      </c>
      <c r="B92" s="32">
        <v>79</v>
      </c>
      <c r="C92" s="33" t="s">
        <v>257</v>
      </c>
      <c r="D92" s="33" t="s">
        <v>512</v>
      </c>
      <c r="E92" s="33" t="s">
        <v>259</v>
      </c>
      <c r="F92" s="32" t="s">
        <v>513</v>
      </c>
      <c r="G92" s="34">
        <v>1</v>
      </c>
      <c r="H92" s="34">
        <v>1</v>
      </c>
      <c r="I92" s="34">
        <v>1</v>
      </c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10">
        <f t="shared" si="3"/>
        <v>3</v>
      </c>
      <c r="AL92" s="11">
        <v>32000</v>
      </c>
      <c r="AM92" s="12">
        <f t="shared" si="2"/>
        <v>96000</v>
      </c>
    </row>
    <row r="93" spans="1:39">
      <c r="A93" s="48" t="s">
        <v>84</v>
      </c>
      <c r="B93" s="32">
        <v>80</v>
      </c>
      <c r="C93" s="33" t="s">
        <v>394</v>
      </c>
      <c r="D93" s="33" t="s">
        <v>514</v>
      </c>
      <c r="E93" s="33" t="s">
        <v>515</v>
      </c>
      <c r="F93" s="32" t="s">
        <v>516</v>
      </c>
      <c r="G93" s="34">
        <v>1</v>
      </c>
      <c r="H93" s="34">
        <v>1</v>
      </c>
      <c r="I93" s="34">
        <v>1</v>
      </c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10">
        <f t="shared" si="3"/>
        <v>3</v>
      </c>
      <c r="AL93" s="11">
        <v>32000</v>
      </c>
      <c r="AM93" s="12">
        <f t="shared" ref="AM93:AM138" si="4">AL93*AK93</f>
        <v>96000</v>
      </c>
    </row>
    <row r="94" spans="1:39">
      <c r="A94" s="48" t="s">
        <v>84</v>
      </c>
      <c r="B94" s="32">
        <v>80</v>
      </c>
      <c r="C94" s="33" t="s">
        <v>88</v>
      </c>
      <c r="D94" s="33" t="s">
        <v>517</v>
      </c>
      <c r="E94" s="33" t="s">
        <v>9</v>
      </c>
      <c r="F94" s="32" t="s">
        <v>518</v>
      </c>
      <c r="G94" s="34">
        <v>1</v>
      </c>
      <c r="H94" s="34">
        <v>1</v>
      </c>
      <c r="I94" s="34">
        <v>1</v>
      </c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10">
        <f t="shared" si="3"/>
        <v>3</v>
      </c>
      <c r="AL94" s="11">
        <v>32000</v>
      </c>
      <c r="AM94" s="12">
        <f t="shared" si="4"/>
        <v>96000</v>
      </c>
    </row>
    <row r="95" spans="1:39">
      <c r="A95" s="48" t="s">
        <v>84</v>
      </c>
      <c r="B95" s="32">
        <v>83</v>
      </c>
      <c r="C95" s="33" t="s">
        <v>520</v>
      </c>
      <c r="D95" s="33" t="s">
        <v>521</v>
      </c>
      <c r="E95" s="33" t="s">
        <v>61</v>
      </c>
      <c r="F95" s="32" t="s">
        <v>522</v>
      </c>
      <c r="G95" s="34">
        <v>1</v>
      </c>
      <c r="H95" s="34">
        <v>1</v>
      </c>
      <c r="I95" s="34">
        <v>1</v>
      </c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10">
        <f t="shared" si="3"/>
        <v>3</v>
      </c>
      <c r="AL95" s="11">
        <v>32000</v>
      </c>
      <c r="AM95" s="12">
        <f t="shared" si="4"/>
        <v>96000</v>
      </c>
    </row>
    <row r="96" spans="1:39" ht="13.5" customHeight="1">
      <c r="A96" s="48" t="s">
        <v>84</v>
      </c>
      <c r="B96" s="32">
        <v>83</v>
      </c>
      <c r="C96" s="33" t="s">
        <v>201</v>
      </c>
      <c r="D96" s="33" t="s">
        <v>18</v>
      </c>
      <c r="E96" s="33" t="s">
        <v>523</v>
      </c>
      <c r="F96" s="32" t="s">
        <v>524</v>
      </c>
      <c r="G96" s="34">
        <v>1</v>
      </c>
      <c r="H96" s="34">
        <v>1</v>
      </c>
      <c r="I96" s="34">
        <v>1</v>
      </c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10">
        <f t="shared" si="3"/>
        <v>3</v>
      </c>
      <c r="AL96" s="11">
        <v>32000</v>
      </c>
      <c r="AM96" s="12">
        <f t="shared" si="4"/>
        <v>96000</v>
      </c>
    </row>
    <row r="97" spans="1:39" ht="13.5" customHeight="1">
      <c r="A97" s="48" t="s">
        <v>84</v>
      </c>
      <c r="B97" s="32">
        <v>84</v>
      </c>
      <c r="C97" s="33" t="s">
        <v>201</v>
      </c>
      <c r="D97" s="33" t="s">
        <v>331</v>
      </c>
      <c r="E97" s="33" t="s">
        <v>15</v>
      </c>
      <c r="F97" s="32" t="s">
        <v>332</v>
      </c>
      <c r="G97" s="34">
        <v>1</v>
      </c>
      <c r="H97" s="34">
        <v>1</v>
      </c>
      <c r="I97" s="34">
        <v>1</v>
      </c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10">
        <f t="shared" si="3"/>
        <v>3</v>
      </c>
      <c r="AL97" s="11">
        <v>32000</v>
      </c>
      <c r="AM97" s="12">
        <f t="shared" si="4"/>
        <v>96000</v>
      </c>
    </row>
    <row r="98" spans="1:39" ht="13.5" customHeight="1">
      <c r="A98" s="48" t="s">
        <v>84</v>
      </c>
      <c r="B98" s="32">
        <v>84</v>
      </c>
      <c r="C98" s="33" t="s">
        <v>333</v>
      </c>
      <c r="D98" s="33" t="s">
        <v>282</v>
      </c>
      <c r="E98" s="33" t="s">
        <v>283</v>
      </c>
      <c r="F98" s="32" t="s">
        <v>289</v>
      </c>
      <c r="G98" s="34">
        <v>1</v>
      </c>
      <c r="H98" s="34">
        <v>1</v>
      </c>
      <c r="I98" s="34">
        <v>1</v>
      </c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10">
        <f t="shared" si="3"/>
        <v>3</v>
      </c>
      <c r="AL98" s="11">
        <v>32000</v>
      </c>
      <c r="AM98" s="12">
        <f t="shared" si="4"/>
        <v>96000</v>
      </c>
    </row>
    <row r="99" spans="1:39" ht="13.5" customHeight="1">
      <c r="A99" s="48" t="s">
        <v>84</v>
      </c>
      <c r="B99" s="32">
        <v>87</v>
      </c>
      <c r="C99" s="33" t="s">
        <v>265</v>
      </c>
      <c r="D99" s="33" t="s">
        <v>751</v>
      </c>
      <c r="E99" s="33" t="s">
        <v>41</v>
      </c>
      <c r="F99" s="32" t="s">
        <v>579</v>
      </c>
      <c r="G99" s="34">
        <v>1</v>
      </c>
      <c r="H99" s="34">
        <v>1</v>
      </c>
      <c r="I99" s="34">
        <v>1</v>
      </c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10">
        <f t="shared" si="3"/>
        <v>3</v>
      </c>
      <c r="AL99" s="11">
        <v>32000</v>
      </c>
      <c r="AM99" s="12">
        <f t="shared" si="4"/>
        <v>96000</v>
      </c>
    </row>
    <row r="100" spans="1:39" ht="13.5" customHeight="1">
      <c r="A100" s="48" t="s">
        <v>84</v>
      </c>
      <c r="B100" s="32">
        <v>87</v>
      </c>
      <c r="C100" s="33" t="s">
        <v>27</v>
      </c>
      <c r="D100" s="33" t="s">
        <v>752</v>
      </c>
      <c r="E100" s="33" t="s">
        <v>753</v>
      </c>
      <c r="F100" s="32" t="s">
        <v>583</v>
      </c>
      <c r="G100" s="34">
        <v>1</v>
      </c>
      <c r="H100" s="34">
        <v>1</v>
      </c>
      <c r="I100" s="34">
        <v>1</v>
      </c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10">
        <f t="shared" si="3"/>
        <v>3</v>
      </c>
      <c r="AL100" s="11">
        <v>32000</v>
      </c>
      <c r="AM100" s="12">
        <f t="shared" si="4"/>
        <v>96000</v>
      </c>
    </row>
    <row r="101" spans="1:39" ht="13.5" customHeight="1">
      <c r="A101" s="48" t="s">
        <v>84</v>
      </c>
      <c r="B101" s="32">
        <v>88</v>
      </c>
      <c r="C101" s="33" t="s">
        <v>611</v>
      </c>
      <c r="D101" s="33" t="s">
        <v>754</v>
      </c>
      <c r="E101" s="33" t="s">
        <v>22</v>
      </c>
      <c r="F101" s="32" t="s">
        <v>613</v>
      </c>
      <c r="G101" s="34">
        <v>1</v>
      </c>
      <c r="H101" s="34">
        <v>1</v>
      </c>
      <c r="I101" s="34">
        <v>1</v>
      </c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10">
        <f t="shared" si="3"/>
        <v>3</v>
      </c>
      <c r="AL101" s="11">
        <v>32000</v>
      </c>
      <c r="AM101" s="12">
        <f t="shared" si="4"/>
        <v>96000</v>
      </c>
    </row>
    <row r="102" spans="1:39" ht="13.5" customHeight="1">
      <c r="A102" s="48" t="s">
        <v>84</v>
      </c>
      <c r="B102" s="32">
        <v>88</v>
      </c>
      <c r="C102" s="33" t="s">
        <v>755</v>
      </c>
      <c r="D102" s="33" t="s">
        <v>299</v>
      </c>
      <c r="E102" s="33" t="s">
        <v>317</v>
      </c>
      <c r="F102" s="32" t="s">
        <v>622</v>
      </c>
      <c r="G102" s="34">
        <v>1</v>
      </c>
      <c r="H102" s="34">
        <v>1</v>
      </c>
      <c r="I102" s="34">
        <v>1</v>
      </c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10">
        <f t="shared" si="3"/>
        <v>3</v>
      </c>
      <c r="AL102" s="11">
        <v>32000</v>
      </c>
      <c r="AM102" s="12">
        <f t="shared" si="4"/>
        <v>96000</v>
      </c>
    </row>
    <row r="103" spans="1:39" ht="13.5" customHeight="1">
      <c r="A103" s="48" t="s">
        <v>84</v>
      </c>
      <c r="B103" s="32">
        <v>89</v>
      </c>
      <c r="C103" s="33" t="s">
        <v>89</v>
      </c>
      <c r="D103" s="33" t="s">
        <v>177</v>
      </c>
      <c r="E103" s="33" t="s">
        <v>756</v>
      </c>
      <c r="F103" s="32" t="s">
        <v>586</v>
      </c>
      <c r="G103" s="34">
        <v>1</v>
      </c>
      <c r="H103" s="34">
        <v>1</v>
      </c>
      <c r="I103" s="34">
        <v>1</v>
      </c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10">
        <f t="shared" si="3"/>
        <v>3</v>
      </c>
      <c r="AL103" s="11">
        <v>32000</v>
      </c>
      <c r="AM103" s="12">
        <f t="shared" si="4"/>
        <v>96000</v>
      </c>
    </row>
    <row r="104" spans="1:39" ht="13.5" customHeight="1">
      <c r="A104" s="48" t="s">
        <v>84</v>
      </c>
      <c r="B104" s="32">
        <v>89</v>
      </c>
      <c r="C104" s="33" t="s">
        <v>155</v>
      </c>
      <c r="D104" s="33" t="s">
        <v>610</v>
      </c>
      <c r="E104" s="33" t="s">
        <v>337</v>
      </c>
      <c r="F104" s="32" t="s">
        <v>614</v>
      </c>
      <c r="G104" s="34">
        <v>1</v>
      </c>
      <c r="H104" s="34">
        <v>1</v>
      </c>
      <c r="I104" s="34">
        <v>1</v>
      </c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10">
        <f t="shared" si="3"/>
        <v>3</v>
      </c>
      <c r="AL104" s="11">
        <v>32000</v>
      </c>
      <c r="AM104" s="12">
        <f t="shared" si="4"/>
        <v>96000</v>
      </c>
    </row>
    <row r="105" spans="1:39" ht="13.5" customHeight="1">
      <c r="A105" s="48" t="s">
        <v>84</v>
      </c>
      <c r="B105" s="32">
        <v>90</v>
      </c>
      <c r="C105" s="33" t="s">
        <v>354</v>
      </c>
      <c r="D105" s="33" t="s">
        <v>262</v>
      </c>
      <c r="E105" s="33" t="s">
        <v>355</v>
      </c>
      <c r="F105" s="32" t="s">
        <v>356</v>
      </c>
      <c r="G105" s="34">
        <v>1</v>
      </c>
      <c r="H105" s="34">
        <v>1</v>
      </c>
      <c r="I105" s="34">
        <v>1</v>
      </c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10">
        <f t="shared" si="3"/>
        <v>3</v>
      </c>
      <c r="AL105" s="11">
        <v>32000</v>
      </c>
      <c r="AM105" s="12">
        <f t="shared" si="4"/>
        <v>96000</v>
      </c>
    </row>
    <row r="106" spans="1:39" ht="13.5" customHeight="1">
      <c r="A106" s="48" t="s">
        <v>84</v>
      </c>
      <c r="B106" s="32">
        <v>90</v>
      </c>
      <c r="C106" s="33" t="s">
        <v>357</v>
      </c>
      <c r="D106" s="33" t="s">
        <v>358</v>
      </c>
      <c r="E106" s="33" t="s">
        <v>15</v>
      </c>
      <c r="F106" s="32" t="s">
        <v>359</v>
      </c>
      <c r="G106" s="34">
        <v>1</v>
      </c>
      <c r="H106" s="34">
        <v>1</v>
      </c>
      <c r="I106" s="34">
        <v>1</v>
      </c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10">
        <f t="shared" si="3"/>
        <v>3</v>
      </c>
      <c r="AL106" s="11">
        <v>32000</v>
      </c>
      <c r="AM106" s="12">
        <f t="shared" si="4"/>
        <v>96000</v>
      </c>
    </row>
    <row r="107" spans="1:39" ht="13.5" customHeight="1">
      <c r="A107" s="48" t="s">
        <v>84</v>
      </c>
      <c r="B107" s="32">
        <v>91</v>
      </c>
      <c r="C107" s="33" t="s">
        <v>262</v>
      </c>
      <c r="D107" s="33" t="s">
        <v>525</v>
      </c>
      <c r="E107" s="33" t="s">
        <v>526</v>
      </c>
      <c r="F107" s="32" t="s">
        <v>527</v>
      </c>
      <c r="G107" s="34">
        <v>1</v>
      </c>
      <c r="H107" s="34">
        <v>1</v>
      </c>
      <c r="I107" s="34">
        <v>1</v>
      </c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10">
        <f t="shared" si="3"/>
        <v>3</v>
      </c>
      <c r="AL107" s="11">
        <v>32000</v>
      </c>
      <c r="AM107" s="12">
        <f t="shared" si="4"/>
        <v>96000</v>
      </c>
    </row>
    <row r="108" spans="1:39" ht="13.5" customHeight="1">
      <c r="A108" s="48" t="s">
        <v>84</v>
      </c>
      <c r="B108" s="32">
        <v>91</v>
      </c>
      <c r="C108" s="33" t="s">
        <v>618</v>
      </c>
      <c r="D108" s="33" t="s">
        <v>618</v>
      </c>
      <c r="E108" s="33" t="s">
        <v>9</v>
      </c>
      <c r="F108" s="32" t="s">
        <v>623</v>
      </c>
      <c r="G108" s="34">
        <v>1</v>
      </c>
      <c r="H108" s="34">
        <v>1</v>
      </c>
      <c r="I108" s="34">
        <v>1</v>
      </c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10">
        <f t="shared" si="3"/>
        <v>3</v>
      </c>
      <c r="AL108" s="11">
        <v>32000</v>
      </c>
      <c r="AM108" s="12">
        <f t="shared" si="4"/>
        <v>96000</v>
      </c>
    </row>
    <row r="109" spans="1:39" ht="13.5" customHeight="1">
      <c r="A109" s="48" t="s">
        <v>84</v>
      </c>
      <c r="B109" s="32">
        <v>92</v>
      </c>
      <c r="C109" s="33" t="s">
        <v>118</v>
      </c>
      <c r="D109" s="33" t="s">
        <v>118</v>
      </c>
      <c r="E109" s="33" t="s">
        <v>337</v>
      </c>
      <c r="F109" s="32" t="s">
        <v>528</v>
      </c>
      <c r="G109" s="34">
        <v>1</v>
      </c>
      <c r="H109" s="34">
        <v>1</v>
      </c>
      <c r="I109" s="34">
        <v>1</v>
      </c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10">
        <f t="shared" si="3"/>
        <v>3</v>
      </c>
      <c r="AL109" s="11">
        <v>32000</v>
      </c>
      <c r="AM109" s="12">
        <f t="shared" si="4"/>
        <v>96000</v>
      </c>
    </row>
    <row r="110" spans="1:39" ht="13.5" customHeight="1">
      <c r="A110" s="48" t="s">
        <v>84</v>
      </c>
      <c r="B110" s="32">
        <v>92</v>
      </c>
      <c r="C110" s="33" t="s">
        <v>529</v>
      </c>
      <c r="D110" s="33" t="s">
        <v>431</v>
      </c>
      <c r="E110" s="33" t="s">
        <v>259</v>
      </c>
      <c r="F110" s="32" t="s">
        <v>530</v>
      </c>
      <c r="G110" s="34">
        <v>1</v>
      </c>
      <c r="H110" s="34">
        <v>1</v>
      </c>
      <c r="I110" s="34">
        <v>1</v>
      </c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10">
        <f t="shared" si="3"/>
        <v>3</v>
      </c>
      <c r="AL110" s="11">
        <v>32000</v>
      </c>
      <c r="AM110" s="12">
        <f t="shared" si="4"/>
        <v>96000</v>
      </c>
    </row>
    <row r="111" spans="1:39" ht="13.5" customHeight="1">
      <c r="A111" s="48" t="s">
        <v>84</v>
      </c>
      <c r="B111" s="32">
        <v>93</v>
      </c>
      <c r="C111" s="33" t="s">
        <v>596</v>
      </c>
      <c r="D111" s="33" t="s">
        <v>462</v>
      </c>
      <c r="E111" s="33" t="s">
        <v>75</v>
      </c>
      <c r="F111" s="32" t="s">
        <v>577</v>
      </c>
      <c r="G111" s="34">
        <v>1</v>
      </c>
      <c r="H111" s="34">
        <v>1</v>
      </c>
      <c r="I111" s="34">
        <v>1</v>
      </c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10">
        <f t="shared" si="3"/>
        <v>3</v>
      </c>
      <c r="AL111" s="11">
        <v>32000</v>
      </c>
      <c r="AM111" s="12">
        <f t="shared" si="4"/>
        <v>96000</v>
      </c>
    </row>
    <row r="112" spans="1:39" ht="13.5" customHeight="1">
      <c r="A112" s="48" t="s">
        <v>84</v>
      </c>
      <c r="B112" s="32">
        <v>93</v>
      </c>
      <c r="C112" s="33" t="s">
        <v>27</v>
      </c>
      <c r="D112" s="33" t="s">
        <v>597</v>
      </c>
      <c r="E112" s="33" t="s">
        <v>29</v>
      </c>
      <c r="F112" s="32" t="s">
        <v>580</v>
      </c>
      <c r="G112" s="34">
        <v>1</v>
      </c>
      <c r="H112" s="34">
        <v>1</v>
      </c>
      <c r="I112" s="34">
        <v>1</v>
      </c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10">
        <f t="shared" si="3"/>
        <v>3</v>
      </c>
      <c r="AL112" s="11">
        <v>32000</v>
      </c>
      <c r="AM112" s="12">
        <f t="shared" si="4"/>
        <v>96000</v>
      </c>
    </row>
    <row r="113" spans="1:39" ht="13.5" customHeight="1">
      <c r="A113" s="48" t="s">
        <v>84</v>
      </c>
      <c r="B113" s="32">
        <v>94</v>
      </c>
      <c r="C113" s="33" t="s">
        <v>650</v>
      </c>
      <c r="D113" s="33" t="s">
        <v>363</v>
      </c>
      <c r="E113" s="33" t="s">
        <v>29</v>
      </c>
      <c r="F113" s="32" t="s">
        <v>657</v>
      </c>
      <c r="G113" s="34">
        <v>1</v>
      </c>
      <c r="H113" s="34">
        <v>1</v>
      </c>
      <c r="I113" s="34">
        <v>1</v>
      </c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10">
        <f t="shared" si="3"/>
        <v>3</v>
      </c>
      <c r="AL113" s="11">
        <v>32000</v>
      </c>
      <c r="AM113" s="12">
        <f t="shared" si="4"/>
        <v>96000</v>
      </c>
    </row>
    <row r="114" spans="1:39" ht="13.5" customHeight="1">
      <c r="A114" s="48" t="s">
        <v>84</v>
      </c>
      <c r="B114" s="32">
        <v>94</v>
      </c>
      <c r="C114" s="33" t="s">
        <v>130</v>
      </c>
      <c r="D114" s="33" t="s">
        <v>63</v>
      </c>
      <c r="E114" s="33" t="s">
        <v>324</v>
      </c>
      <c r="F114" s="32" t="s">
        <v>656</v>
      </c>
      <c r="G114" s="34">
        <v>1</v>
      </c>
      <c r="H114" s="34">
        <v>1</v>
      </c>
      <c r="I114" s="34">
        <v>1</v>
      </c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10">
        <f t="shared" si="3"/>
        <v>3</v>
      </c>
      <c r="AL114" s="11">
        <v>32000</v>
      </c>
      <c r="AM114" s="12">
        <f t="shared" si="4"/>
        <v>96000</v>
      </c>
    </row>
    <row r="115" spans="1:39" ht="13.5" customHeight="1">
      <c r="A115" s="48" t="s">
        <v>84</v>
      </c>
      <c r="B115" s="32">
        <v>96</v>
      </c>
      <c r="C115" s="33" t="s">
        <v>326</v>
      </c>
      <c r="D115" s="33" t="s">
        <v>327</v>
      </c>
      <c r="E115" s="33" t="s">
        <v>328</v>
      </c>
      <c r="F115" s="32" t="s">
        <v>329</v>
      </c>
      <c r="G115" s="34">
        <v>1</v>
      </c>
      <c r="H115" s="34">
        <v>1</v>
      </c>
      <c r="I115" s="34">
        <v>1</v>
      </c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10">
        <f t="shared" si="3"/>
        <v>3</v>
      </c>
      <c r="AL115" s="11">
        <v>32000</v>
      </c>
      <c r="AM115" s="12">
        <f t="shared" si="4"/>
        <v>96000</v>
      </c>
    </row>
    <row r="116" spans="1:39" ht="13.5" customHeight="1">
      <c r="A116" s="48" t="s">
        <v>84</v>
      </c>
      <c r="B116" s="32">
        <v>96</v>
      </c>
      <c r="C116" s="33" t="s">
        <v>757</v>
      </c>
      <c r="D116" s="33" t="s">
        <v>291</v>
      </c>
      <c r="E116" s="33" t="s">
        <v>252</v>
      </c>
      <c r="F116" s="32" t="s">
        <v>330</v>
      </c>
      <c r="G116" s="34">
        <v>1</v>
      </c>
      <c r="H116" s="34">
        <v>1</v>
      </c>
      <c r="I116" s="34">
        <v>1</v>
      </c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10">
        <f t="shared" si="3"/>
        <v>3</v>
      </c>
      <c r="AL116" s="11">
        <v>32000</v>
      </c>
      <c r="AM116" s="12">
        <f t="shared" si="4"/>
        <v>96000</v>
      </c>
    </row>
    <row r="117" spans="1:39" ht="13.5" customHeight="1">
      <c r="A117" s="48" t="s">
        <v>84</v>
      </c>
      <c r="B117" s="32">
        <v>97</v>
      </c>
      <c r="C117" s="33" t="s">
        <v>489</v>
      </c>
      <c r="D117" s="33" t="s">
        <v>490</v>
      </c>
      <c r="E117" s="33" t="s">
        <v>64</v>
      </c>
      <c r="F117" s="32" t="s">
        <v>491</v>
      </c>
      <c r="G117" s="34">
        <v>1</v>
      </c>
      <c r="H117" s="34">
        <v>1</v>
      </c>
      <c r="I117" s="34">
        <v>1</v>
      </c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10">
        <f t="shared" si="3"/>
        <v>3</v>
      </c>
      <c r="AL117" s="11">
        <v>32000</v>
      </c>
      <c r="AM117" s="12">
        <f t="shared" si="4"/>
        <v>96000</v>
      </c>
    </row>
    <row r="118" spans="1:39" ht="13.5" customHeight="1">
      <c r="A118" s="48" t="s">
        <v>84</v>
      </c>
      <c r="B118" s="32">
        <v>97</v>
      </c>
      <c r="C118" s="33" t="s">
        <v>531</v>
      </c>
      <c r="D118" s="33" t="s">
        <v>89</v>
      </c>
      <c r="E118" s="33" t="s">
        <v>317</v>
      </c>
      <c r="F118" s="32" t="s">
        <v>532</v>
      </c>
      <c r="G118" s="34">
        <v>1</v>
      </c>
      <c r="H118" s="34">
        <v>1</v>
      </c>
      <c r="I118" s="34">
        <v>1</v>
      </c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10">
        <f t="shared" si="3"/>
        <v>3</v>
      </c>
      <c r="AL118" s="11">
        <v>32000</v>
      </c>
      <c r="AM118" s="12">
        <f t="shared" si="4"/>
        <v>96000</v>
      </c>
    </row>
    <row r="119" spans="1:39" ht="13.5" customHeight="1">
      <c r="A119" s="48" t="s">
        <v>84</v>
      </c>
      <c r="B119" s="32">
        <v>98</v>
      </c>
      <c r="C119" s="33" t="s">
        <v>748</v>
      </c>
      <c r="D119" s="33" t="s">
        <v>668</v>
      </c>
      <c r="E119" s="33" t="s">
        <v>758</v>
      </c>
      <c r="F119" s="32" t="s">
        <v>669</v>
      </c>
      <c r="G119" s="34">
        <v>1</v>
      </c>
      <c r="H119" s="34">
        <v>1</v>
      </c>
      <c r="I119" s="34">
        <v>1</v>
      </c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10">
        <f t="shared" si="3"/>
        <v>3</v>
      </c>
      <c r="AL119" s="11">
        <v>32000</v>
      </c>
      <c r="AM119" s="12">
        <f t="shared" si="4"/>
        <v>96000</v>
      </c>
    </row>
    <row r="120" spans="1:39" ht="13.5" customHeight="1">
      <c r="A120" s="48" t="s">
        <v>84</v>
      </c>
      <c r="B120" s="32">
        <v>98</v>
      </c>
      <c r="C120" s="33" t="s">
        <v>533</v>
      </c>
      <c r="D120" s="33" t="s">
        <v>534</v>
      </c>
      <c r="E120" s="33" t="s">
        <v>535</v>
      </c>
      <c r="F120" s="32" t="s">
        <v>536</v>
      </c>
      <c r="G120" s="34">
        <v>1</v>
      </c>
      <c r="H120" s="34">
        <v>1</v>
      </c>
      <c r="I120" s="34">
        <v>1</v>
      </c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10">
        <f t="shared" si="3"/>
        <v>3</v>
      </c>
      <c r="AL120" s="11">
        <v>32000</v>
      </c>
      <c r="AM120" s="12">
        <f t="shared" si="4"/>
        <v>96000</v>
      </c>
    </row>
    <row r="121" spans="1:39" ht="13.5" customHeight="1">
      <c r="A121" s="48" t="s">
        <v>84</v>
      </c>
      <c r="B121" s="32">
        <v>99</v>
      </c>
      <c r="C121" s="33" t="s">
        <v>13</v>
      </c>
      <c r="D121" s="33" t="s">
        <v>46</v>
      </c>
      <c r="E121" s="33" t="s">
        <v>23</v>
      </c>
      <c r="F121" s="32" t="s">
        <v>537</v>
      </c>
      <c r="G121" s="34">
        <v>1</v>
      </c>
      <c r="H121" s="34">
        <v>1</v>
      </c>
      <c r="I121" s="34">
        <v>1</v>
      </c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10">
        <f t="shared" si="3"/>
        <v>3</v>
      </c>
      <c r="AL121" s="11">
        <v>32000</v>
      </c>
      <c r="AM121" s="12">
        <f t="shared" si="4"/>
        <v>96000</v>
      </c>
    </row>
    <row r="122" spans="1:39" ht="13.5" customHeight="1">
      <c r="A122" s="48" t="s">
        <v>84</v>
      </c>
      <c r="B122" s="32">
        <v>99</v>
      </c>
      <c r="C122" s="33" t="s">
        <v>111</v>
      </c>
      <c r="D122" s="33" t="s">
        <v>96</v>
      </c>
      <c r="E122" s="33" t="s">
        <v>423</v>
      </c>
      <c r="F122" s="32" t="s">
        <v>688</v>
      </c>
      <c r="G122" s="34">
        <v>1</v>
      </c>
      <c r="H122" s="34">
        <v>1</v>
      </c>
      <c r="I122" s="34">
        <v>1</v>
      </c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10">
        <f t="shared" si="3"/>
        <v>3</v>
      </c>
      <c r="AL122" s="11">
        <v>32000</v>
      </c>
      <c r="AM122" s="12">
        <f t="shared" si="4"/>
        <v>96000</v>
      </c>
    </row>
    <row r="123" spans="1:39" ht="13.5" customHeight="1">
      <c r="A123" s="48" t="s">
        <v>84</v>
      </c>
      <c r="B123" s="32">
        <v>100</v>
      </c>
      <c r="C123" s="33" t="s">
        <v>20</v>
      </c>
      <c r="D123" s="33" t="s">
        <v>539</v>
      </c>
      <c r="E123" s="33" t="s">
        <v>540</v>
      </c>
      <c r="F123" s="32" t="s">
        <v>541</v>
      </c>
      <c r="G123" s="34">
        <v>1</v>
      </c>
      <c r="H123" s="34">
        <v>1</v>
      </c>
      <c r="I123" s="34">
        <v>1</v>
      </c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10">
        <f t="shared" si="3"/>
        <v>3</v>
      </c>
      <c r="AL123" s="11">
        <v>32000</v>
      </c>
      <c r="AM123" s="12">
        <f t="shared" si="4"/>
        <v>96000</v>
      </c>
    </row>
    <row r="124" spans="1:39" ht="13.5" customHeight="1">
      <c r="A124" s="48" t="s">
        <v>84</v>
      </c>
      <c r="B124" s="32">
        <v>100</v>
      </c>
      <c r="C124" s="33" t="s">
        <v>542</v>
      </c>
      <c r="D124" s="33" t="s">
        <v>426</v>
      </c>
      <c r="E124" s="33" t="s">
        <v>199</v>
      </c>
      <c r="F124" s="32" t="s">
        <v>543</v>
      </c>
      <c r="G124" s="34">
        <v>1</v>
      </c>
      <c r="H124" s="34">
        <v>1</v>
      </c>
      <c r="I124" s="34">
        <v>1</v>
      </c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10">
        <f t="shared" si="3"/>
        <v>3</v>
      </c>
      <c r="AL124" s="11">
        <v>32000</v>
      </c>
      <c r="AM124" s="12">
        <f t="shared" si="4"/>
        <v>96000</v>
      </c>
    </row>
    <row r="125" spans="1:39" ht="13.5" customHeight="1">
      <c r="A125" s="48" t="s">
        <v>84</v>
      </c>
      <c r="B125" s="32">
        <v>101</v>
      </c>
      <c r="C125" s="33" t="s">
        <v>759</v>
      </c>
      <c r="D125" s="33" t="s">
        <v>587</v>
      </c>
      <c r="E125" s="33" t="s">
        <v>760</v>
      </c>
      <c r="F125" s="32" t="s">
        <v>567</v>
      </c>
      <c r="G125" s="34">
        <v>1</v>
      </c>
      <c r="H125" s="34">
        <v>1</v>
      </c>
      <c r="I125" s="34">
        <v>1</v>
      </c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10">
        <f t="shared" si="3"/>
        <v>3</v>
      </c>
      <c r="AL125" s="11">
        <v>32000</v>
      </c>
      <c r="AM125" s="12">
        <f t="shared" si="4"/>
        <v>96000</v>
      </c>
    </row>
    <row r="126" spans="1:39" ht="13.5" customHeight="1">
      <c r="A126" s="48" t="s">
        <v>84</v>
      </c>
      <c r="B126" s="32">
        <v>101</v>
      </c>
      <c r="C126" s="33" t="s">
        <v>66</v>
      </c>
      <c r="D126" s="33" t="s">
        <v>156</v>
      </c>
      <c r="E126" s="33" t="s">
        <v>589</v>
      </c>
      <c r="F126" s="32" t="s">
        <v>571</v>
      </c>
      <c r="G126" s="34">
        <v>1</v>
      </c>
      <c r="H126" s="34">
        <v>1</v>
      </c>
      <c r="I126" s="34">
        <v>1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10">
        <f t="shared" si="3"/>
        <v>3</v>
      </c>
      <c r="AL126" s="11">
        <v>32000</v>
      </c>
      <c r="AM126" s="12">
        <f t="shared" si="4"/>
        <v>96000</v>
      </c>
    </row>
    <row r="127" spans="1:39" ht="13.5" customHeight="1">
      <c r="A127" s="48" t="s">
        <v>84</v>
      </c>
      <c r="B127" s="32">
        <v>102</v>
      </c>
      <c r="C127" s="33" t="s">
        <v>241</v>
      </c>
      <c r="D127" s="33" t="s">
        <v>12</v>
      </c>
      <c r="E127" s="33" t="s">
        <v>349</v>
      </c>
      <c r="F127" s="32" t="s">
        <v>350</v>
      </c>
      <c r="G127" s="34">
        <v>1</v>
      </c>
      <c r="H127" s="34">
        <v>1</v>
      </c>
      <c r="I127" s="34">
        <v>1</v>
      </c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10">
        <f t="shared" si="3"/>
        <v>3</v>
      </c>
      <c r="AL127" s="11">
        <v>32000</v>
      </c>
      <c r="AM127" s="12">
        <f t="shared" si="4"/>
        <v>96000</v>
      </c>
    </row>
    <row r="128" spans="1:39" ht="13.5" customHeight="1">
      <c r="A128" s="48" t="s">
        <v>84</v>
      </c>
      <c r="B128" s="32">
        <v>102</v>
      </c>
      <c r="C128" s="33" t="s">
        <v>118</v>
      </c>
      <c r="D128" s="33" t="s">
        <v>18</v>
      </c>
      <c r="E128" s="33" t="s">
        <v>351</v>
      </c>
      <c r="F128" s="32" t="s">
        <v>352</v>
      </c>
      <c r="G128" s="34">
        <v>1</v>
      </c>
      <c r="H128" s="34">
        <v>1</v>
      </c>
      <c r="I128" s="34">
        <v>1</v>
      </c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10">
        <f t="shared" si="3"/>
        <v>3</v>
      </c>
      <c r="AL128" s="11">
        <v>32000</v>
      </c>
      <c r="AM128" s="12">
        <f t="shared" si="4"/>
        <v>96000</v>
      </c>
    </row>
    <row r="129" spans="1:39" ht="13.5" customHeight="1">
      <c r="A129" s="48" t="s">
        <v>84</v>
      </c>
      <c r="B129" s="32">
        <v>103</v>
      </c>
      <c r="C129" s="33" t="s">
        <v>693</v>
      </c>
      <c r="D129" s="33" t="s">
        <v>695</v>
      </c>
      <c r="E129" s="33" t="s">
        <v>317</v>
      </c>
      <c r="F129" s="32" t="s">
        <v>703</v>
      </c>
      <c r="G129" s="34">
        <v>1</v>
      </c>
      <c r="H129" s="34">
        <v>1</v>
      </c>
      <c r="I129" s="34">
        <v>1</v>
      </c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10">
        <f t="shared" si="3"/>
        <v>3</v>
      </c>
      <c r="AL129" s="11">
        <v>32000</v>
      </c>
      <c r="AM129" s="12">
        <f t="shared" si="4"/>
        <v>96000</v>
      </c>
    </row>
    <row r="130" spans="1:39" ht="13.5" customHeight="1">
      <c r="A130" s="48" t="s">
        <v>84</v>
      </c>
      <c r="B130" s="32">
        <v>103</v>
      </c>
      <c r="C130" s="33" t="s">
        <v>302</v>
      </c>
      <c r="D130" s="33" t="s">
        <v>10</v>
      </c>
      <c r="E130" s="33" t="s">
        <v>761</v>
      </c>
      <c r="F130" s="32" t="s">
        <v>702</v>
      </c>
      <c r="G130" s="34">
        <v>1</v>
      </c>
      <c r="H130" s="34">
        <v>1</v>
      </c>
      <c r="I130" s="34">
        <v>1</v>
      </c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10">
        <f t="shared" si="3"/>
        <v>3</v>
      </c>
      <c r="AL130" s="11">
        <v>32000</v>
      </c>
      <c r="AM130" s="12">
        <f t="shared" si="4"/>
        <v>96000</v>
      </c>
    </row>
    <row r="131" spans="1:39" ht="13.5" customHeight="1">
      <c r="A131" s="48" t="s">
        <v>84</v>
      </c>
      <c r="B131" s="32">
        <v>104</v>
      </c>
      <c r="C131" s="33" t="s">
        <v>587</v>
      </c>
      <c r="D131" s="33" t="s">
        <v>696</v>
      </c>
      <c r="E131" s="33" t="s">
        <v>697</v>
      </c>
      <c r="F131" s="32" t="s">
        <v>701</v>
      </c>
      <c r="G131" s="34">
        <v>1</v>
      </c>
      <c r="H131" s="34">
        <v>1</v>
      </c>
      <c r="I131" s="34">
        <v>1</v>
      </c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10">
        <f t="shared" si="3"/>
        <v>3</v>
      </c>
      <c r="AL131" s="11">
        <v>32000</v>
      </c>
      <c r="AM131" s="12">
        <f t="shared" si="4"/>
        <v>96000</v>
      </c>
    </row>
    <row r="132" spans="1:39" ht="13.5" customHeight="1">
      <c r="A132" s="48" t="s">
        <v>84</v>
      </c>
      <c r="B132" s="32">
        <v>104</v>
      </c>
      <c r="C132" s="33" t="s">
        <v>63</v>
      </c>
      <c r="D132" s="33" t="s">
        <v>629</v>
      </c>
      <c r="E132" s="33" t="s">
        <v>29</v>
      </c>
      <c r="F132" s="32" t="s">
        <v>700</v>
      </c>
      <c r="G132" s="34">
        <v>1</v>
      </c>
      <c r="H132" s="34">
        <v>1</v>
      </c>
      <c r="I132" s="34">
        <v>1</v>
      </c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10">
        <f t="shared" si="3"/>
        <v>3</v>
      </c>
      <c r="AL132" s="11">
        <v>32000</v>
      </c>
      <c r="AM132" s="12">
        <f t="shared" si="4"/>
        <v>96000</v>
      </c>
    </row>
    <row r="133" spans="1:39" ht="13.5" customHeight="1">
      <c r="A133" s="48" t="s">
        <v>84</v>
      </c>
      <c r="B133" s="32">
        <v>105</v>
      </c>
      <c r="C133" s="33" t="s">
        <v>619</v>
      </c>
      <c r="D133" s="33" t="s">
        <v>620</v>
      </c>
      <c r="E133" s="33" t="s">
        <v>61</v>
      </c>
      <c r="F133" s="32" t="s">
        <v>621</v>
      </c>
      <c r="G133" s="34">
        <v>1</v>
      </c>
      <c r="H133" s="34">
        <v>1</v>
      </c>
      <c r="I133" s="34">
        <v>1</v>
      </c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10">
        <f t="shared" si="3"/>
        <v>3</v>
      </c>
      <c r="AL133" s="11">
        <v>32000</v>
      </c>
      <c r="AM133" s="12">
        <f t="shared" si="4"/>
        <v>96000</v>
      </c>
    </row>
    <row r="134" spans="1:39" ht="13.5" customHeight="1">
      <c r="A134" s="48" t="s">
        <v>84</v>
      </c>
      <c r="B134" s="32">
        <v>105</v>
      </c>
      <c r="C134" s="33" t="s">
        <v>274</v>
      </c>
      <c r="D134" s="33" t="s">
        <v>678</v>
      </c>
      <c r="E134" s="33" t="s">
        <v>679</v>
      </c>
      <c r="F134" s="32" t="s">
        <v>686</v>
      </c>
      <c r="G134" s="34">
        <v>1</v>
      </c>
      <c r="H134" s="34">
        <v>1</v>
      </c>
      <c r="I134" s="34">
        <v>1</v>
      </c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10">
        <f t="shared" si="3"/>
        <v>3</v>
      </c>
      <c r="AL134" s="11">
        <v>32000</v>
      </c>
      <c r="AM134" s="12">
        <f t="shared" si="4"/>
        <v>96000</v>
      </c>
    </row>
    <row r="135" spans="1:39" ht="13.5" customHeight="1">
      <c r="A135" s="48" t="s">
        <v>84</v>
      </c>
      <c r="B135" s="32">
        <v>107</v>
      </c>
      <c r="C135" s="33" t="s">
        <v>691</v>
      </c>
      <c r="D135" s="33" t="s">
        <v>227</v>
      </c>
      <c r="E135" s="33" t="s">
        <v>192</v>
      </c>
      <c r="F135" s="32" t="s">
        <v>706</v>
      </c>
      <c r="G135" s="34">
        <v>1</v>
      </c>
      <c r="H135" s="34">
        <v>1</v>
      </c>
      <c r="I135" s="34">
        <v>1</v>
      </c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10">
        <f t="shared" si="3"/>
        <v>3</v>
      </c>
      <c r="AL135" s="11">
        <v>32000</v>
      </c>
      <c r="AM135" s="12">
        <f t="shared" si="4"/>
        <v>96000</v>
      </c>
    </row>
    <row r="136" spans="1:39" ht="13.5" customHeight="1">
      <c r="A136" s="48" t="s">
        <v>84</v>
      </c>
      <c r="B136" s="32">
        <v>107</v>
      </c>
      <c r="C136" s="33" t="s">
        <v>315</v>
      </c>
      <c r="D136" s="33" t="s">
        <v>89</v>
      </c>
      <c r="E136" s="33" t="s">
        <v>708</v>
      </c>
      <c r="F136" s="32" t="s">
        <v>715</v>
      </c>
      <c r="G136" s="34">
        <v>1</v>
      </c>
      <c r="H136" s="34">
        <v>1</v>
      </c>
      <c r="I136" s="34">
        <v>1</v>
      </c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10">
        <f t="shared" si="3"/>
        <v>3</v>
      </c>
      <c r="AL136" s="11">
        <v>32000</v>
      </c>
      <c r="AM136" s="12">
        <f t="shared" si="4"/>
        <v>96000</v>
      </c>
    </row>
    <row r="137" spans="1:39" ht="13.5" customHeight="1">
      <c r="A137" s="48" t="s">
        <v>84</v>
      </c>
      <c r="B137" s="32">
        <v>108</v>
      </c>
      <c r="C137" s="33" t="s">
        <v>545</v>
      </c>
      <c r="D137" s="33" t="s">
        <v>545</v>
      </c>
      <c r="E137" s="33" t="s">
        <v>312</v>
      </c>
      <c r="F137" s="32" t="s">
        <v>546</v>
      </c>
      <c r="G137" s="34">
        <v>1</v>
      </c>
      <c r="H137" s="34">
        <v>1</v>
      </c>
      <c r="I137" s="34">
        <v>1</v>
      </c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10">
        <f t="shared" si="3"/>
        <v>3</v>
      </c>
      <c r="AL137" s="11">
        <v>32000</v>
      </c>
      <c r="AM137" s="12">
        <f t="shared" si="4"/>
        <v>96000</v>
      </c>
    </row>
    <row r="138" spans="1:39" ht="13.5" customHeight="1">
      <c r="A138" s="48" t="s">
        <v>84</v>
      </c>
      <c r="B138" s="32">
        <v>108</v>
      </c>
      <c r="C138" s="33" t="s">
        <v>547</v>
      </c>
      <c r="D138" s="33" t="s">
        <v>548</v>
      </c>
      <c r="E138" s="33" t="s">
        <v>549</v>
      </c>
      <c r="F138" s="32" t="s">
        <v>550</v>
      </c>
      <c r="G138" s="34">
        <v>1</v>
      </c>
      <c r="H138" s="34">
        <v>1</v>
      </c>
      <c r="I138" s="34">
        <v>1</v>
      </c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10">
        <f t="shared" ref="AK138:AK243" si="5">SUM(G138:AJ138)</f>
        <v>3</v>
      </c>
      <c r="AL138" s="11">
        <v>32000</v>
      </c>
      <c r="AM138" s="12">
        <f t="shared" si="4"/>
        <v>96000</v>
      </c>
    </row>
    <row r="139" spans="1:39" ht="13.5" customHeight="1">
      <c r="A139" s="48" t="s">
        <v>84</v>
      </c>
      <c r="B139" s="32">
        <v>109</v>
      </c>
      <c r="C139" s="33" t="s">
        <v>555</v>
      </c>
      <c r="D139" s="33" t="s">
        <v>762</v>
      </c>
      <c r="E139" s="33" t="s">
        <v>301</v>
      </c>
      <c r="F139" s="32" t="s">
        <v>578</v>
      </c>
      <c r="G139" s="34">
        <v>1</v>
      </c>
      <c r="H139" s="34">
        <v>1</v>
      </c>
      <c r="I139" s="34">
        <v>1</v>
      </c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10">
        <f t="shared" si="5"/>
        <v>3</v>
      </c>
      <c r="AL139" s="11">
        <v>32000</v>
      </c>
      <c r="AM139" s="12">
        <f t="shared" ref="AM139:AM154" si="6">AL139*AK139</f>
        <v>96000</v>
      </c>
    </row>
    <row r="140" spans="1:39" ht="13.5" customHeight="1">
      <c r="A140" s="48" t="s">
        <v>84</v>
      </c>
      <c r="B140" s="32">
        <v>109</v>
      </c>
      <c r="C140" s="33" t="s">
        <v>596</v>
      </c>
      <c r="D140" s="33" t="s">
        <v>298</v>
      </c>
      <c r="E140" s="33" t="s">
        <v>612</v>
      </c>
      <c r="F140" s="32" t="s">
        <v>763</v>
      </c>
      <c r="G140" s="34">
        <v>1</v>
      </c>
      <c r="H140" s="34">
        <v>1</v>
      </c>
      <c r="I140" s="34">
        <v>1</v>
      </c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10">
        <f t="shared" si="5"/>
        <v>3</v>
      </c>
      <c r="AL140" s="11">
        <v>32000</v>
      </c>
      <c r="AM140" s="12">
        <f t="shared" si="6"/>
        <v>96000</v>
      </c>
    </row>
    <row r="141" spans="1:39" ht="13.5" customHeight="1">
      <c r="A141" s="48" t="s">
        <v>84</v>
      </c>
      <c r="B141" s="32">
        <v>110</v>
      </c>
      <c r="C141" s="33" t="s">
        <v>606</v>
      </c>
      <c r="D141" s="33"/>
      <c r="E141" s="33" t="s">
        <v>764</v>
      </c>
      <c r="F141" s="32" t="s">
        <v>765</v>
      </c>
      <c r="G141" s="34">
        <v>1</v>
      </c>
      <c r="H141" s="34">
        <v>1</v>
      </c>
      <c r="I141" s="34">
        <v>1</v>
      </c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10">
        <f t="shared" si="5"/>
        <v>3</v>
      </c>
      <c r="AL141" s="11">
        <v>32000</v>
      </c>
      <c r="AM141" s="12">
        <f t="shared" si="6"/>
        <v>96000</v>
      </c>
    </row>
    <row r="142" spans="1:39" ht="13.5" customHeight="1">
      <c r="A142" s="48" t="s">
        <v>84</v>
      </c>
      <c r="B142" s="32">
        <v>110</v>
      </c>
      <c r="C142" s="33" t="s">
        <v>254</v>
      </c>
      <c r="D142" s="33" t="s">
        <v>153</v>
      </c>
      <c r="E142" s="33" t="s">
        <v>766</v>
      </c>
      <c r="F142" s="32" t="s">
        <v>615</v>
      </c>
      <c r="G142" s="34">
        <v>1</v>
      </c>
      <c r="H142" s="34">
        <v>1</v>
      </c>
      <c r="I142" s="34">
        <v>1</v>
      </c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10">
        <f t="shared" si="5"/>
        <v>3</v>
      </c>
      <c r="AL142" s="11">
        <v>32000</v>
      </c>
      <c r="AM142" s="12">
        <f t="shared" si="6"/>
        <v>96000</v>
      </c>
    </row>
    <row r="143" spans="1:39" ht="13.5" customHeight="1">
      <c r="A143" s="48" t="s">
        <v>84</v>
      </c>
      <c r="B143" s="32">
        <v>111</v>
      </c>
      <c r="C143" s="33" t="s">
        <v>605</v>
      </c>
      <c r="D143" s="33" t="s">
        <v>767</v>
      </c>
      <c r="E143" s="33" t="s">
        <v>768</v>
      </c>
      <c r="F143" s="32" t="s">
        <v>608</v>
      </c>
      <c r="G143" s="34">
        <v>1</v>
      </c>
      <c r="H143" s="34">
        <v>1</v>
      </c>
      <c r="I143" s="34">
        <v>1</v>
      </c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10">
        <f t="shared" si="5"/>
        <v>3</v>
      </c>
      <c r="AL143" s="11">
        <v>32000</v>
      </c>
      <c r="AM143" s="12">
        <f t="shared" si="6"/>
        <v>96000</v>
      </c>
    </row>
    <row r="144" spans="1:39" ht="13.5" customHeight="1">
      <c r="A144" s="48" t="s">
        <v>84</v>
      </c>
      <c r="B144" s="32">
        <v>111</v>
      </c>
      <c r="C144" s="33" t="s">
        <v>298</v>
      </c>
      <c r="D144" s="33" t="s">
        <v>201</v>
      </c>
      <c r="E144" s="33" t="s">
        <v>725</v>
      </c>
      <c r="F144" s="32" t="s">
        <v>607</v>
      </c>
      <c r="G144" s="34">
        <v>1</v>
      </c>
      <c r="H144" s="34">
        <v>1</v>
      </c>
      <c r="I144" s="34">
        <v>1</v>
      </c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10">
        <f t="shared" si="5"/>
        <v>3</v>
      </c>
      <c r="AL144" s="11">
        <v>32000</v>
      </c>
      <c r="AM144" s="12">
        <f t="shared" si="6"/>
        <v>96000</v>
      </c>
    </row>
    <row r="145" spans="1:39" ht="13.5" customHeight="1">
      <c r="A145" s="48" t="s">
        <v>84</v>
      </c>
      <c r="B145" s="32">
        <v>112</v>
      </c>
      <c r="C145" s="33" t="s">
        <v>20</v>
      </c>
      <c r="D145" s="33" t="s">
        <v>709</v>
      </c>
      <c r="E145" s="33" t="s">
        <v>86</v>
      </c>
      <c r="F145" s="32" t="s">
        <v>714</v>
      </c>
      <c r="G145" s="34">
        <v>1</v>
      </c>
      <c r="H145" s="34">
        <v>1</v>
      </c>
      <c r="I145" s="34">
        <v>1</v>
      </c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10">
        <f t="shared" si="5"/>
        <v>3</v>
      </c>
      <c r="AL145" s="11">
        <v>32000</v>
      </c>
      <c r="AM145" s="12">
        <f t="shared" si="6"/>
        <v>96000</v>
      </c>
    </row>
    <row r="146" spans="1:39" ht="13.5" customHeight="1">
      <c r="A146" s="48" t="s">
        <v>84</v>
      </c>
      <c r="B146" s="32">
        <v>112</v>
      </c>
      <c r="C146" s="33" t="s">
        <v>286</v>
      </c>
      <c r="D146" s="33" t="s">
        <v>364</v>
      </c>
      <c r="E146" s="33" t="s">
        <v>23</v>
      </c>
      <c r="F146" s="32" t="s">
        <v>713</v>
      </c>
      <c r="G146" s="34">
        <v>1</v>
      </c>
      <c r="H146" s="34">
        <v>1</v>
      </c>
      <c r="I146" s="34">
        <v>1</v>
      </c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10">
        <f t="shared" si="5"/>
        <v>3</v>
      </c>
      <c r="AL146" s="11">
        <v>32000</v>
      </c>
      <c r="AM146" s="12">
        <f t="shared" si="6"/>
        <v>96000</v>
      </c>
    </row>
    <row r="147" spans="1:39" ht="13.5" customHeight="1">
      <c r="A147" s="48" t="s">
        <v>84</v>
      </c>
      <c r="B147" s="32">
        <v>113</v>
      </c>
      <c r="C147" s="33" t="s">
        <v>698</v>
      </c>
      <c r="D147" s="33" t="s">
        <v>227</v>
      </c>
      <c r="E147" s="33" t="s">
        <v>261</v>
      </c>
      <c r="F147" s="32" t="s">
        <v>699</v>
      </c>
      <c r="G147" s="34">
        <v>1</v>
      </c>
      <c r="H147" s="34">
        <v>1</v>
      </c>
      <c r="I147" s="34">
        <v>1</v>
      </c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10">
        <f t="shared" si="5"/>
        <v>3</v>
      </c>
      <c r="AL147" s="11">
        <v>32000</v>
      </c>
      <c r="AM147" s="12">
        <f t="shared" si="6"/>
        <v>96000</v>
      </c>
    </row>
    <row r="148" spans="1:39" ht="13.5" customHeight="1">
      <c r="A148" s="48" t="s">
        <v>84</v>
      </c>
      <c r="B148" s="32">
        <v>113</v>
      </c>
      <c r="C148" s="33" t="s">
        <v>167</v>
      </c>
      <c r="D148" s="33" t="s">
        <v>601</v>
      </c>
      <c r="E148" s="33" t="s">
        <v>707</v>
      </c>
      <c r="F148" s="32" t="s">
        <v>716</v>
      </c>
      <c r="G148" s="34">
        <v>1</v>
      </c>
      <c r="H148" s="34">
        <v>1</v>
      </c>
      <c r="I148" s="34">
        <v>1</v>
      </c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10">
        <f t="shared" si="5"/>
        <v>3</v>
      </c>
      <c r="AL148" s="11">
        <v>32000</v>
      </c>
      <c r="AM148" s="12">
        <f t="shared" si="6"/>
        <v>96000</v>
      </c>
    </row>
    <row r="149" spans="1:39" ht="13.5" customHeight="1">
      <c r="A149" s="48" t="s">
        <v>84</v>
      </c>
      <c r="B149" s="32">
        <v>114</v>
      </c>
      <c r="C149" s="33" t="s">
        <v>538</v>
      </c>
      <c r="D149" s="33" t="s">
        <v>538</v>
      </c>
      <c r="E149" s="33" t="s">
        <v>239</v>
      </c>
      <c r="F149" s="32" t="s">
        <v>712</v>
      </c>
      <c r="G149" s="34">
        <v>1</v>
      </c>
      <c r="H149" s="34">
        <v>1</v>
      </c>
      <c r="I149" s="34">
        <v>1</v>
      </c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10">
        <f t="shared" si="5"/>
        <v>3</v>
      </c>
      <c r="AL149" s="11">
        <v>32000</v>
      </c>
      <c r="AM149" s="12">
        <f t="shared" si="6"/>
        <v>96000</v>
      </c>
    </row>
    <row r="150" spans="1:39" ht="13.5" customHeight="1">
      <c r="A150" s="48" t="s">
        <v>84</v>
      </c>
      <c r="B150" s="32">
        <v>114</v>
      </c>
      <c r="C150" s="33" t="s">
        <v>710</v>
      </c>
      <c r="D150" s="33" t="s">
        <v>343</v>
      </c>
      <c r="E150" s="33" t="s">
        <v>419</v>
      </c>
      <c r="F150" s="32" t="s">
        <v>711</v>
      </c>
      <c r="G150" s="34">
        <v>1</v>
      </c>
      <c r="H150" s="34">
        <v>1</v>
      </c>
      <c r="I150" s="34">
        <v>1</v>
      </c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10">
        <f t="shared" si="5"/>
        <v>3</v>
      </c>
      <c r="AL150" s="11">
        <v>32000</v>
      </c>
      <c r="AM150" s="12">
        <f t="shared" si="6"/>
        <v>96000</v>
      </c>
    </row>
    <row r="151" spans="1:39" ht="13.5" customHeight="1">
      <c r="A151" s="48" t="s">
        <v>84</v>
      </c>
      <c r="B151" s="32">
        <v>117</v>
      </c>
      <c r="C151" s="33" t="s">
        <v>114</v>
      </c>
      <c r="D151" s="33" t="s">
        <v>115</v>
      </c>
      <c r="E151" s="33" t="s">
        <v>116</v>
      </c>
      <c r="F151" s="32" t="s">
        <v>117</v>
      </c>
      <c r="G151" s="34">
        <v>1</v>
      </c>
      <c r="H151" s="34">
        <v>1</v>
      </c>
      <c r="I151" s="34">
        <v>1</v>
      </c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10">
        <f t="shared" si="5"/>
        <v>3</v>
      </c>
      <c r="AL151" s="11">
        <v>32000</v>
      </c>
      <c r="AM151" s="12">
        <f t="shared" si="6"/>
        <v>96000</v>
      </c>
    </row>
    <row r="152" spans="1:39" ht="13.5" customHeight="1">
      <c r="A152" s="48" t="s">
        <v>84</v>
      </c>
      <c r="B152" s="32">
        <v>117</v>
      </c>
      <c r="C152" s="33" t="s">
        <v>343</v>
      </c>
      <c r="D152" s="33" t="s">
        <v>118</v>
      </c>
      <c r="E152" s="33" t="s">
        <v>26</v>
      </c>
      <c r="F152" s="32" t="s">
        <v>119</v>
      </c>
      <c r="G152" s="34">
        <v>1</v>
      </c>
      <c r="H152" s="34">
        <v>1</v>
      </c>
      <c r="I152" s="34">
        <v>1</v>
      </c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10">
        <f t="shared" si="5"/>
        <v>3</v>
      </c>
      <c r="AL152" s="11">
        <v>32000</v>
      </c>
      <c r="AM152" s="12">
        <f t="shared" si="6"/>
        <v>96000</v>
      </c>
    </row>
    <row r="153" spans="1:39" ht="13.5" customHeight="1">
      <c r="A153" s="48" t="s">
        <v>84</v>
      </c>
      <c r="B153" s="32">
        <v>120</v>
      </c>
      <c r="C153" s="33" t="s">
        <v>262</v>
      </c>
      <c r="D153" s="33" t="s">
        <v>12</v>
      </c>
      <c r="E153" s="33" t="s">
        <v>15</v>
      </c>
      <c r="F153" s="32" t="s">
        <v>353</v>
      </c>
      <c r="G153" s="34">
        <v>1</v>
      </c>
      <c r="H153" s="34">
        <v>1</v>
      </c>
      <c r="I153" s="34">
        <v>1</v>
      </c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10">
        <f t="shared" si="5"/>
        <v>3</v>
      </c>
      <c r="AL153" s="11">
        <v>32000</v>
      </c>
      <c r="AM153" s="12">
        <f t="shared" si="6"/>
        <v>96000</v>
      </c>
    </row>
    <row r="154" spans="1:39" ht="13.5" customHeight="1" thickBot="1">
      <c r="A154" s="48" t="s">
        <v>84</v>
      </c>
      <c r="B154" s="66">
        <v>120</v>
      </c>
      <c r="C154" s="38" t="s">
        <v>346</v>
      </c>
      <c r="D154" s="38" t="s">
        <v>346</v>
      </c>
      <c r="E154" s="38" t="s">
        <v>347</v>
      </c>
      <c r="F154" s="66" t="s">
        <v>348</v>
      </c>
      <c r="G154" s="37">
        <v>1</v>
      </c>
      <c r="H154" s="37">
        <v>1</v>
      </c>
      <c r="I154" s="37">
        <v>1</v>
      </c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10">
        <f t="shared" si="5"/>
        <v>3</v>
      </c>
      <c r="AL154" s="12">
        <v>32000</v>
      </c>
      <c r="AM154" s="12">
        <f t="shared" si="6"/>
        <v>96000</v>
      </c>
    </row>
    <row r="155" spans="1:39" ht="13.5" customHeight="1">
      <c r="A155" s="48" t="s">
        <v>84</v>
      </c>
      <c r="B155" s="32">
        <v>2</v>
      </c>
      <c r="C155" s="33" t="s">
        <v>629</v>
      </c>
      <c r="D155" s="33" t="s">
        <v>630</v>
      </c>
      <c r="E155" s="33" t="s">
        <v>11</v>
      </c>
      <c r="F155" s="32" t="s">
        <v>635</v>
      </c>
      <c r="G155" s="37">
        <v>1</v>
      </c>
      <c r="H155" s="37">
        <v>1</v>
      </c>
      <c r="I155" s="37">
        <v>1</v>
      </c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10">
        <f t="shared" ref="AK155:AK218" si="7">SUM(G155:AJ155)</f>
        <v>3</v>
      </c>
      <c r="AL155" s="11">
        <v>32000</v>
      </c>
      <c r="AM155" s="12">
        <f t="shared" ref="AM155:AM218" si="8">AL155*AK155</f>
        <v>96000</v>
      </c>
    </row>
    <row r="156" spans="1:39" ht="13.5" customHeight="1">
      <c r="A156" s="48" t="s">
        <v>84</v>
      </c>
      <c r="B156" s="32">
        <v>29</v>
      </c>
      <c r="C156" s="33" t="s">
        <v>346</v>
      </c>
      <c r="D156" s="33" t="s">
        <v>553</v>
      </c>
      <c r="E156" s="33" t="s">
        <v>631</v>
      </c>
      <c r="F156" s="32" t="s">
        <v>634</v>
      </c>
      <c r="G156" s="37">
        <v>1</v>
      </c>
      <c r="H156" s="37">
        <v>1</v>
      </c>
      <c r="I156" s="37">
        <v>1</v>
      </c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10">
        <f t="shared" si="7"/>
        <v>3</v>
      </c>
      <c r="AL156" s="11">
        <v>32000</v>
      </c>
      <c r="AM156" s="12">
        <f t="shared" si="8"/>
        <v>96000</v>
      </c>
    </row>
    <row r="157" spans="1:39" ht="13.5" customHeight="1">
      <c r="A157" s="48" t="s">
        <v>84</v>
      </c>
      <c r="B157" s="32">
        <v>29</v>
      </c>
      <c r="C157" s="33" t="s">
        <v>632</v>
      </c>
      <c r="D157" s="33" t="s">
        <v>632</v>
      </c>
      <c r="E157" s="33" t="s">
        <v>9</v>
      </c>
      <c r="F157" s="32" t="s">
        <v>633</v>
      </c>
      <c r="G157" s="37">
        <v>1</v>
      </c>
      <c r="H157" s="37">
        <v>1</v>
      </c>
      <c r="I157" s="37">
        <v>1</v>
      </c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10">
        <f t="shared" si="7"/>
        <v>3</v>
      </c>
      <c r="AL157" s="12">
        <v>32000</v>
      </c>
      <c r="AM157" s="12">
        <f t="shared" si="8"/>
        <v>96000</v>
      </c>
    </row>
    <row r="158" spans="1:39" ht="13.5" customHeight="1">
      <c r="A158" s="48" t="s">
        <v>84</v>
      </c>
      <c r="B158" s="32">
        <v>46</v>
      </c>
      <c r="C158" s="33" t="s">
        <v>342</v>
      </c>
      <c r="D158" s="33" t="s">
        <v>20</v>
      </c>
      <c r="E158" s="33" t="s">
        <v>625</v>
      </c>
      <c r="F158" s="32" t="s">
        <v>642</v>
      </c>
      <c r="G158" s="37">
        <v>1</v>
      </c>
      <c r="H158" s="37">
        <v>1</v>
      </c>
      <c r="I158" s="37">
        <v>1</v>
      </c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10">
        <f t="shared" si="7"/>
        <v>3</v>
      </c>
      <c r="AL158" s="11">
        <v>32000</v>
      </c>
      <c r="AM158" s="12">
        <f t="shared" si="8"/>
        <v>96000</v>
      </c>
    </row>
    <row r="159" spans="1:39" ht="13.5" customHeight="1">
      <c r="A159" s="48" t="s">
        <v>84</v>
      </c>
      <c r="B159" s="32">
        <v>46</v>
      </c>
      <c r="C159" s="33" t="s">
        <v>210</v>
      </c>
      <c r="D159" s="33" t="s">
        <v>210</v>
      </c>
      <c r="E159" s="33" t="s">
        <v>626</v>
      </c>
      <c r="F159" s="32" t="s">
        <v>641</v>
      </c>
      <c r="G159" s="37">
        <v>1</v>
      </c>
      <c r="H159" s="37">
        <v>1</v>
      </c>
      <c r="I159" s="37">
        <v>1</v>
      </c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10">
        <f t="shared" si="7"/>
        <v>3</v>
      </c>
      <c r="AL159" s="11">
        <v>32000</v>
      </c>
      <c r="AM159" s="12">
        <f t="shared" si="8"/>
        <v>96000</v>
      </c>
    </row>
    <row r="160" spans="1:39" ht="13.5" customHeight="1">
      <c r="A160" s="48" t="s">
        <v>84</v>
      </c>
      <c r="B160" s="32">
        <v>48</v>
      </c>
      <c r="C160" s="33" t="s">
        <v>414</v>
      </c>
      <c r="D160" s="33" t="s">
        <v>118</v>
      </c>
      <c r="E160" s="33" t="s">
        <v>25</v>
      </c>
      <c r="F160" s="32" t="s">
        <v>640</v>
      </c>
      <c r="G160" s="37">
        <v>1</v>
      </c>
      <c r="H160" s="37">
        <v>1</v>
      </c>
      <c r="I160" s="37">
        <v>1</v>
      </c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10">
        <f t="shared" si="7"/>
        <v>3</v>
      </c>
      <c r="AL160" s="12">
        <v>32000</v>
      </c>
      <c r="AM160" s="12">
        <f t="shared" si="8"/>
        <v>96000</v>
      </c>
    </row>
    <row r="161" spans="1:39" ht="13.5" customHeight="1">
      <c r="A161" s="48" t="s">
        <v>84</v>
      </c>
      <c r="B161" s="32">
        <v>48</v>
      </c>
      <c r="C161" s="33" t="s">
        <v>627</v>
      </c>
      <c r="D161" s="33" t="s">
        <v>628</v>
      </c>
      <c r="E161" s="33" t="s">
        <v>86</v>
      </c>
      <c r="F161" s="32" t="s">
        <v>639</v>
      </c>
      <c r="G161" s="37">
        <v>1</v>
      </c>
      <c r="H161" s="37">
        <v>1</v>
      </c>
      <c r="I161" s="37">
        <v>1</v>
      </c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10">
        <f t="shared" si="7"/>
        <v>3</v>
      </c>
      <c r="AL161" s="11">
        <v>32000</v>
      </c>
      <c r="AM161" s="12">
        <f t="shared" si="8"/>
        <v>96000</v>
      </c>
    </row>
    <row r="162" spans="1:39" ht="13.5" customHeight="1">
      <c r="A162" s="48" t="s">
        <v>84</v>
      </c>
      <c r="B162" s="32">
        <v>49</v>
      </c>
      <c r="C162" s="33" t="s">
        <v>394</v>
      </c>
      <c r="D162" s="33" t="s">
        <v>429</v>
      </c>
      <c r="E162" s="33" t="s">
        <v>41</v>
      </c>
      <c r="F162" s="32" t="s">
        <v>434</v>
      </c>
      <c r="G162" s="37">
        <v>1</v>
      </c>
      <c r="H162" s="37">
        <v>1</v>
      </c>
      <c r="I162" s="37">
        <v>1</v>
      </c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10">
        <f t="shared" si="7"/>
        <v>3</v>
      </c>
      <c r="AL162" s="11">
        <v>32000</v>
      </c>
      <c r="AM162" s="12">
        <f t="shared" si="8"/>
        <v>96000</v>
      </c>
    </row>
    <row r="163" spans="1:39" ht="13.5" customHeight="1">
      <c r="A163" s="48" t="s">
        <v>84</v>
      </c>
      <c r="B163" s="32">
        <v>51</v>
      </c>
      <c r="C163" s="33" t="s">
        <v>628</v>
      </c>
      <c r="D163" s="33" t="s">
        <v>606</v>
      </c>
      <c r="E163" s="33" t="s">
        <v>57</v>
      </c>
      <c r="F163" s="32" t="s">
        <v>638</v>
      </c>
      <c r="G163" s="37">
        <v>1</v>
      </c>
      <c r="H163" s="37">
        <v>1</v>
      </c>
      <c r="I163" s="37">
        <v>1</v>
      </c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10">
        <f t="shared" si="7"/>
        <v>3</v>
      </c>
      <c r="AL163" s="12">
        <v>32000</v>
      </c>
      <c r="AM163" s="12">
        <f t="shared" si="8"/>
        <v>96000</v>
      </c>
    </row>
    <row r="164" spans="1:39" ht="13.5" customHeight="1">
      <c r="A164" s="48" t="s">
        <v>84</v>
      </c>
      <c r="B164" s="32">
        <v>51</v>
      </c>
      <c r="C164" s="33" t="s">
        <v>514</v>
      </c>
      <c r="D164" s="33" t="s">
        <v>260</v>
      </c>
      <c r="E164" s="33" t="s">
        <v>347</v>
      </c>
      <c r="F164" s="32" t="s">
        <v>637</v>
      </c>
      <c r="G164" s="37">
        <v>1</v>
      </c>
      <c r="H164" s="37">
        <v>1</v>
      </c>
      <c r="I164" s="37">
        <v>1</v>
      </c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10">
        <f t="shared" si="7"/>
        <v>3</v>
      </c>
      <c r="AL164" s="11">
        <v>32000</v>
      </c>
      <c r="AM164" s="12">
        <f t="shared" si="8"/>
        <v>96000</v>
      </c>
    </row>
    <row r="165" spans="1:39" ht="13.5" customHeight="1">
      <c r="A165" s="48" t="s">
        <v>84</v>
      </c>
      <c r="B165" s="32">
        <v>53</v>
      </c>
      <c r="C165" s="33" t="s">
        <v>85</v>
      </c>
      <c r="D165" s="33" t="s">
        <v>430</v>
      </c>
      <c r="E165" s="33" t="s">
        <v>263</v>
      </c>
      <c r="F165" s="32" t="s">
        <v>433</v>
      </c>
      <c r="G165" s="37">
        <v>1</v>
      </c>
      <c r="H165" s="37">
        <v>1</v>
      </c>
      <c r="I165" s="37">
        <v>1</v>
      </c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10">
        <f t="shared" si="7"/>
        <v>3</v>
      </c>
      <c r="AL165" s="11">
        <v>32000</v>
      </c>
      <c r="AM165" s="12">
        <f t="shared" si="8"/>
        <v>96000</v>
      </c>
    </row>
    <row r="166" spans="1:39" ht="13.5" customHeight="1">
      <c r="A166" s="48" t="s">
        <v>84</v>
      </c>
      <c r="B166" s="35">
        <v>53</v>
      </c>
      <c r="C166" s="36" t="s">
        <v>431</v>
      </c>
      <c r="D166" s="36" t="s">
        <v>66</v>
      </c>
      <c r="E166" s="36" t="s">
        <v>211</v>
      </c>
      <c r="F166" s="35" t="s">
        <v>432</v>
      </c>
      <c r="G166" s="37">
        <v>1</v>
      </c>
      <c r="H166" s="37">
        <v>1</v>
      </c>
      <c r="I166" s="37">
        <v>1</v>
      </c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10">
        <f t="shared" si="7"/>
        <v>3</v>
      </c>
      <c r="AL166" s="12">
        <v>32000</v>
      </c>
      <c r="AM166" s="12">
        <f t="shared" si="8"/>
        <v>96000</v>
      </c>
    </row>
    <row r="167" spans="1:39" ht="13.5" customHeight="1" thickBot="1">
      <c r="A167" s="48" t="s">
        <v>84</v>
      </c>
      <c r="B167" s="57">
        <v>61</v>
      </c>
      <c r="C167" s="58" t="s">
        <v>251</v>
      </c>
      <c r="D167" s="58" t="s">
        <v>286</v>
      </c>
      <c r="E167" s="58" t="s">
        <v>368</v>
      </c>
      <c r="F167" s="57" t="s">
        <v>636</v>
      </c>
      <c r="G167" s="37">
        <v>1</v>
      </c>
      <c r="H167" s="37">
        <v>1</v>
      </c>
      <c r="I167" s="37">
        <v>1</v>
      </c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10">
        <f t="shared" si="7"/>
        <v>3</v>
      </c>
      <c r="AL167" s="11">
        <v>32000</v>
      </c>
      <c r="AM167" s="12">
        <f t="shared" si="8"/>
        <v>96000</v>
      </c>
    </row>
    <row r="168" spans="1:39" ht="13.5" customHeight="1">
      <c r="A168" s="48" t="s">
        <v>84</v>
      </c>
      <c r="B168" s="32">
        <v>4</v>
      </c>
      <c r="C168" s="33" t="s">
        <v>142</v>
      </c>
      <c r="D168" s="33" t="s">
        <v>143</v>
      </c>
      <c r="E168" s="33" t="s">
        <v>15</v>
      </c>
      <c r="F168" s="32">
        <v>9739792</v>
      </c>
      <c r="G168" s="37">
        <v>1</v>
      </c>
      <c r="H168" s="37">
        <v>1</v>
      </c>
      <c r="I168" s="37">
        <v>1</v>
      </c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10">
        <f t="shared" si="7"/>
        <v>3</v>
      </c>
      <c r="AL168" s="11">
        <v>32000</v>
      </c>
      <c r="AM168" s="12">
        <f t="shared" si="8"/>
        <v>96000</v>
      </c>
    </row>
    <row r="169" spans="1:39" ht="13.5" customHeight="1">
      <c r="A169" s="48" t="s">
        <v>84</v>
      </c>
      <c r="B169" s="32">
        <v>4</v>
      </c>
      <c r="C169" s="33" t="s">
        <v>161</v>
      </c>
      <c r="D169" s="33" t="s">
        <v>162</v>
      </c>
      <c r="E169" s="33" t="s">
        <v>163</v>
      </c>
      <c r="F169" s="32">
        <v>45359428</v>
      </c>
      <c r="G169" s="37">
        <v>1</v>
      </c>
      <c r="H169" s="37">
        <v>1</v>
      </c>
      <c r="I169" s="37">
        <v>1</v>
      </c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10">
        <f t="shared" si="7"/>
        <v>3</v>
      </c>
      <c r="AL169" s="12">
        <v>32000</v>
      </c>
      <c r="AM169" s="12">
        <f t="shared" si="8"/>
        <v>96000</v>
      </c>
    </row>
    <row r="170" spans="1:39" ht="13.5" customHeight="1">
      <c r="A170" s="48" t="s">
        <v>84</v>
      </c>
      <c r="B170" s="32">
        <v>9</v>
      </c>
      <c r="C170" s="33" t="s">
        <v>258</v>
      </c>
      <c r="D170" s="33" t="s">
        <v>412</v>
      </c>
      <c r="E170" s="33" t="s">
        <v>413</v>
      </c>
      <c r="F170" s="32">
        <v>44246612</v>
      </c>
      <c r="G170" s="37">
        <v>1</v>
      </c>
      <c r="H170" s="37">
        <v>1</v>
      </c>
      <c r="I170" s="37">
        <v>1</v>
      </c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10">
        <f t="shared" si="7"/>
        <v>3</v>
      </c>
      <c r="AL170" s="11">
        <v>32000</v>
      </c>
      <c r="AM170" s="12">
        <f t="shared" si="8"/>
        <v>96000</v>
      </c>
    </row>
    <row r="171" spans="1:39" ht="13.5" customHeight="1">
      <c r="A171" s="48" t="s">
        <v>84</v>
      </c>
      <c r="B171" s="32">
        <v>9</v>
      </c>
      <c r="C171" s="33" t="s">
        <v>66</v>
      </c>
      <c r="D171" s="33" t="s">
        <v>415</v>
      </c>
      <c r="E171" s="33" t="s">
        <v>416</v>
      </c>
      <c r="F171" s="32">
        <v>46185887</v>
      </c>
      <c r="G171" s="37">
        <v>1</v>
      </c>
      <c r="H171" s="37">
        <v>1</v>
      </c>
      <c r="I171" s="37">
        <v>1</v>
      </c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10">
        <f t="shared" si="7"/>
        <v>3</v>
      </c>
      <c r="AL171" s="11">
        <v>32000</v>
      </c>
      <c r="AM171" s="12">
        <f t="shared" si="8"/>
        <v>96000</v>
      </c>
    </row>
    <row r="172" spans="1:39" ht="13.5" customHeight="1">
      <c r="A172" s="48" t="s">
        <v>84</v>
      </c>
      <c r="B172" s="32">
        <v>11</v>
      </c>
      <c r="C172" s="33" t="s">
        <v>872</v>
      </c>
      <c r="D172" s="33" t="s">
        <v>873</v>
      </c>
      <c r="E172" s="33" t="s">
        <v>419</v>
      </c>
      <c r="F172" s="32">
        <v>23269394</v>
      </c>
      <c r="G172" s="37">
        <v>1</v>
      </c>
      <c r="H172" s="37">
        <v>1</v>
      </c>
      <c r="I172" s="37">
        <v>1</v>
      </c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10">
        <f t="shared" si="7"/>
        <v>3</v>
      </c>
      <c r="AL172" s="12">
        <v>32000</v>
      </c>
      <c r="AM172" s="12">
        <f t="shared" si="8"/>
        <v>96000</v>
      </c>
    </row>
    <row r="173" spans="1:39" ht="13.5" customHeight="1">
      <c r="A173" s="48" t="s">
        <v>84</v>
      </c>
      <c r="B173" s="32">
        <v>11</v>
      </c>
      <c r="C173" s="33" t="s">
        <v>203</v>
      </c>
      <c r="D173" s="33" t="s">
        <v>420</v>
      </c>
      <c r="E173" s="33" t="s">
        <v>312</v>
      </c>
      <c r="F173" s="32">
        <v>31934043</v>
      </c>
      <c r="G173" s="37">
        <v>1</v>
      </c>
      <c r="H173" s="37">
        <v>1</v>
      </c>
      <c r="I173" s="37">
        <v>1</v>
      </c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10">
        <f t="shared" si="7"/>
        <v>3</v>
      </c>
      <c r="AL173" s="11">
        <v>32000</v>
      </c>
      <c r="AM173" s="12">
        <f t="shared" si="8"/>
        <v>96000</v>
      </c>
    </row>
    <row r="174" spans="1:39" ht="13.5" customHeight="1">
      <c r="A174" s="48" t="s">
        <v>84</v>
      </c>
      <c r="B174" s="32">
        <v>13</v>
      </c>
      <c r="C174" s="33" t="s">
        <v>133</v>
      </c>
      <c r="D174" s="33" t="s">
        <v>162</v>
      </c>
      <c r="E174" s="33" t="s">
        <v>134</v>
      </c>
      <c r="F174" s="32">
        <v>40707275</v>
      </c>
      <c r="G174" s="37">
        <v>1</v>
      </c>
      <c r="H174" s="37">
        <v>1</v>
      </c>
      <c r="I174" s="37">
        <v>1</v>
      </c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10">
        <f t="shared" si="7"/>
        <v>3</v>
      </c>
      <c r="AL174" s="11">
        <v>32000</v>
      </c>
      <c r="AM174" s="12">
        <f t="shared" si="8"/>
        <v>96000</v>
      </c>
    </row>
    <row r="175" spans="1:39" ht="13.5" customHeight="1">
      <c r="A175" s="48" t="s">
        <v>84</v>
      </c>
      <c r="B175" s="32">
        <v>13</v>
      </c>
      <c r="C175" s="33" t="s">
        <v>130</v>
      </c>
      <c r="D175" s="33" t="s">
        <v>874</v>
      </c>
      <c r="E175" s="33" t="s">
        <v>135</v>
      </c>
      <c r="F175" s="32">
        <v>46081253</v>
      </c>
      <c r="G175" s="37">
        <v>1</v>
      </c>
      <c r="H175" s="37">
        <v>1</v>
      </c>
      <c r="I175" s="37">
        <v>1</v>
      </c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10">
        <f t="shared" si="7"/>
        <v>3</v>
      </c>
      <c r="AL175" s="12">
        <v>32000</v>
      </c>
      <c r="AM175" s="12">
        <f t="shared" si="8"/>
        <v>96000</v>
      </c>
    </row>
    <row r="176" spans="1:39" ht="13.5" customHeight="1">
      <c r="A176" s="48" t="s">
        <v>84</v>
      </c>
      <c r="B176" s="32">
        <v>14</v>
      </c>
      <c r="C176" s="33" t="s">
        <v>418</v>
      </c>
      <c r="D176" s="33" t="s">
        <v>95</v>
      </c>
      <c r="E176" s="33" t="s">
        <v>25</v>
      </c>
      <c r="F176" s="32">
        <v>40769939</v>
      </c>
      <c r="G176" s="37">
        <v>1</v>
      </c>
      <c r="H176" s="37">
        <v>1</v>
      </c>
      <c r="I176" s="37">
        <v>1</v>
      </c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10">
        <f t="shared" si="7"/>
        <v>3</v>
      </c>
      <c r="AL176" s="11">
        <v>32000</v>
      </c>
      <c r="AM176" s="12">
        <f t="shared" si="8"/>
        <v>96000</v>
      </c>
    </row>
    <row r="177" spans="1:39" ht="13.5" customHeight="1">
      <c r="A177" s="48" t="s">
        <v>84</v>
      </c>
      <c r="B177" s="32">
        <v>15</v>
      </c>
      <c r="C177" s="33" t="s">
        <v>164</v>
      </c>
      <c r="D177" s="33" t="s">
        <v>165</v>
      </c>
      <c r="E177" s="33" t="s">
        <v>166</v>
      </c>
      <c r="F177" s="32">
        <v>80088096</v>
      </c>
      <c r="G177" s="37">
        <v>1</v>
      </c>
      <c r="H177" s="37">
        <v>1</v>
      </c>
      <c r="I177" s="37">
        <v>1</v>
      </c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10">
        <f t="shared" si="7"/>
        <v>3</v>
      </c>
      <c r="AL177" s="11">
        <v>32000</v>
      </c>
      <c r="AM177" s="12">
        <f t="shared" si="8"/>
        <v>96000</v>
      </c>
    </row>
    <row r="178" spans="1:39" ht="13.5" customHeight="1">
      <c r="A178" s="48" t="s">
        <v>84</v>
      </c>
      <c r="B178" s="32">
        <v>15</v>
      </c>
      <c r="C178" s="33" t="s">
        <v>111</v>
      </c>
      <c r="D178" s="33" t="s">
        <v>889</v>
      </c>
      <c r="E178" s="33" t="s">
        <v>25</v>
      </c>
      <c r="F178" s="32">
        <v>444719257</v>
      </c>
      <c r="G178" s="37">
        <v>1</v>
      </c>
      <c r="H178" s="37">
        <v>1</v>
      </c>
      <c r="I178" s="37">
        <v>1</v>
      </c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10">
        <f t="shared" si="7"/>
        <v>3</v>
      </c>
      <c r="AL178" s="12">
        <v>32000</v>
      </c>
      <c r="AM178" s="12">
        <f t="shared" si="8"/>
        <v>96000</v>
      </c>
    </row>
    <row r="179" spans="1:39" ht="13.5" customHeight="1">
      <c r="A179" s="48" t="s">
        <v>84</v>
      </c>
      <c r="B179" s="32">
        <v>16</v>
      </c>
      <c r="C179" s="33" t="s">
        <v>128</v>
      </c>
      <c r="D179" s="33" t="s">
        <v>158</v>
      </c>
      <c r="E179" s="33" t="s">
        <v>127</v>
      </c>
      <c r="F179" s="32">
        <v>44181783</v>
      </c>
      <c r="G179" s="37">
        <v>1</v>
      </c>
      <c r="H179" s="37">
        <v>1</v>
      </c>
      <c r="I179" s="37">
        <v>1</v>
      </c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10">
        <f t="shared" si="7"/>
        <v>3</v>
      </c>
      <c r="AL179" s="11">
        <v>32000</v>
      </c>
      <c r="AM179" s="12">
        <f t="shared" si="8"/>
        <v>96000</v>
      </c>
    </row>
    <row r="180" spans="1:39" ht="13.5" customHeight="1">
      <c r="A180" s="48" t="s">
        <v>84</v>
      </c>
      <c r="B180" s="35">
        <v>16</v>
      </c>
      <c r="C180" s="36" t="s">
        <v>149</v>
      </c>
      <c r="D180" s="36" t="s">
        <v>46</v>
      </c>
      <c r="E180" s="36" t="s">
        <v>150</v>
      </c>
      <c r="F180" s="35">
        <v>9771848</v>
      </c>
      <c r="G180" s="37">
        <v>1</v>
      </c>
      <c r="H180" s="37">
        <v>1</v>
      </c>
      <c r="I180" s="37">
        <v>1</v>
      </c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10">
        <f t="shared" si="7"/>
        <v>3</v>
      </c>
      <c r="AL180" s="11">
        <v>32000</v>
      </c>
      <c r="AM180" s="12">
        <f t="shared" si="8"/>
        <v>96000</v>
      </c>
    </row>
    <row r="181" spans="1:39" ht="13.5" customHeight="1">
      <c r="A181" s="48" t="s">
        <v>84</v>
      </c>
      <c r="B181" s="35">
        <v>18</v>
      </c>
      <c r="C181" s="36" t="s">
        <v>152</v>
      </c>
      <c r="D181" s="36" t="s">
        <v>153</v>
      </c>
      <c r="E181" s="36" t="s">
        <v>154</v>
      </c>
      <c r="F181" s="35">
        <v>48343664</v>
      </c>
      <c r="G181" s="37">
        <v>1</v>
      </c>
      <c r="H181" s="37">
        <v>1</v>
      </c>
      <c r="I181" s="37">
        <v>1</v>
      </c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10">
        <f t="shared" si="7"/>
        <v>3</v>
      </c>
      <c r="AL181" s="12">
        <v>32000</v>
      </c>
      <c r="AM181" s="12">
        <f t="shared" si="8"/>
        <v>96000</v>
      </c>
    </row>
    <row r="182" spans="1:39" ht="13.5" customHeight="1">
      <c r="A182" s="48" t="s">
        <v>84</v>
      </c>
      <c r="B182" s="35">
        <v>18</v>
      </c>
      <c r="C182" s="36" t="s">
        <v>155</v>
      </c>
      <c r="D182" s="36" t="s">
        <v>156</v>
      </c>
      <c r="E182" s="36" t="s">
        <v>157</v>
      </c>
      <c r="F182" s="35">
        <v>45198592</v>
      </c>
      <c r="G182" s="37">
        <v>1</v>
      </c>
      <c r="H182" s="37">
        <v>1</v>
      </c>
      <c r="I182" s="37">
        <v>1</v>
      </c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10">
        <f t="shared" si="7"/>
        <v>3</v>
      </c>
      <c r="AL182" s="11">
        <v>32000</v>
      </c>
      <c r="AM182" s="12">
        <f t="shared" si="8"/>
        <v>96000</v>
      </c>
    </row>
    <row r="183" spans="1:39" ht="13.5" customHeight="1">
      <c r="A183" s="48" t="s">
        <v>84</v>
      </c>
      <c r="B183" s="35">
        <v>18</v>
      </c>
      <c r="C183" s="36" t="s">
        <v>417</v>
      </c>
      <c r="D183" s="36" t="s">
        <v>123</v>
      </c>
      <c r="E183" s="36" t="s">
        <v>11</v>
      </c>
      <c r="F183" s="35">
        <v>10523472</v>
      </c>
      <c r="G183" s="37">
        <v>1</v>
      </c>
      <c r="H183" s="37">
        <v>1</v>
      </c>
      <c r="I183" s="37">
        <v>1</v>
      </c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10">
        <f t="shared" si="7"/>
        <v>3</v>
      </c>
      <c r="AL183" s="11">
        <v>32000</v>
      </c>
      <c r="AM183" s="12">
        <f t="shared" si="8"/>
        <v>96000</v>
      </c>
    </row>
    <row r="184" spans="1:39" ht="13.5" customHeight="1">
      <c r="A184" s="48" t="s">
        <v>84</v>
      </c>
      <c r="B184" s="32">
        <v>19</v>
      </c>
      <c r="C184" s="33" t="s">
        <v>875</v>
      </c>
      <c r="D184" s="33" t="s">
        <v>147</v>
      </c>
      <c r="E184" s="33" t="s">
        <v>148</v>
      </c>
      <c r="F184" s="32">
        <v>41104021</v>
      </c>
      <c r="G184" s="37">
        <v>1</v>
      </c>
      <c r="H184" s="37">
        <v>1</v>
      </c>
      <c r="I184" s="37">
        <v>1</v>
      </c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10">
        <f t="shared" si="7"/>
        <v>3</v>
      </c>
      <c r="AL184" s="12">
        <v>32000</v>
      </c>
      <c r="AM184" s="12">
        <f t="shared" si="8"/>
        <v>96000</v>
      </c>
    </row>
    <row r="185" spans="1:39" ht="13.5" customHeight="1">
      <c r="A185" s="48" t="s">
        <v>84</v>
      </c>
      <c r="B185" s="32">
        <v>19</v>
      </c>
      <c r="C185" s="33" t="s">
        <v>144</v>
      </c>
      <c r="D185" s="33" t="s">
        <v>145</v>
      </c>
      <c r="E185" s="33" t="s">
        <v>146</v>
      </c>
      <c r="F185" s="32">
        <v>336555392</v>
      </c>
      <c r="G185" s="37">
        <v>1</v>
      </c>
      <c r="H185" s="37">
        <v>1</v>
      </c>
      <c r="I185" s="37">
        <v>1</v>
      </c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10">
        <f t="shared" si="7"/>
        <v>3</v>
      </c>
      <c r="AL185" s="11">
        <v>32000</v>
      </c>
      <c r="AM185" s="12">
        <f t="shared" si="8"/>
        <v>96000</v>
      </c>
    </row>
    <row r="186" spans="1:39" ht="13.5" customHeight="1">
      <c r="A186" s="48" t="s">
        <v>84</v>
      </c>
      <c r="B186" s="32">
        <v>20</v>
      </c>
      <c r="C186" s="33" t="s">
        <v>876</v>
      </c>
      <c r="D186" s="33" t="s">
        <v>140</v>
      </c>
      <c r="E186" s="33" t="s">
        <v>141</v>
      </c>
      <c r="F186" s="32">
        <v>10756831</v>
      </c>
      <c r="G186" s="37">
        <v>1</v>
      </c>
      <c r="H186" s="37">
        <v>1</v>
      </c>
      <c r="I186" s="37">
        <v>1</v>
      </c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10">
        <f t="shared" si="7"/>
        <v>3</v>
      </c>
      <c r="AL186" s="11">
        <v>32000</v>
      </c>
      <c r="AM186" s="12">
        <f t="shared" si="8"/>
        <v>96000</v>
      </c>
    </row>
    <row r="187" spans="1:39" ht="13.5" customHeight="1">
      <c r="A187" s="48" t="s">
        <v>84</v>
      </c>
      <c r="B187" s="32">
        <v>20</v>
      </c>
      <c r="C187" s="33" t="s">
        <v>752</v>
      </c>
      <c r="D187" s="33" t="s">
        <v>151</v>
      </c>
      <c r="E187" s="33" t="s">
        <v>11</v>
      </c>
      <c r="F187" s="32">
        <v>44495014</v>
      </c>
      <c r="G187" s="37">
        <v>1</v>
      </c>
      <c r="H187" s="37">
        <v>1</v>
      </c>
      <c r="I187" s="37">
        <v>1</v>
      </c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10">
        <f t="shared" si="7"/>
        <v>3</v>
      </c>
      <c r="AL187" s="12">
        <v>32000</v>
      </c>
      <c r="AM187" s="12">
        <f t="shared" si="8"/>
        <v>96000</v>
      </c>
    </row>
    <row r="188" spans="1:39" ht="13.5" customHeight="1">
      <c r="A188" s="48" t="s">
        <v>84</v>
      </c>
      <c r="B188" s="32">
        <v>21</v>
      </c>
      <c r="C188" s="33" t="s">
        <v>90</v>
      </c>
      <c r="D188" s="33" t="s">
        <v>138</v>
      </c>
      <c r="E188" s="33" t="s">
        <v>139</v>
      </c>
      <c r="F188" s="32">
        <v>3684789</v>
      </c>
      <c r="G188" s="37">
        <v>1</v>
      </c>
      <c r="H188" s="37">
        <v>1</v>
      </c>
      <c r="I188" s="37">
        <v>1</v>
      </c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10">
        <f t="shared" si="7"/>
        <v>3</v>
      </c>
      <c r="AL188" s="11">
        <v>32000</v>
      </c>
      <c r="AM188" s="12">
        <f t="shared" si="8"/>
        <v>96000</v>
      </c>
    </row>
    <row r="189" spans="1:39" ht="13.5" customHeight="1">
      <c r="A189" s="48" t="s">
        <v>84</v>
      </c>
      <c r="B189" s="32">
        <v>21</v>
      </c>
      <c r="C189" s="33" t="s">
        <v>877</v>
      </c>
      <c r="D189" s="33" t="s">
        <v>136</v>
      </c>
      <c r="E189" s="33" t="s">
        <v>137</v>
      </c>
      <c r="F189" s="32">
        <v>10280884</v>
      </c>
      <c r="G189" s="37">
        <v>1</v>
      </c>
      <c r="H189" s="37">
        <v>1</v>
      </c>
      <c r="I189" s="37">
        <v>1</v>
      </c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10">
        <f t="shared" si="7"/>
        <v>3</v>
      </c>
      <c r="AL189" s="11">
        <v>32000</v>
      </c>
      <c r="AM189" s="12">
        <f t="shared" si="8"/>
        <v>96000</v>
      </c>
    </row>
    <row r="190" spans="1:39" ht="13.5" customHeight="1">
      <c r="A190" s="48" t="s">
        <v>84</v>
      </c>
      <c r="B190" s="32">
        <v>24</v>
      </c>
      <c r="C190" s="33" t="s">
        <v>409</v>
      </c>
      <c r="D190" s="33" t="s">
        <v>162</v>
      </c>
      <c r="E190" s="33" t="s">
        <v>22</v>
      </c>
      <c r="F190" s="32">
        <v>43811755</v>
      </c>
      <c r="G190" s="37">
        <v>1</v>
      </c>
      <c r="H190" s="37">
        <v>1</v>
      </c>
      <c r="I190" s="37">
        <v>1</v>
      </c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10">
        <f t="shared" si="7"/>
        <v>3</v>
      </c>
      <c r="AL190" s="12">
        <v>32000</v>
      </c>
      <c r="AM190" s="12">
        <f t="shared" si="8"/>
        <v>96000</v>
      </c>
    </row>
    <row r="191" spans="1:39" ht="13.5" customHeight="1">
      <c r="A191" s="48" t="s">
        <v>84</v>
      </c>
      <c r="B191" s="32">
        <v>24</v>
      </c>
      <c r="C191" s="33" t="s">
        <v>410</v>
      </c>
      <c r="D191" s="33" t="s">
        <v>411</v>
      </c>
      <c r="E191" s="33" t="s">
        <v>878</v>
      </c>
      <c r="F191" s="32">
        <v>41340550</v>
      </c>
      <c r="G191" s="37">
        <v>1</v>
      </c>
      <c r="H191" s="37">
        <v>1</v>
      </c>
      <c r="I191" s="37">
        <v>1</v>
      </c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10">
        <f t="shared" si="7"/>
        <v>3</v>
      </c>
      <c r="AL191" s="11">
        <v>32000</v>
      </c>
      <c r="AM191" s="12">
        <f t="shared" si="8"/>
        <v>96000</v>
      </c>
    </row>
    <row r="192" spans="1:39" ht="13.5" customHeight="1">
      <c r="A192" s="48" t="s">
        <v>84</v>
      </c>
      <c r="B192" s="32">
        <v>25</v>
      </c>
      <c r="C192" s="33" t="s">
        <v>879</v>
      </c>
      <c r="D192" s="33" t="s">
        <v>299</v>
      </c>
      <c r="E192" s="33" t="s">
        <v>408</v>
      </c>
      <c r="F192" s="32">
        <v>42606296</v>
      </c>
      <c r="G192" s="37">
        <v>1</v>
      </c>
      <c r="H192" s="37">
        <v>1</v>
      </c>
      <c r="I192" s="37">
        <v>1</v>
      </c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10">
        <f t="shared" si="7"/>
        <v>3</v>
      </c>
      <c r="AL192" s="11">
        <v>32000</v>
      </c>
      <c r="AM192" s="12">
        <f t="shared" si="8"/>
        <v>96000</v>
      </c>
    </row>
    <row r="193" spans="1:39" ht="13.5" customHeight="1">
      <c r="A193" s="48" t="s">
        <v>84</v>
      </c>
      <c r="B193" s="32">
        <v>25</v>
      </c>
      <c r="C193" s="33" t="s">
        <v>405</v>
      </c>
      <c r="D193" s="33" t="s">
        <v>514</v>
      </c>
      <c r="E193" s="33" t="s">
        <v>407</v>
      </c>
      <c r="F193" s="32">
        <v>48311078</v>
      </c>
      <c r="G193" s="37">
        <v>1</v>
      </c>
      <c r="H193" s="37">
        <v>1</v>
      </c>
      <c r="I193" s="37">
        <v>1</v>
      </c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10">
        <f t="shared" si="7"/>
        <v>3</v>
      </c>
      <c r="AL193" s="12">
        <v>32000</v>
      </c>
      <c r="AM193" s="12">
        <f t="shared" si="8"/>
        <v>96000</v>
      </c>
    </row>
    <row r="194" spans="1:39" ht="13.5" customHeight="1">
      <c r="A194" s="48" t="s">
        <v>84</v>
      </c>
      <c r="B194" s="32">
        <v>26</v>
      </c>
      <c r="C194" s="33" t="s">
        <v>16</v>
      </c>
      <c r="D194" s="33" t="s">
        <v>125</v>
      </c>
      <c r="E194" s="33" t="s">
        <v>126</v>
      </c>
      <c r="F194" s="32">
        <v>336557895</v>
      </c>
      <c r="G194" s="37">
        <v>1</v>
      </c>
      <c r="H194" s="37">
        <v>1</v>
      </c>
      <c r="I194" s="37">
        <v>1</v>
      </c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10">
        <f t="shared" si="7"/>
        <v>3</v>
      </c>
      <c r="AL194" s="11">
        <v>32000</v>
      </c>
      <c r="AM194" s="12">
        <f t="shared" si="8"/>
        <v>96000</v>
      </c>
    </row>
    <row r="195" spans="1:39" ht="13.5" customHeight="1">
      <c r="A195" s="48" t="s">
        <v>84</v>
      </c>
      <c r="B195" s="32">
        <v>26</v>
      </c>
      <c r="C195" s="33" t="s">
        <v>130</v>
      </c>
      <c r="D195" s="33" t="s">
        <v>131</v>
      </c>
      <c r="E195" s="33" t="s">
        <v>132</v>
      </c>
      <c r="F195" s="32">
        <v>444849118</v>
      </c>
      <c r="G195" s="37">
        <v>1</v>
      </c>
      <c r="H195" s="37">
        <v>1</v>
      </c>
      <c r="I195" s="37">
        <v>1</v>
      </c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10">
        <f t="shared" si="7"/>
        <v>3</v>
      </c>
      <c r="AL195" s="11">
        <v>32000</v>
      </c>
      <c r="AM195" s="12">
        <f t="shared" si="8"/>
        <v>96000</v>
      </c>
    </row>
    <row r="196" spans="1:39" ht="13.5" customHeight="1">
      <c r="A196" s="48" t="s">
        <v>84</v>
      </c>
      <c r="B196" s="32">
        <v>27</v>
      </c>
      <c r="C196" s="33" t="s">
        <v>885</v>
      </c>
      <c r="D196" s="33" t="s">
        <v>128</v>
      </c>
      <c r="E196" s="33" t="s">
        <v>886</v>
      </c>
      <c r="F196" s="32">
        <v>336557623</v>
      </c>
      <c r="G196" s="37">
        <v>1</v>
      </c>
      <c r="H196" s="37">
        <v>1</v>
      </c>
      <c r="I196" s="37">
        <v>1</v>
      </c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10">
        <f t="shared" si="7"/>
        <v>3</v>
      </c>
      <c r="AL196" s="12">
        <v>32000</v>
      </c>
      <c r="AM196" s="12">
        <f t="shared" si="8"/>
        <v>96000</v>
      </c>
    </row>
    <row r="197" spans="1:39" ht="13.5" customHeight="1">
      <c r="A197" s="48" t="s">
        <v>84</v>
      </c>
      <c r="B197" s="32">
        <v>3</v>
      </c>
      <c r="C197" s="33" t="s">
        <v>282</v>
      </c>
      <c r="D197" s="33" t="s">
        <v>737</v>
      </c>
      <c r="E197" s="33" t="s">
        <v>738</v>
      </c>
      <c r="F197" s="32" t="s">
        <v>670</v>
      </c>
      <c r="G197" s="53"/>
      <c r="H197" s="53"/>
      <c r="I197" s="53"/>
      <c r="J197" s="37">
        <v>1</v>
      </c>
      <c r="K197" s="37">
        <v>1</v>
      </c>
      <c r="L197" s="37">
        <v>1</v>
      </c>
      <c r="M197" s="37">
        <v>1</v>
      </c>
      <c r="N197" s="37">
        <v>1</v>
      </c>
      <c r="O197" s="37">
        <v>1</v>
      </c>
      <c r="P197" s="37">
        <v>1</v>
      </c>
      <c r="Q197" s="37">
        <v>1</v>
      </c>
      <c r="R197" s="37">
        <v>1</v>
      </c>
      <c r="S197" s="37">
        <v>1</v>
      </c>
      <c r="T197" s="37">
        <v>1</v>
      </c>
      <c r="U197" s="37">
        <v>1</v>
      </c>
      <c r="V197" s="37">
        <v>1</v>
      </c>
      <c r="W197" s="37">
        <v>1</v>
      </c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10">
        <f t="shared" si="7"/>
        <v>14</v>
      </c>
      <c r="AL197" s="11">
        <v>32000</v>
      </c>
      <c r="AM197" s="12">
        <f t="shared" si="8"/>
        <v>448000</v>
      </c>
    </row>
    <row r="198" spans="1:39" ht="13.5" customHeight="1">
      <c r="A198" s="48" t="s">
        <v>84</v>
      </c>
      <c r="B198" s="32">
        <v>3</v>
      </c>
      <c r="C198" s="33" t="s">
        <v>671</v>
      </c>
      <c r="D198" s="33" t="s">
        <v>12</v>
      </c>
      <c r="E198" s="33" t="s">
        <v>395</v>
      </c>
      <c r="F198" s="32" t="s">
        <v>674</v>
      </c>
      <c r="G198" s="46"/>
      <c r="H198" s="46"/>
      <c r="I198" s="46"/>
      <c r="J198" s="34">
        <v>1</v>
      </c>
      <c r="K198" s="34">
        <v>1</v>
      </c>
      <c r="L198" s="34">
        <v>1</v>
      </c>
      <c r="M198" s="34">
        <v>1</v>
      </c>
      <c r="N198" s="34">
        <v>1</v>
      </c>
      <c r="O198" s="34">
        <v>1</v>
      </c>
      <c r="P198" s="34">
        <v>1</v>
      </c>
      <c r="Q198" s="34">
        <v>1</v>
      </c>
      <c r="R198" s="34">
        <v>1</v>
      </c>
      <c r="S198" s="34">
        <v>1</v>
      </c>
      <c r="T198" s="34">
        <v>1</v>
      </c>
      <c r="U198" s="34">
        <v>1</v>
      </c>
      <c r="V198" s="34">
        <v>1</v>
      </c>
      <c r="W198" s="34">
        <v>1</v>
      </c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10">
        <f t="shared" si="7"/>
        <v>14</v>
      </c>
      <c r="AL198" s="11">
        <v>32000</v>
      </c>
      <c r="AM198" s="12">
        <f t="shared" si="8"/>
        <v>448000</v>
      </c>
    </row>
    <row r="199" spans="1:39">
      <c r="A199" s="48" t="s">
        <v>84</v>
      </c>
      <c r="B199" s="32">
        <v>7</v>
      </c>
      <c r="C199" s="33" t="s">
        <v>898</v>
      </c>
      <c r="D199" s="33" t="s">
        <v>899</v>
      </c>
      <c r="E199" s="33" t="s">
        <v>192</v>
      </c>
      <c r="F199" s="32" t="s">
        <v>900</v>
      </c>
      <c r="G199" s="46"/>
      <c r="H199" s="46"/>
      <c r="I199" s="46"/>
      <c r="J199" s="34">
        <v>1</v>
      </c>
      <c r="K199" s="34">
        <v>1</v>
      </c>
      <c r="L199" s="34">
        <v>1</v>
      </c>
      <c r="M199" s="34">
        <v>1</v>
      </c>
      <c r="N199" s="34">
        <v>1</v>
      </c>
      <c r="O199" s="34">
        <v>1</v>
      </c>
      <c r="P199" s="34">
        <v>1</v>
      </c>
      <c r="Q199" s="34">
        <v>1</v>
      </c>
      <c r="R199" s="34">
        <v>1</v>
      </c>
      <c r="S199" s="34">
        <v>1</v>
      </c>
      <c r="T199" s="34">
        <v>1</v>
      </c>
      <c r="U199" s="34">
        <v>1</v>
      </c>
      <c r="V199" s="34">
        <v>1</v>
      </c>
      <c r="W199" s="34">
        <v>1</v>
      </c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10">
        <f t="shared" si="7"/>
        <v>14</v>
      </c>
      <c r="AL199" s="12">
        <v>32000</v>
      </c>
      <c r="AM199" s="12">
        <f t="shared" si="8"/>
        <v>448000</v>
      </c>
    </row>
    <row r="200" spans="1:39" ht="13.5" customHeight="1">
      <c r="A200" s="48" t="s">
        <v>84</v>
      </c>
      <c r="B200" s="32">
        <v>7</v>
      </c>
      <c r="C200" s="33" t="s">
        <v>13</v>
      </c>
      <c r="D200" s="33" t="s">
        <v>13</v>
      </c>
      <c r="E200" s="33" t="s">
        <v>252</v>
      </c>
      <c r="F200" s="32" t="s">
        <v>907</v>
      </c>
      <c r="G200" s="46"/>
      <c r="H200" s="46"/>
      <c r="I200" s="46"/>
      <c r="J200" s="34">
        <v>1</v>
      </c>
      <c r="K200" s="34">
        <v>1</v>
      </c>
      <c r="L200" s="34">
        <v>1</v>
      </c>
      <c r="M200" s="34">
        <v>1</v>
      </c>
      <c r="N200" s="34">
        <v>1</v>
      </c>
      <c r="O200" s="34">
        <v>1</v>
      </c>
      <c r="P200" s="34">
        <v>1</v>
      </c>
      <c r="Q200" s="34">
        <v>1</v>
      </c>
      <c r="R200" s="34">
        <v>1</v>
      </c>
      <c r="S200" s="34">
        <v>1</v>
      </c>
      <c r="T200" s="34">
        <v>1</v>
      </c>
      <c r="U200" s="34">
        <v>1</v>
      </c>
      <c r="V200" s="34">
        <v>1</v>
      </c>
      <c r="W200" s="34">
        <v>1</v>
      </c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10">
        <f t="shared" si="7"/>
        <v>14</v>
      </c>
      <c r="AL200" s="11">
        <v>32000</v>
      </c>
      <c r="AM200" s="12">
        <f t="shared" si="8"/>
        <v>448000</v>
      </c>
    </row>
    <row r="201" spans="1:39" ht="13.5" customHeight="1">
      <c r="A201" s="48" t="s">
        <v>84</v>
      </c>
      <c r="B201" s="32">
        <v>8</v>
      </c>
      <c r="C201" s="33" t="s">
        <v>169</v>
      </c>
      <c r="D201" s="33" t="s">
        <v>170</v>
      </c>
      <c r="E201" s="33" t="s">
        <v>51</v>
      </c>
      <c r="F201" s="32" t="s">
        <v>171</v>
      </c>
      <c r="G201" s="46"/>
      <c r="H201" s="46"/>
      <c r="I201" s="46"/>
      <c r="J201" s="34">
        <v>1</v>
      </c>
      <c r="K201" s="34">
        <v>1</v>
      </c>
      <c r="L201" s="34">
        <v>1</v>
      </c>
      <c r="M201" s="34">
        <v>1</v>
      </c>
      <c r="N201" s="34">
        <v>1</v>
      </c>
      <c r="O201" s="34">
        <v>1</v>
      </c>
      <c r="P201" s="34">
        <v>1</v>
      </c>
      <c r="Q201" s="34">
        <v>1</v>
      </c>
      <c r="R201" s="34">
        <v>1</v>
      </c>
      <c r="S201" s="34">
        <v>1</v>
      </c>
      <c r="T201" s="34">
        <v>1</v>
      </c>
      <c r="U201" s="34">
        <v>1</v>
      </c>
      <c r="V201" s="34">
        <v>1</v>
      </c>
      <c r="W201" s="34">
        <v>1</v>
      </c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10">
        <f t="shared" si="7"/>
        <v>14</v>
      </c>
      <c r="AL201" s="11">
        <v>32000</v>
      </c>
      <c r="AM201" s="12">
        <f t="shared" si="8"/>
        <v>448000</v>
      </c>
    </row>
    <row r="202" spans="1:39" ht="13.5" customHeight="1">
      <c r="A202" s="48" t="s">
        <v>84</v>
      </c>
      <c r="B202" s="32">
        <v>8</v>
      </c>
      <c r="C202" s="33" t="s">
        <v>172</v>
      </c>
      <c r="D202" s="33" t="s">
        <v>173</v>
      </c>
      <c r="E202" s="33" t="s">
        <v>174</v>
      </c>
      <c r="F202" s="32" t="s">
        <v>175</v>
      </c>
      <c r="G202" s="46"/>
      <c r="H202" s="46"/>
      <c r="I202" s="46"/>
      <c r="J202" s="34">
        <v>1</v>
      </c>
      <c r="K202" s="34">
        <v>1</v>
      </c>
      <c r="L202" s="34">
        <v>1</v>
      </c>
      <c r="M202" s="34">
        <v>1</v>
      </c>
      <c r="N202" s="34">
        <v>1</v>
      </c>
      <c r="O202" s="34">
        <v>1</v>
      </c>
      <c r="P202" s="34">
        <v>1</v>
      </c>
      <c r="Q202" s="34">
        <v>1</v>
      </c>
      <c r="R202" s="34">
        <v>1</v>
      </c>
      <c r="S202" s="34">
        <v>1</v>
      </c>
      <c r="T202" s="34">
        <v>1</v>
      </c>
      <c r="U202" s="34">
        <v>1</v>
      </c>
      <c r="V202" s="34">
        <v>1</v>
      </c>
      <c r="W202" s="34">
        <v>1</v>
      </c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10">
        <f t="shared" si="7"/>
        <v>14</v>
      </c>
      <c r="AL202" s="12">
        <v>32000</v>
      </c>
      <c r="AM202" s="12">
        <f t="shared" si="8"/>
        <v>448000</v>
      </c>
    </row>
    <row r="203" spans="1:39" ht="13.5" customHeight="1">
      <c r="A203" s="48" t="s">
        <v>84</v>
      </c>
      <c r="B203" s="32">
        <v>8</v>
      </c>
      <c r="C203" s="33" t="s">
        <v>1047</v>
      </c>
      <c r="D203" s="33" t="s">
        <v>1047</v>
      </c>
      <c r="E203" s="33" t="s">
        <v>1048</v>
      </c>
      <c r="F203" s="32" t="s">
        <v>1051</v>
      </c>
      <c r="G203" s="46"/>
      <c r="H203" s="46"/>
      <c r="I203" s="46"/>
      <c r="J203" s="34">
        <v>1</v>
      </c>
      <c r="K203" s="34">
        <v>1</v>
      </c>
      <c r="L203" s="34">
        <v>1</v>
      </c>
      <c r="M203" s="34">
        <v>1</v>
      </c>
      <c r="N203" s="34">
        <v>1</v>
      </c>
      <c r="O203" s="34">
        <v>1</v>
      </c>
      <c r="P203" s="34">
        <v>1</v>
      </c>
      <c r="Q203" s="34">
        <v>1</v>
      </c>
      <c r="R203" s="34">
        <v>1</v>
      </c>
      <c r="S203" s="34">
        <v>1</v>
      </c>
      <c r="T203" s="34">
        <v>1</v>
      </c>
      <c r="U203" s="34">
        <v>1</v>
      </c>
      <c r="V203" s="34">
        <v>1</v>
      </c>
      <c r="W203" s="34">
        <v>1</v>
      </c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10">
        <f t="shared" si="7"/>
        <v>14</v>
      </c>
      <c r="AL203" s="11">
        <v>32000</v>
      </c>
      <c r="AM203" s="12">
        <f t="shared" si="8"/>
        <v>448000</v>
      </c>
    </row>
    <row r="204" spans="1:39" ht="13.5" customHeight="1">
      <c r="A204" s="48" t="s">
        <v>84</v>
      </c>
      <c r="B204" s="32">
        <v>8</v>
      </c>
      <c r="C204" s="33" t="s">
        <v>18</v>
      </c>
      <c r="D204" s="33" t="s">
        <v>24</v>
      </c>
      <c r="E204" s="33" t="s">
        <v>1049</v>
      </c>
      <c r="F204" s="32" t="s">
        <v>1050</v>
      </c>
      <c r="G204" s="46"/>
      <c r="H204" s="46"/>
      <c r="I204" s="46"/>
      <c r="J204" s="34">
        <v>1</v>
      </c>
      <c r="K204" s="34">
        <v>1</v>
      </c>
      <c r="L204" s="34">
        <v>1</v>
      </c>
      <c r="M204" s="34">
        <v>1</v>
      </c>
      <c r="N204" s="34">
        <v>1</v>
      </c>
      <c r="O204" s="34">
        <v>1</v>
      </c>
      <c r="P204" s="34">
        <v>1</v>
      </c>
      <c r="Q204" s="34">
        <v>1</v>
      </c>
      <c r="R204" s="34">
        <v>1</v>
      </c>
      <c r="S204" s="34">
        <v>1</v>
      </c>
      <c r="T204" s="34">
        <v>1</v>
      </c>
      <c r="U204" s="34">
        <v>1</v>
      </c>
      <c r="V204" s="34">
        <v>1</v>
      </c>
      <c r="W204" s="34">
        <v>1</v>
      </c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10">
        <f t="shared" si="7"/>
        <v>14</v>
      </c>
      <c r="AL204" s="11">
        <v>32000</v>
      </c>
      <c r="AM204" s="12">
        <f t="shared" si="8"/>
        <v>448000</v>
      </c>
    </row>
    <row r="205" spans="1:39" ht="13.5" customHeight="1">
      <c r="A205" s="48" t="s">
        <v>84</v>
      </c>
      <c r="B205" s="32">
        <v>9</v>
      </c>
      <c r="C205" s="33" t="s">
        <v>209</v>
      </c>
      <c r="D205" s="33" t="s">
        <v>210</v>
      </c>
      <c r="E205" s="33" t="s">
        <v>211</v>
      </c>
      <c r="F205" s="32"/>
      <c r="G205" s="46"/>
      <c r="H205" s="46"/>
      <c r="I205" s="46"/>
      <c r="J205" s="34">
        <v>1</v>
      </c>
      <c r="K205" s="34">
        <v>1</v>
      </c>
      <c r="L205" s="34">
        <v>1</v>
      </c>
      <c r="M205" s="34">
        <v>1</v>
      </c>
      <c r="N205" s="34">
        <v>1</v>
      </c>
      <c r="O205" s="34">
        <v>1</v>
      </c>
      <c r="P205" s="34">
        <v>1</v>
      </c>
      <c r="Q205" s="34">
        <v>1</v>
      </c>
      <c r="R205" s="34">
        <v>1</v>
      </c>
      <c r="S205" s="34">
        <v>1</v>
      </c>
      <c r="T205" s="34">
        <v>1</v>
      </c>
      <c r="U205" s="34">
        <v>1</v>
      </c>
      <c r="V205" s="34">
        <v>1</v>
      </c>
      <c r="W205" s="34">
        <v>1</v>
      </c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10">
        <f t="shared" si="7"/>
        <v>14</v>
      </c>
      <c r="AL205" s="12">
        <v>32000</v>
      </c>
      <c r="AM205" s="12">
        <f t="shared" si="8"/>
        <v>448000</v>
      </c>
    </row>
    <row r="206" spans="1:39" ht="13.5" customHeight="1">
      <c r="A206" s="48" t="s">
        <v>84</v>
      </c>
      <c r="B206" s="32">
        <v>9</v>
      </c>
      <c r="C206" s="33" t="s">
        <v>244</v>
      </c>
      <c r="D206" s="33" t="s">
        <v>94</v>
      </c>
      <c r="E206" s="33" t="s">
        <v>245</v>
      </c>
      <c r="F206" s="32" t="s">
        <v>246</v>
      </c>
      <c r="G206" s="46"/>
      <c r="H206" s="46"/>
      <c r="I206" s="46"/>
      <c r="J206" s="34">
        <v>1</v>
      </c>
      <c r="K206" s="34">
        <v>1</v>
      </c>
      <c r="L206" s="34">
        <v>1</v>
      </c>
      <c r="M206" s="34">
        <v>1</v>
      </c>
      <c r="N206" s="34">
        <v>1</v>
      </c>
      <c r="O206" s="34">
        <v>1</v>
      </c>
      <c r="P206" s="34">
        <v>1</v>
      </c>
      <c r="Q206" s="34">
        <v>1</v>
      </c>
      <c r="R206" s="34">
        <v>1</v>
      </c>
      <c r="S206" s="34">
        <v>1</v>
      </c>
      <c r="T206" s="34">
        <v>1</v>
      </c>
      <c r="U206" s="34">
        <v>1</v>
      </c>
      <c r="V206" s="34">
        <v>1</v>
      </c>
      <c r="W206" s="34">
        <v>1</v>
      </c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10">
        <f t="shared" si="7"/>
        <v>14</v>
      </c>
      <c r="AL206" s="11">
        <v>32000</v>
      </c>
      <c r="AM206" s="12">
        <f t="shared" si="8"/>
        <v>448000</v>
      </c>
    </row>
    <row r="207" spans="1:39" ht="13.5" customHeight="1">
      <c r="A207" s="48" t="s">
        <v>84</v>
      </c>
      <c r="B207" s="32">
        <v>9</v>
      </c>
      <c r="C207" s="33" t="s">
        <v>495</v>
      </c>
      <c r="D207" s="33" t="s">
        <v>17</v>
      </c>
      <c r="E207" s="33" t="s">
        <v>199</v>
      </c>
      <c r="F207" s="32" t="s">
        <v>496</v>
      </c>
      <c r="G207" s="46"/>
      <c r="H207" s="46"/>
      <c r="I207" s="46"/>
      <c r="J207" s="34">
        <v>1</v>
      </c>
      <c r="K207" s="34">
        <v>1</v>
      </c>
      <c r="L207" s="34">
        <v>1</v>
      </c>
      <c r="M207" s="34">
        <v>1</v>
      </c>
      <c r="N207" s="34">
        <v>1</v>
      </c>
      <c r="O207" s="34">
        <v>1</v>
      </c>
      <c r="P207" s="34">
        <v>1</v>
      </c>
      <c r="Q207" s="34">
        <v>1</v>
      </c>
      <c r="R207" s="34">
        <v>1</v>
      </c>
      <c r="S207" s="34">
        <v>1</v>
      </c>
      <c r="T207" s="34">
        <v>1</v>
      </c>
      <c r="U207" s="34">
        <v>1</v>
      </c>
      <c r="V207" s="34">
        <v>1</v>
      </c>
      <c r="W207" s="34">
        <v>1</v>
      </c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10">
        <f t="shared" si="7"/>
        <v>14</v>
      </c>
      <c r="AL207" s="11">
        <v>32000</v>
      </c>
      <c r="AM207" s="12">
        <f t="shared" si="8"/>
        <v>448000</v>
      </c>
    </row>
    <row r="208" spans="1:39" ht="13.5" customHeight="1">
      <c r="A208" s="48" t="s">
        <v>84</v>
      </c>
      <c r="B208" s="32">
        <v>10</v>
      </c>
      <c r="C208" s="33" t="s">
        <v>226</v>
      </c>
      <c r="D208" s="33" t="s">
        <v>230</v>
      </c>
      <c r="E208" s="33" t="s">
        <v>231</v>
      </c>
      <c r="F208" s="32" t="s">
        <v>232</v>
      </c>
      <c r="G208" s="46"/>
      <c r="H208" s="46"/>
      <c r="I208" s="46"/>
      <c r="J208" s="34">
        <v>1</v>
      </c>
      <c r="K208" s="34">
        <v>1</v>
      </c>
      <c r="L208" s="34">
        <v>1</v>
      </c>
      <c r="M208" s="34">
        <v>1</v>
      </c>
      <c r="N208" s="34">
        <v>1</v>
      </c>
      <c r="O208" s="34">
        <v>1</v>
      </c>
      <c r="P208" s="34">
        <v>1</v>
      </c>
      <c r="Q208" s="34">
        <v>1</v>
      </c>
      <c r="R208" s="34">
        <v>1</v>
      </c>
      <c r="S208" s="34">
        <v>1</v>
      </c>
      <c r="T208" s="34">
        <v>1</v>
      </c>
      <c r="U208" s="34">
        <v>1</v>
      </c>
      <c r="V208" s="34">
        <v>1</v>
      </c>
      <c r="W208" s="34">
        <v>1</v>
      </c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10">
        <f t="shared" si="7"/>
        <v>14</v>
      </c>
      <c r="AL208" s="12">
        <v>32000</v>
      </c>
      <c r="AM208" s="12">
        <f t="shared" si="8"/>
        <v>448000</v>
      </c>
    </row>
    <row r="209" spans="1:39" ht="13.5" customHeight="1">
      <c r="A209" s="48" t="s">
        <v>84</v>
      </c>
      <c r="B209" s="32">
        <v>10</v>
      </c>
      <c r="C209" s="33" t="s">
        <v>226</v>
      </c>
      <c r="D209" s="33" t="s">
        <v>227</v>
      </c>
      <c r="E209" s="33" t="s">
        <v>228</v>
      </c>
      <c r="F209" s="32" t="s">
        <v>229</v>
      </c>
      <c r="G209" s="46"/>
      <c r="H209" s="46"/>
      <c r="I209" s="46"/>
      <c r="J209" s="34">
        <v>1</v>
      </c>
      <c r="K209" s="34">
        <v>1</v>
      </c>
      <c r="L209" s="34">
        <v>1</v>
      </c>
      <c r="M209" s="34">
        <v>1</v>
      </c>
      <c r="N209" s="34">
        <v>1</v>
      </c>
      <c r="O209" s="34">
        <v>1</v>
      </c>
      <c r="P209" s="34">
        <v>1</v>
      </c>
      <c r="Q209" s="34">
        <v>1</v>
      </c>
      <c r="R209" s="34">
        <v>1</v>
      </c>
      <c r="S209" s="34">
        <v>1</v>
      </c>
      <c r="T209" s="34">
        <v>1</v>
      </c>
      <c r="U209" s="34">
        <v>1</v>
      </c>
      <c r="V209" s="34">
        <v>1</v>
      </c>
      <c r="W209" s="34">
        <v>1</v>
      </c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10">
        <f t="shared" si="7"/>
        <v>14</v>
      </c>
      <c r="AL209" s="11">
        <v>32000</v>
      </c>
      <c r="AM209" s="12">
        <f t="shared" si="8"/>
        <v>448000</v>
      </c>
    </row>
    <row r="210" spans="1:39" ht="13.5" customHeight="1">
      <c r="A210" s="48" t="s">
        <v>84</v>
      </c>
      <c r="B210" s="32">
        <v>11</v>
      </c>
      <c r="C210" s="33" t="s">
        <v>772</v>
      </c>
      <c r="D210" s="33" t="s">
        <v>773</v>
      </c>
      <c r="E210" s="33" t="s">
        <v>774</v>
      </c>
      <c r="F210" s="32" t="s">
        <v>775</v>
      </c>
      <c r="G210" s="46"/>
      <c r="H210" s="46"/>
      <c r="I210" s="46"/>
      <c r="J210" s="34">
        <v>1</v>
      </c>
      <c r="K210" s="34">
        <v>1</v>
      </c>
      <c r="L210" s="34">
        <v>1</v>
      </c>
      <c r="M210" s="34">
        <v>1</v>
      </c>
      <c r="N210" s="34">
        <v>1</v>
      </c>
      <c r="O210" s="34">
        <v>1</v>
      </c>
      <c r="P210" s="34">
        <v>1</v>
      </c>
      <c r="Q210" s="34">
        <v>1</v>
      </c>
      <c r="R210" s="34">
        <v>1</v>
      </c>
      <c r="S210" s="34">
        <v>1</v>
      </c>
      <c r="T210" s="34">
        <v>1</v>
      </c>
      <c r="U210" s="34">
        <v>1</v>
      </c>
      <c r="V210" s="34">
        <v>1</v>
      </c>
      <c r="W210" s="34">
        <v>1</v>
      </c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10">
        <f t="shared" si="7"/>
        <v>14</v>
      </c>
      <c r="AL210" s="11">
        <v>32000</v>
      </c>
      <c r="AM210" s="12">
        <f t="shared" si="8"/>
        <v>448000</v>
      </c>
    </row>
    <row r="211" spans="1:39" ht="13.5" customHeight="1">
      <c r="A211" s="48" t="s">
        <v>84</v>
      </c>
      <c r="B211" s="32">
        <v>11</v>
      </c>
      <c r="C211" s="33" t="s">
        <v>196</v>
      </c>
      <c r="D211" s="33" t="s">
        <v>197</v>
      </c>
      <c r="E211" s="33" t="s">
        <v>11</v>
      </c>
      <c r="F211" s="32" t="s">
        <v>198</v>
      </c>
      <c r="G211" s="46"/>
      <c r="H211" s="46"/>
      <c r="I211" s="46"/>
      <c r="J211" s="34">
        <v>1</v>
      </c>
      <c r="K211" s="34">
        <v>1</v>
      </c>
      <c r="L211" s="34">
        <v>1</v>
      </c>
      <c r="M211" s="34">
        <v>1</v>
      </c>
      <c r="N211" s="34">
        <v>1</v>
      </c>
      <c r="O211" s="34">
        <v>1</v>
      </c>
      <c r="P211" s="34">
        <v>1</v>
      </c>
      <c r="Q211" s="34">
        <v>1</v>
      </c>
      <c r="R211" s="34">
        <v>1</v>
      </c>
      <c r="S211" s="34">
        <v>1</v>
      </c>
      <c r="T211" s="34">
        <v>1</v>
      </c>
      <c r="U211" s="34">
        <v>1</v>
      </c>
      <c r="V211" s="34">
        <v>1</v>
      </c>
      <c r="W211" s="34">
        <v>1</v>
      </c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10">
        <f t="shared" si="7"/>
        <v>14</v>
      </c>
      <c r="AL211" s="12">
        <v>32000</v>
      </c>
      <c r="AM211" s="12">
        <f t="shared" si="8"/>
        <v>448000</v>
      </c>
    </row>
    <row r="212" spans="1:39" ht="13.5" customHeight="1">
      <c r="A212" s="48" t="s">
        <v>84</v>
      </c>
      <c r="B212" s="32">
        <v>13</v>
      </c>
      <c r="C212" s="33" t="s">
        <v>545</v>
      </c>
      <c r="D212" s="33" t="s">
        <v>481</v>
      </c>
      <c r="E212" s="33" t="s">
        <v>776</v>
      </c>
      <c r="F212" s="32" t="s">
        <v>777</v>
      </c>
      <c r="G212" s="46"/>
      <c r="H212" s="46"/>
      <c r="I212" s="46"/>
      <c r="J212" s="34">
        <v>1</v>
      </c>
      <c r="K212" s="34">
        <v>1</v>
      </c>
      <c r="L212" s="34">
        <v>1</v>
      </c>
      <c r="M212" s="34">
        <v>1</v>
      </c>
      <c r="N212" s="34">
        <v>1</v>
      </c>
      <c r="O212" s="34">
        <v>1</v>
      </c>
      <c r="P212" s="34">
        <v>1</v>
      </c>
      <c r="Q212" s="34">
        <v>1</v>
      </c>
      <c r="R212" s="34">
        <v>1</v>
      </c>
      <c r="S212" s="34">
        <v>1</v>
      </c>
      <c r="T212" s="34">
        <v>1</v>
      </c>
      <c r="U212" s="34">
        <v>1</v>
      </c>
      <c r="V212" s="34">
        <v>1</v>
      </c>
      <c r="W212" s="34">
        <v>1</v>
      </c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10">
        <f t="shared" si="7"/>
        <v>14</v>
      </c>
      <c r="AL212" s="11">
        <v>32000</v>
      </c>
      <c r="AM212" s="12">
        <f t="shared" si="8"/>
        <v>448000</v>
      </c>
    </row>
    <row r="213" spans="1:39" ht="13.5" customHeight="1">
      <c r="A213" s="48" t="s">
        <v>84</v>
      </c>
      <c r="B213" s="32">
        <v>13</v>
      </c>
      <c r="C213" s="33" t="s">
        <v>681</v>
      </c>
      <c r="D213" s="33" t="s">
        <v>156</v>
      </c>
      <c r="E213" s="33" t="s">
        <v>682</v>
      </c>
      <c r="F213" s="32" t="s">
        <v>684</v>
      </c>
      <c r="G213" s="46"/>
      <c r="H213" s="46"/>
      <c r="I213" s="46"/>
      <c r="J213" s="34">
        <v>1</v>
      </c>
      <c r="K213" s="34">
        <v>1</v>
      </c>
      <c r="L213" s="34">
        <v>1</v>
      </c>
      <c r="M213" s="34">
        <v>1</v>
      </c>
      <c r="N213" s="34">
        <v>1</v>
      </c>
      <c r="O213" s="34">
        <v>1</v>
      </c>
      <c r="P213" s="34">
        <v>1</v>
      </c>
      <c r="Q213" s="34">
        <v>1</v>
      </c>
      <c r="R213" s="34">
        <v>1</v>
      </c>
      <c r="S213" s="34">
        <v>1</v>
      </c>
      <c r="T213" s="34">
        <v>1</v>
      </c>
      <c r="U213" s="34">
        <v>1</v>
      </c>
      <c r="V213" s="34">
        <v>1</v>
      </c>
      <c r="W213" s="34">
        <v>1</v>
      </c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10">
        <f t="shared" si="7"/>
        <v>14</v>
      </c>
      <c r="AL213" s="11">
        <v>32000</v>
      </c>
      <c r="AM213" s="12">
        <f t="shared" si="8"/>
        <v>448000</v>
      </c>
    </row>
    <row r="214" spans="1:39" ht="13.5" customHeight="1">
      <c r="A214" s="48" t="s">
        <v>84</v>
      </c>
      <c r="B214" s="32">
        <v>15</v>
      </c>
      <c r="C214" s="33" t="s">
        <v>183</v>
      </c>
      <c r="D214" s="33" t="s">
        <v>27</v>
      </c>
      <c r="E214" s="33" t="s">
        <v>77</v>
      </c>
      <c r="F214" s="32" t="s">
        <v>778</v>
      </c>
      <c r="G214" s="46"/>
      <c r="H214" s="46"/>
      <c r="I214" s="46"/>
      <c r="J214" s="34">
        <v>1</v>
      </c>
      <c r="K214" s="34">
        <v>1</v>
      </c>
      <c r="L214" s="34">
        <v>1</v>
      </c>
      <c r="M214" s="34">
        <v>1</v>
      </c>
      <c r="N214" s="34">
        <v>1</v>
      </c>
      <c r="O214" s="34">
        <v>1</v>
      </c>
      <c r="P214" s="34">
        <v>1</v>
      </c>
      <c r="Q214" s="34">
        <v>1</v>
      </c>
      <c r="R214" s="34">
        <v>1</v>
      </c>
      <c r="S214" s="34">
        <v>1</v>
      </c>
      <c r="T214" s="34">
        <v>1</v>
      </c>
      <c r="U214" s="34">
        <v>1</v>
      </c>
      <c r="V214" s="34">
        <v>1</v>
      </c>
      <c r="W214" s="34">
        <v>1</v>
      </c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10">
        <f t="shared" si="7"/>
        <v>14</v>
      </c>
      <c r="AL214" s="12">
        <v>32000</v>
      </c>
      <c r="AM214" s="12">
        <f t="shared" si="8"/>
        <v>448000</v>
      </c>
    </row>
    <row r="215" spans="1:39" ht="13.5" customHeight="1">
      <c r="A215" s="48" t="s">
        <v>84</v>
      </c>
      <c r="B215" s="32">
        <v>15</v>
      </c>
      <c r="C215" s="33" t="s">
        <v>12</v>
      </c>
      <c r="D215" s="33" t="s">
        <v>97</v>
      </c>
      <c r="E215" s="33" t="s">
        <v>77</v>
      </c>
      <c r="F215" s="32" t="s">
        <v>992</v>
      </c>
      <c r="G215" s="46"/>
      <c r="H215" s="46"/>
      <c r="I215" s="46"/>
      <c r="J215" s="34">
        <v>1</v>
      </c>
      <c r="K215" s="34">
        <v>1</v>
      </c>
      <c r="L215" s="34">
        <v>1</v>
      </c>
      <c r="M215" s="34">
        <v>1</v>
      </c>
      <c r="N215" s="34">
        <v>1</v>
      </c>
      <c r="O215" s="34">
        <v>1</v>
      </c>
      <c r="P215" s="34">
        <v>1</v>
      </c>
      <c r="Q215" s="34">
        <v>1</v>
      </c>
      <c r="R215" s="34">
        <v>1</v>
      </c>
      <c r="S215" s="34">
        <v>1</v>
      </c>
      <c r="T215" s="34">
        <v>1</v>
      </c>
      <c r="U215" s="34">
        <v>1</v>
      </c>
      <c r="V215" s="34">
        <v>1</v>
      </c>
      <c r="W215" s="34">
        <v>1</v>
      </c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10">
        <f t="shared" si="7"/>
        <v>14</v>
      </c>
      <c r="AL215" s="11">
        <v>32000</v>
      </c>
      <c r="AM215" s="12">
        <f t="shared" si="8"/>
        <v>448000</v>
      </c>
    </row>
    <row r="216" spans="1:39" ht="13.5" customHeight="1">
      <c r="A216" s="48" t="s">
        <v>84</v>
      </c>
      <c r="B216" s="32">
        <v>16</v>
      </c>
      <c r="C216" s="33" t="s">
        <v>912</v>
      </c>
      <c r="D216" s="33" t="s">
        <v>913</v>
      </c>
      <c r="E216" s="33" t="s">
        <v>22</v>
      </c>
      <c r="F216" s="32" t="s">
        <v>914</v>
      </c>
      <c r="G216" s="46"/>
      <c r="H216" s="46"/>
      <c r="I216" s="46"/>
      <c r="J216" s="34">
        <v>1</v>
      </c>
      <c r="K216" s="34">
        <v>1</v>
      </c>
      <c r="L216" s="34">
        <v>1</v>
      </c>
      <c r="M216" s="34">
        <v>1</v>
      </c>
      <c r="N216" s="34">
        <v>1</v>
      </c>
      <c r="O216" s="34">
        <v>1</v>
      </c>
      <c r="P216" s="34">
        <v>1</v>
      </c>
      <c r="Q216" s="34">
        <v>1</v>
      </c>
      <c r="R216" s="34">
        <v>1</v>
      </c>
      <c r="S216" s="34">
        <v>1</v>
      </c>
      <c r="T216" s="34">
        <v>1</v>
      </c>
      <c r="U216" s="34">
        <v>1</v>
      </c>
      <c r="V216" s="34">
        <v>1</v>
      </c>
      <c r="W216" s="34">
        <v>1</v>
      </c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10">
        <f t="shared" si="7"/>
        <v>14</v>
      </c>
      <c r="AL216" s="11">
        <v>32000</v>
      </c>
      <c r="AM216" s="12">
        <f t="shared" si="8"/>
        <v>448000</v>
      </c>
    </row>
    <row r="217" spans="1:39" ht="13.5" customHeight="1">
      <c r="A217" s="48" t="s">
        <v>84</v>
      </c>
      <c r="B217" s="32">
        <v>16</v>
      </c>
      <c r="C217" s="33" t="s">
        <v>227</v>
      </c>
      <c r="D217" s="33" t="s">
        <v>947</v>
      </c>
      <c r="E217" s="33" t="s">
        <v>303</v>
      </c>
      <c r="F217" s="32" t="s">
        <v>955</v>
      </c>
      <c r="G217" s="46"/>
      <c r="H217" s="46"/>
      <c r="I217" s="46"/>
      <c r="J217" s="34">
        <v>1</v>
      </c>
      <c r="K217" s="34">
        <v>1</v>
      </c>
      <c r="L217" s="34">
        <v>1</v>
      </c>
      <c r="M217" s="34">
        <v>1</v>
      </c>
      <c r="N217" s="34">
        <v>1</v>
      </c>
      <c r="O217" s="34">
        <v>1</v>
      </c>
      <c r="P217" s="34">
        <v>1</v>
      </c>
      <c r="Q217" s="34">
        <v>1</v>
      </c>
      <c r="R217" s="34">
        <v>1</v>
      </c>
      <c r="S217" s="34">
        <v>1</v>
      </c>
      <c r="T217" s="34">
        <v>1</v>
      </c>
      <c r="U217" s="34">
        <v>1</v>
      </c>
      <c r="V217" s="34">
        <v>1</v>
      </c>
      <c r="W217" s="34">
        <v>1</v>
      </c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10">
        <f t="shared" si="7"/>
        <v>14</v>
      </c>
      <c r="AL217" s="12">
        <v>32000</v>
      </c>
      <c r="AM217" s="12">
        <f t="shared" si="8"/>
        <v>448000</v>
      </c>
    </row>
    <row r="218" spans="1:39" ht="13.5" customHeight="1">
      <c r="A218" s="48" t="s">
        <v>84</v>
      </c>
      <c r="B218" s="32">
        <v>16</v>
      </c>
      <c r="C218" s="33" t="s">
        <v>27</v>
      </c>
      <c r="D218" s="33" t="s">
        <v>122</v>
      </c>
      <c r="E218" s="33" t="s">
        <v>61</v>
      </c>
      <c r="F218" s="32" t="s">
        <v>62</v>
      </c>
      <c r="G218" s="46"/>
      <c r="H218" s="46"/>
      <c r="I218" s="46"/>
      <c r="J218" s="34">
        <v>1</v>
      </c>
      <c r="K218" s="34">
        <v>1</v>
      </c>
      <c r="L218" s="34">
        <v>1</v>
      </c>
      <c r="M218" s="34">
        <v>1</v>
      </c>
      <c r="N218" s="34">
        <v>1</v>
      </c>
      <c r="O218" s="34">
        <v>1</v>
      </c>
      <c r="P218" s="34">
        <v>1</v>
      </c>
      <c r="Q218" s="34">
        <v>1</v>
      </c>
      <c r="R218" s="34">
        <v>1</v>
      </c>
      <c r="S218" s="34">
        <v>1</v>
      </c>
      <c r="T218" s="34">
        <v>1</v>
      </c>
      <c r="U218" s="34">
        <v>1</v>
      </c>
      <c r="V218" s="34">
        <v>1</v>
      </c>
      <c r="W218" s="34">
        <v>1</v>
      </c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10">
        <f t="shared" si="7"/>
        <v>14</v>
      </c>
      <c r="AL218" s="11">
        <v>32000</v>
      </c>
      <c r="AM218" s="12">
        <f t="shared" si="8"/>
        <v>448000</v>
      </c>
    </row>
    <row r="219" spans="1:39" ht="13.5" customHeight="1">
      <c r="A219" s="48" t="s">
        <v>84</v>
      </c>
      <c r="B219" s="32">
        <v>21</v>
      </c>
      <c r="C219" s="33" t="s">
        <v>892</v>
      </c>
      <c r="D219" s="33" t="s">
        <v>620</v>
      </c>
      <c r="E219" s="33" t="s">
        <v>9</v>
      </c>
      <c r="F219" s="32" t="s">
        <v>893</v>
      </c>
      <c r="G219" s="46"/>
      <c r="H219" s="46"/>
      <c r="I219" s="46"/>
      <c r="J219" s="34">
        <v>1</v>
      </c>
      <c r="K219" s="34">
        <v>1</v>
      </c>
      <c r="L219" s="34">
        <v>1</v>
      </c>
      <c r="M219" s="34">
        <v>1</v>
      </c>
      <c r="N219" s="34">
        <v>1</v>
      </c>
      <c r="O219" s="34">
        <v>1</v>
      </c>
      <c r="P219" s="34">
        <v>1</v>
      </c>
      <c r="Q219" s="34">
        <v>1</v>
      </c>
      <c r="R219" s="34">
        <v>1</v>
      </c>
      <c r="S219" s="34">
        <v>1</v>
      </c>
      <c r="T219" s="34">
        <v>1</v>
      </c>
      <c r="U219" s="34">
        <v>1</v>
      </c>
      <c r="V219" s="34">
        <v>1</v>
      </c>
      <c r="W219" s="34">
        <v>1</v>
      </c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10">
        <f t="shared" ref="AK219:AK228" si="9">SUM(G219:AJ219)</f>
        <v>14</v>
      </c>
      <c r="AL219" s="11">
        <v>32000</v>
      </c>
      <c r="AM219" s="12">
        <f t="shared" ref="AM219:AM228" si="10">AL219*AK219</f>
        <v>448000</v>
      </c>
    </row>
    <row r="220" spans="1:39" ht="13.5" customHeight="1">
      <c r="A220" s="48" t="s">
        <v>84</v>
      </c>
      <c r="B220" s="32">
        <v>21</v>
      </c>
      <c r="C220" s="33" t="s">
        <v>606</v>
      </c>
      <c r="D220" s="33" t="s">
        <v>935</v>
      </c>
      <c r="E220" s="33" t="s">
        <v>259</v>
      </c>
      <c r="F220" s="32" t="s">
        <v>936</v>
      </c>
      <c r="G220" s="46"/>
      <c r="H220" s="46"/>
      <c r="I220" s="46"/>
      <c r="J220" s="34">
        <v>1</v>
      </c>
      <c r="K220" s="34">
        <v>1</v>
      </c>
      <c r="L220" s="34">
        <v>1</v>
      </c>
      <c r="M220" s="34">
        <v>1</v>
      </c>
      <c r="N220" s="34">
        <v>1</v>
      </c>
      <c r="O220" s="34">
        <v>1</v>
      </c>
      <c r="P220" s="34">
        <v>1</v>
      </c>
      <c r="Q220" s="34">
        <v>1</v>
      </c>
      <c r="R220" s="34">
        <v>1</v>
      </c>
      <c r="S220" s="34">
        <v>1</v>
      </c>
      <c r="T220" s="34">
        <v>1</v>
      </c>
      <c r="U220" s="34">
        <v>1</v>
      </c>
      <c r="V220" s="34">
        <v>1</v>
      </c>
      <c r="W220" s="34">
        <v>1</v>
      </c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10">
        <f t="shared" si="9"/>
        <v>14</v>
      </c>
      <c r="AL220" s="12">
        <v>32000</v>
      </c>
      <c r="AM220" s="12">
        <f t="shared" si="10"/>
        <v>448000</v>
      </c>
    </row>
    <row r="221" spans="1:39" ht="13.5" customHeight="1">
      <c r="A221" s="48" t="s">
        <v>84</v>
      </c>
      <c r="B221" s="32">
        <v>21</v>
      </c>
      <c r="C221" s="33" t="s">
        <v>1034</v>
      </c>
      <c r="D221" s="33" t="s">
        <v>1035</v>
      </c>
      <c r="E221" s="33" t="s">
        <v>75</v>
      </c>
      <c r="F221" s="32" t="s">
        <v>1041</v>
      </c>
      <c r="G221" s="46"/>
      <c r="H221" s="46"/>
      <c r="I221" s="46"/>
      <c r="J221" s="34">
        <v>1</v>
      </c>
      <c r="K221" s="34">
        <v>1</v>
      </c>
      <c r="L221" s="34">
        <v>1</v>
      </c>
      <c r="M221" s="34">
        <v>1</v>
      </c>
      <c r="N221" s="34">
        <v>1</v>
      </c>
      <c r="O221" s="34">
        <v>1</v>
      </c>
      <c r="P221" s="34">
        <v>1</v>
      </c>
      <c r="Q221" s="34">
        <v>1</v>
      </c>
      <c r="R221" s="34">
        <v>1</v>
      </c>
      <c r="S221" s="34">
        <v>1</v>
      </c>
      <c r="T221" s="34">
        <v>1</v>
      </c>
      <c r="U221" s="34">
        <v>1</v>
      </c>
      <c r="V221" s="34">
        <v>1</v>
      </c>
      <c r="W221" s="34">
        <v>1</v>
      </c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10">
        <f t="shared" si="9"/>
        <v>14</v>
      </c>
      <c r="AL221" s="11">
        <v>32000</v>
      </c>
      <c r="AM221" s="12">
        <f t="shared" si="10"/>
        <v>448000</v>
      </c>
    </row>
    <row r="222" spans="1:39" ht="13.5" customHeight="1">
      <c r="A222" s="48" t="s">
        <v>84</v>
      </c>
      <c r="B222" s="32">
        <v>22</v>
      </c>
      <c r="C222" s="33" t="s">
        <v>223</v>
      </c>
      <c r="D222" s="33" t="s">
        <v>224</v>
      </c>
      <c r="E222" s="33" t="s">
        <v>11</v>
      </c>
      <c r="F222" s="32" t="s">
        <v>225</v>
      </c>
      <c r="G222" s="46"/>
      <c r="H222" s="46"/>
      <c r="I222" s="46"/>
      <c r="J222" s="34">
        <v>1</v>
      </c>
      <c r="K222" s="34">
        <v>1</v>
      </c>
      <c r="L222" s="34">
        <v>1</v>
      </c>
      <c r="M222" s="34">
        <v>1</v>
      </c>
      <c r="N222" s="34">
        <v>1</v>
      </c>
      <c r="O222" s="34">
        <v>1</v>
      </c>
      <c r="P222" s="34">
        <v>1</v>
      </c>
      <c r="Q222" s="34">
        <v>1</v>
      </c>
      <c r="R222" s="34">
        <v>1</v>
      </c>
      <c r="S222" s="34">
        <v>1</v>
      </c>
      <c r="T222" s="34">
        <v>1</v>
      </c>
      <c r="U222" s="34">
        <v>1</v>
      </c>
      <c r="V222" s="34">
        <v>1</v>
      </c>
      <c r="W222" s="34">
        <v>1</v>
      </c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10">
        <f t="shared" si="9"/>
        <v>14</v>
      </c>
      <c r="AL222" s="11">
        <v>32000</v>
      </c>
      <c r="AM222" s="12">
        <f t="shared" si="10"/>
        <v>448000</v>
      </c>
    </row>
    <row r="223" spans="1:39" ht="13.5" customHeight="1">
      <c r="A223" s="48" t="s">
        <v>84</v>
      </c>
      <c r="B223" s="32">
        <v>22</v>
      </c>
      <c r="C223" s="33" t="s">
        <v>483</v>
      </c>
      <c r="D223" s="33" t="s">
        <v>89</v>
      </c>
      <c r="E223" s="33" t="s">
        <v>242</v>
      </c>
      <c r="F223" s="32" t="s">
        <v>243</v>
      </c>
      <c r="G223" s="46"/>
      <c r="H223" s="46"/>
      <c r="I223" s="46"/>
      <c r="J223" s="34">
        <v>1</v>
      </c>
      <c r="K223" s="34">
        <v>1</v>
      </c>
      <c r="L223" s="34">
        <v>1</v>
      </c>
      <c r="M223" s="34">
        <v>1</v>
      </c>
      <c r="N223" s="34">
        <v>1</v>
      </c>
      <c r="O223" s="34">
        <v>1</v>
      </c>
      <c r="P223" s="34">
        <v>1</v>
      </c>
      <c r="Q223" s="34">
        <v>1</v>
      </c>
      <c r="R223" s="34">
        <v>1</v>
      </c>
      <c r="S223" s="34">
        <v>1</v>
      </c>
      <c r="T223" s="34">
        <v>1</v>
      </c>
      <c r="U223" s="34">
        <v>1</v>
      </c>
      <c r="V223" s="34">
        <v>1</v>
      </c>
      <c r="W223" s="34">
        <v>1</v>
      </c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10">
        <f t="shared" si="9"/>
        <v>14</v>
      </c>
      <c r="AL223" s="12">
        <v>32000</v>
      </c>
      <c r="AM223" s="12">
        <f t="shared" si="10"/>
        <v>448000</v>
      </c>
    </row>
    <row r="224" spans="1:39" ht="13.5" customHeight="1">
      <c r="A224" s="48" t="s">
        <v>84</v>
      </c>
      <c r="B224" s="32">
        <v>22</v>
      </c>
      <c r="C224" s="33" t="s">
        <v>948</v>
      </c>
      <c r="D224" s="33" t="s">
        <v>381</v>
      </c>
      <c r="E224" s="33" t="s">
        <v>317</v>
      </c>
      <c r="F224" s="32" t="s">
        <v>954</v>
      </c>
      <c r="G224" s="46"/>
      <c r="H224" s="46"/>
      <c r="I224" s="46"/>
      <c r="J224" s="34">
        <v>1</v>
      </c>
      <c r="K224" s="34">
        <v>1</v>
      </c>
      <c r="L224" s="34">
        <v>1</v>
      </c>
      <c r="M224" s="34">
        <v>1</v>
      </c>
      <c r="N224" s="34">
        <v>1</v>
      </c>
      <c r="O224" s="34">
        <v>1</v>
      </c>
      <c r="P224" s="34">
        <v>1</v>
      </c>
      <c r="Q224" s="34">
        <v>1</v>
      </c>
      <c r="R224" s="34">
        <v>1</v>
      </c>
      <c r="S224" s="34">
        <v>1</v>
      </c>
      <c r="T224" s="34">
        <v>1</v>
      </c>
      <c r="U224" s="34">
        <v>1</v>
      </c>
      <c r="V224" s="34">
        <v>1</v>
      </c>
      <c r="W224" s="34">
        <v>1</v>
      </c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10">
        <f t="shared" si="9"/>
        <v>14</v>
      </c>
      <c r="AL224" s="11">
        <v>32000</v>
      </c>
      <c r="AM224" s="12">
        <f t="shared" si="10"/>
        <v>448000</v>
      </c>
    </row>
    <row r="225" spans="1:39" ht="13.5" customHeight="1">
      <c r="A225" s="48" t="s">
        <v>84</v>
      </c>
      <c r="B225" s="32">
        <v>22</v>
      </c>
      <c r="C225" s="33" t="s">
        <v>1036</v>
      </c>
      <c r="D225" s="33" t="s">
        <v>1037</v>
      </c>
      <c r="E225" s="33" t="s">
        <v>1038</v>
      </c>
      <c r="F225" s="32" t="s">
        <v>1040</v>
      </c>
      <c r="G225" s="46"/>
      <c r="H225" s="46"/>
      <c r="I225" s="46"/>
      <c r="J225" s="34">
        <v>1</v>
      </c>
      <c r="K225" s="34">
        <v>1</v>
      </c>
      <c r="L225" s="34">
        <v>1</v>
      </c>
      <c r="M225" s="34">
        <v>1</v>
      </c>
      <c r="N225" s="34">
        <v>1</v>
      </c>
      <c r="O225" s="34">
        <v>1</v>
      </c>
      <c r="P225" s="34">
        <v>1</v>
      </c>
      <c r="Q225" s="34">
        <v>1</v>
      </c>
      <c r="R225" s="34">
        <v>1</v>
      </c>
      <c r="S225" s="34">
        <v>1</v>
      </c>
      <c r="T225" s="34">
        <v>1</v>
      </c>
      <c r="U225" s="34">
        <v>1</v>
      </c>
      <c r="V225" s="34">
        <v>1</v>
      </c>
      <c r="W225" s="34">
        <v>1</v>
      </c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10">
        <f t="shared" si="9"/>
        <v>14</v>
      </c>
      <c r="AL225" s="11">
        <v>32000</v>
      </c>
      <c r="AM225" s="12">
        <f t="shared" si="10"/>
        <v>448000</v>
      </c>
    </row>
    <row r="226" spans="1:39" ht="13.5" customHeight="1">
      <c r="A226" s="48" t="s">
        <v>84</v>
      </c>
      <c r="B226" s="32">
        <v>24</v>
      </c>
      <c r="C226" s="33" t="s">
        <v>692</v>
      </c>
      <c r="D226" s="33" t="s">
        <v>394</v>
      </c>
      <c r="E226" s="33" t="s">
        <v>337</v>
      </c>
      <c r="F226" s="32" t="s">
        <v>705</v>
      </c>
      <c r="G226" s="46"/>
      <c r="H226" s="46"/>
      <c r="I226" s="46"/>
      <c r="J226" s="34">
        <v>1</v>
      </c>
      <c r="K226" s="34">
        <v>1</v>
      </c>
      <c r="L226" s="34">
        <v>1</v>
      </c>
      <c r="M226" s="34">
        <v>1</v>
      </c>
      <c r="N226" s="34">
        <v>1</v>
      </c>
      <c r="O226" s="34">
        <v>1</v>
      </c>
      <c r="P226" s="34">
        <v>1</v>
      </c>
      <c r="Q226" s="34">
        <v>1</v>
      </c>
      <c r="R226" s="34">
        <v>1</v>
      </c>
      <c r="S226" s="34">
        <v>1</v>
      </c>
      <c r="T226" s="34">
        <v>1</v>
      </c>
      <c r="U226" s="34">
        <v>1</v>
      </c>
      <c r="V226" s="34">
        <v>1</v>
      </c>
      <c r="W226" s="34">
        <v>1</v>
      </c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10">
        <f t="shared" si="9"/>
        <v>14</v>
      </c>
      <c r="AL226" s="12">
        <v>32000</v>
      </c>
      <c r="AM226" s="12">
        <f t="shared" si="10"/>
        <v>448000</v>
      </c>
    </row>
    <row r="227" spans="1:39" ht="13.5" customHeight="1">
      <c r="A227" s="48" t="s">
        <v>84</v>
      </c>
      <c r="B227" s="32">
        <v>24</v>
      </c>
      <c r="C227" s="33" t="s">
        <v>227</v>
      </c>
      <c r="D227" s="33" t="s">
        <v>27</v>
      </c>
      <c r="E227" s="33" t="s">
        <v>949</v>
      </c>
      <c r="F227" s="32" t="s">
        <v>953</v>
      </c>
      <c r="G227" s="46"/>
      <c r="H227" s="46"/>
      <c r="I227" s="46"/>
      <c r="J227" s="34">
        <v>1</v>
      </c>
      <c r="K227" s="34">
        <v>1</v>
      </c>
      <c r="L227" s="34">
        <v>1</v>
      </c>
      <c r="M227" s="34">
        <v>1</v>
      </c>
      <c r="N227" s="34">
        <v>1</v>
      </c>
      <c r="O227" s="34">
        <v>1</v>
      </c>
      <c r="P227" s="34">
        <v>1</v>
      </c>
      <c r="Q227" s="34">
        <v>1</v>
      </c>
      <c r="R227" s="34">
        <v>1</v>
      </c>
      <c r="S227" s="34">
        <v>1</v>
      </c>
      <c r="T227" s="34">
        <v>1</v>
      </c>
      <c r="U227" s="34">
        <v>1</v>
      </c>
      <c r="V227" s="34">
        <v>1</v>
      </c>
      <c r="W227" s="34">
        <v>1</v>
      </c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10">
        <f t="shared" si="9"/>
        <v>14</v>
      </c>
      <c r="AL227" s="11">
        <v>32000</v>
      </c>
      <c r="AM227" s="12">
        <f t="shared" si="10"/>
        <v>448000</v>
      </c>
    </row>
    <row r="228" spans="1:39" ht="13.5" customHeight="1">
      <c r="A228" s="48" t="s">
        <v>84</v>
      </c>
      <c r="B228" s="32">
        <v>24</v>
      </c>
      <c r="C228" s="33" t="s">
        <v>20</v>
      </c>
      <c r="D228" s="33" t="s">
        <v>899</v>
      </c>
      <c r="E228" s="33" t="s">
        <v>41</v>
      </c>
      <c r="F228" s="32" t="s">
        <v>1039</v>
      </c>
      <c r="G228" s="46"/>
      <c r="H228" s="46"/>
      <c r="I228" s="46"/>
      <c r="J228" s="34">
        <v>1</v>
      </c>
      <c r="K228" s="34">
        <v>1</v>
      </c>
      <c r="L228" s="34">
        <v>1</v>
      </c>
      <c r="M228" s="34">
        <v>1</v>
      </c>
      <c r="N228" s="34">
        <v>1</v>
      </c>
      <c r="O228" s="34">
        <v>1</v>
      </c>
      <c r="P228" s="34">
        <v>1</v>
      </c>
      <c r="Q228" s="34">
        <v>1</v>
      </c>
      <c r="R228" s="34">
        <v>1</v>
      </c>
      <c r="S228" s="34">
        <v>1</v>
      </c>
      <c r="T228" s="34">
        <v>1</v>
      </c>
      <c r="U228" s="34">
        <v>1</v>
      </c>
      <c r="V228" s="34">
        <v>1</v>
      </c>
      <c r="W228" s="34">
        <v>1</v>
      </c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10">
        <f t="shared" si="9"/>
        <v>14</v>
      </c>
      <c r="AL228" s="11">
        <v>32000</v>
      </c>
      <c r="AM228" s="12">
        <f t="shared" si="10"/>
        <v>448000</v>
      </c>
    </row>
    <row r="229" spans="1:39" ht="13.5" customHeight="1">
      <c r="A229" s="48" t="s">
        <v>84</v>
      </c>
      <c r="B229" s="32">
        <v>24</v>
      </c>
      <c r="C229" s="33" t="s">
        <v>20</v>
      </c>
      <c r="D229" s="33" t="s">
        <v>599</v>
      </c>
      <c r="E229" s="33" t="s">
        <v>1044</v>
      </c>
      <c r="F229" s="32" t="s">
        <v>1045</v>
      </c>
      <c r="G229" s="46"/>
      <c r="H229" s="46"/>
      <c r="I229" s="46"/>
      <c r="J229" s="34">
        <v>1</v>
      </c>
      <c r="K229" s="34">
        <v>1</v>
      </c>
      <c r="L229" s="34">
        <v>1</v>
      </c>
      <c r="M229" s="34">
        <v>1</v>
      </c>
      <c r="N229" s="34">
        <v>1</v>
      </c>
      <c r="O229" s="34">
        <v>1</v>
      </c>
      <c r="P229" s="34">
        <v>1</v>
      </c>
      <c r="Q229" s="34">
        <v>1</v>
      </c>
      <c r="R229" s="34">
        <v>1</v>
      </c>
      <c r="S229" s="34">
        <v>1</v>
      </c>
      <c r="T229" s="34">
        <v>1</v>
      </c>
      <c r="U229" s="34">
        <v>1</v>
      </c>
      <c r="V229" s="34">
        <v>1</v>
      </c>
      <c r="W229" s="34">
        <v>1</v>
      </c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10">
        <f t="shared" si="5"/>
        <v>14</v>
      </c>
      <c r="AL229" s="11">
        <v>32000</v>
      </c>
      <c r="AM229" s="12">
        <f t="shared" ref="AM229:AM260" si="11">AL229*AK229</f>
        <v>448000</v>
      </c>
    </row>
    <row r="230" spans="1:39" ht="13.5" customHeight="1">
      <c r="A230" s="48" t="s">
        <v>84</v>
      </c>
      <c r="B230" s="32">
        <v>26</v>
      </c>
      <c r="C230" s="33" t="s">
        <v>236</v>
      </c>
      <c r="D230" s="33" t="s">
        <v>202</v>
      </c>
      <c r="E230" s="33" t="s">
        <v>237</v>
      </c>
      <c r="F230" s="32"/>
      <c r="G230" s="46"/>
      <c r="H230" s="46"/>
      <c r="I230" s="46"/>
      <c r="J230" s="34">
        <v>1</v>
      </c>
      <c r="K230" s="34">
        <v>1</v>
      </c>
      <c r="L230" s="34">
        <v>1</v>
      </c>
      <c r="M230" s="34">
        <v>1</v>
      </c>
      <c r="N230" s="34">
        <v>1</v>
      </c>
      <c r="O230" s="34">
        <v>1</v>
      </c>
      <c r="P230" s="34">
        <v>1</v>
      </c>
      <c r="Q230" s="34">
        <v>1</v>
      </c>
      <c r="R230" s="34">
        <v>1</v>
      </c>
      <c r="S230" s="34">
        <v>1</v>
      </c>
      <c r="T230" s="34">
        <v>1</v>
      </c>
      <c r="U230" s="34">
        <v>1</v>
      </c>
      <c r="V230" s="34">
        <v>1</v>
      </c>
      <c r="W230" s="34">
        <v>1</v>
      </c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10">
        <f t="shared" si="5"/>
        <v>14</v>
      </c>
      <c r="AL230" s="11">
        <v>32000</v>
      </c>
      <c r="AM230" s="12">
        <f t="shared" si="11"/>
        <v>448000</v>
      </c>
    </row>
    <row r="231" spans="1:39" ht="13.5" customHeight="1">
      <c r="A231" s="48" t="s">
        <v>84</v>
      </c>
      <c r="B231" s="32">
        <v>26</v>
      </c>
      <c r="C231" s="33" t="s">
        <v>236</v>
      </c>
      <c r="D231" s="33" t="s">
        <v>202</v>
      </c>
      <c r="E231" s="33" t="s">
        <v>217</v>
      </c>
      <c r="F231" s="32"/>
      <c r="G231" s="46"/>
      <c r="H231" s="46"/>
      <c r="I231" s="46"/>
      <c r="J231" s="34">
        <v>1</v>
      </c>
      <c r="K231" s="34">
        <v>1</v>
      </c>
      <c r="L231" s="34">
        <v>1</v>
      </c>
      <c r="M231" s="34">
        <v>1</v>
      </c>
      <c r="N231" s="34">
        <v>1</v>
      </c>
      <c r="O231" s="34">
        <v>1</v>
      </c>
      <c r="P231" s="34">
        <v>1</v>
      </c>
      <c r="Q231" s="34">
        <v>1</v>
      </c>
      <c r="R231" s="34">
        <v>1</v>
      </c>
      <c r="S231" s="34">
        <v>1</v>
      </c>
      <c r="T231" s="34">
        <v>1</v>
      </c>
      <c r="U231" s="34">
        <v>1</v>
      </c>
      <c r="V231" s="34">
        <v>1</v>
      </c>
      <c r="W231" s="34">
        <v>1</v>
      </c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10">
        <f t="shared" si="5"/>
        <v>14</v>
      </c>
      <c r="AL231" s="11">
        <v>32000</v>
      </c>
      <c r="AM231" s="12">
        <f t="shared" si="11"/>
        <v>448000</v>
      </c>
    </row>
    <row r="232" spans="1:39" ht="13.5" customHeight="1">
      <c r="A232" s="48" t="s">
        <v>84</v>
      </c>
      <c r="B232" s="32">
        <v>27</v>
      </c>
      <c r="C232" s="33" t="s">
        <v>272</v>
      </c>
      <c r="D232" s="33" t="s">
        <v>273</v>
      </c>
      <c r="E232" s="33" t="s">
        <v>271</v>
      </c>
      <c r="F232" s="32" t="s">
        <v>280</v>
      </c>
      <c r="G232" s="46"/>
      <c r="H232" s="46"/>
      <c r="I232" s="46"/>
      <c r="J232" s="34">
        <v>1</v>
      </c>
      <c r="K232" s="34">
        <v>1</v>
      </c>
      <c r="L232" s="34">
        <v>1</v>
      </c>
      <c r="M232" s="34">
        <v>1</v>
      </c>
      <c r="N232" s="34">
        <v>1</v>
      </c>
      <c r="O232" s="34">
        <v>1</v>
      </c>
      <c r="P232" s="34">
        <v>1</v>
      </c>
      <c r="Q232" s="34">
        <v>1</v>
      </c>
      <c r="R232" s="34">
        <v>1</v>
      </c>
      <c r="S232" s="34">
        <v>1</v>
      </c>
      <c r="T232" s="34">
        <v>1</v>
      </c>
      <c r="U232" s="34">
        <v>1</v>
      </c>
      <c r="V232" s="34">
        <v>1</v>
      </c>
      <c r="W232" s="34">
        <v>1</v>
      </c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10">
        <f t="shared" si="5"/>
        <v>14</v>
      </c>
      <c r="AL232" s="11">
        <v>32000</v>
      </c>
      <c r="AM232" s="12">
        <f t="shared" si="11"/>
        <v>448000</v>
      </c>
    </row>
    <row r="233" spans="1:39" ht="13.5" customHeight="1">
      <c r="A233" s="48" t="s">
        <v>84</v>
      </c>
      <c r="B233" s="32">
        <v>27</v>
      </c>
      <c r="C233" s="33" t="s">
        <v>63</v>
      </c>
      <c r="D233" s="33" t="s">
        <v>10</v>
      </c>
      <c r="E233" s="33" t="s">
        <v>271</v>
      </c>
      <c r="F233" s="32" t="s">
        <v>281</v>
      </c>
      <c r="G233" s="46"/>
      <c r="H233" s="46"/>
      <c r="I233" s="46"/>
      <c r="J233" s="34">
        <v>1</v>
      </c>
      <c r="K233" s="34">
        <v>1</v>
      </c>
      <c r="L233" s="34">
        <v>1</v>
      </c>
      <c r="M233" s="34">
        <v>1</v>
      </c>
      <c r="N233" s="34">
        <v>1</v>
      </c>
      <c r="O233" s="34">
        <v>1</v>
      </c>
      <c r="P233" s="34">
        <v>1</v>
      </c>
      <c r="Q233" s="34">
        <v>1</v>
      </c>
      <c r="R233" s="34">
        <v>1</v>
      </c>
      <c r="S233" s="34">
        <v>1</v>
      </c>
      <c r="T233" s="34">
        <v>1</v>
      </c>
      <c r="U233" s="34">
        <v>1</v>
      </c>
      <c r="V233" s="34">
        <v>1</v>
      </c>
      <c r="W233" s="34">
        <v>1</v>
      </c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10">
        <f t="shared" si="5"/>
        <v>14</v>
      </c>
      <c r="AL233" s="11">
        <v>32000</v>
      </c>
      <c r="AM233" s="12">
        <f t="shared" si="11"/>
        <v>448000</v>
      </c>
    </row>
    <row r="234" spans="1:39" ht="13.5" customHeight="1">
      <c r="A234" s="48" t="s">
        <v>84</v>
      </c>
      <c r="B234" s="32">
        <v>28</v>
      </c>
      <c r="C234" s="33" t="s">
        <v>677</v>
      </c>
      <c r="D234" s="33" t="s">
        <v>89</v>
      </c>
      <c r="E234" s="33" t="s">
        <v>100</v>
      </c>
      <c r="F234" s="32" t="s">
        <v>687</v>
      </c>
      <c r="G234" s="46"/>
      <c r="H234" s="46"/>
      <c r="I234" s="46"/>
      <c r="J234" s="34">
        <v>1</v>
      </c>
      <c r="K234" s="34">
        <v>1</v>
      </c>
      <c r="L234" s="34">
        <v>1</v>
      </c>
      <c r="M234" s="34">
        <v>1</v>
      </c>
      <c r="N234" s="34">
        <v>1</v>
      </c>
      <c r="O234" s="34">
        <v>1</v>
      </c>
      <c r="P234" s="34">
        <v>1</v>
      </c>
      <c r="Q234" s="34">
        <v>1</v>
      </c>
      <c r="R234" s="34">
        <v>1</v>
      </c>
      <c r="S234" s="34">
        <v>1</v>
      </c>
      <c r="T234" s="34">
        <v>1</v>
      </c>
      <c r="U234" s="34">
        <v>1</v>
      </c>
      <c r="V234" s="34">
        <v>1</v>
      </c>
      <c r="W234" s="34">
        <v>1</v>
      </c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10">
        <f t="shared" si="5"/>
        <v>14</v>
      </c>
      <c r="AL234" s="11">
        <v>32000</v>
      </c>
      <c r="AM234" s="12">
        <f t="shared" si="11"/>
        <v>448000</v>
      </c>
    </row>
    <row r="235" spans="1:39" ht="13.5" customHeight="1">
      <c r="A235" s="48" t="s">
        <v>84</v>
      </c>
      <c r="B235" s="32">
        <v>28</v>
      </c>
      <c r="C235" s="33" t="s">
        <v>204</v>
      </c>
      <c r="D235" s="33" t="s">
        <v>680</v>
      </c>
      <c r="E235" s="33" t="s">
        <v>593</v>
      </c>
      <c r="F235" s="32" t="s">
        <v>685</v>
      </c>
      <c r="G235" s="46"/>
      <c r="H235" s="46"/>
      <c r="I235" s="46"/>
      <c r="J235" s="34">
        <v>1</v>
      </c>
      <c r="K235" s="34">
        <v>1</v>
      </c>
      <c r="L235" s="34">
        <v>1</v>
      </c>
      <c r="M235" s="34">
        <v>1</v>
      </c>
      <c r="N235" s="34">
        <v>1</v>
      </c>
      <c r="O235" s="34">
        <v>1</v>
      </c>
      <c r="P235" s="34">
        <v>1</v>
      </c>
      <c r="Q235" s="34">
        <v>1</v>
      </c>
      <c r="R235" s="34">
        <v>1</v>
      </c>
      <c r="S235" s="34">
        <v>1</v>
      </c>
      <c r="T235" s="34">
        <v>1</v>
      </c>
      <c r="U235" s="34">
        <v>1</v>
      </c>
      <c r="V235" s="34">
        <v>1</v>
      </c>
      <c r="W235" s="34">
        <v>1</v>
      </c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10">
        <f t="shared" si="5"/>
        <v>14</v>
      </c>
      <c r="AL235" s="11">
        <v>32000</v>
      </c>
      <c r="AM235" s="12">
        <f t="shared" si="11"/>
        <v>448000</v>
      </c>
    </row>
    <row r="236" spans="1:39" ht="13.5" customHeight="1">
      <c r="A236" s="48" t="s">
        <v>84</v>
      </c>
      <c r="B236" s="32">
        <v>29</v>
      </c>
      <c r="C236" s="33" t="s">
        <v>264</v>
      </c>
      <c r="D236" s="33" t="s">
        <v>265</v>
      </c>
      <c r="E236" s="33" t="s">
        <v>263</v>
      </c>
      <c r="F236" s="32" t="s">
        <v>268</v>
      </c>
      <c r="G236" s="46"/>
      <c r="H236" s="46"/>
      <c r="I236" s="46"/>
      <c r="J236" s="34">
        <v>1</v>
      </c>
      <c r="K236" s="34">
        <v>1</v>
      </c>
      <c r="L236" s="34">
        <v>1</v>
      </c>
      <c r="M236" s="34">
        <v>1</v>
      </c>
      <c r="N236" s="34">
        <v>1</v>
      </c>
      <c r="O236" s="34">
        <v>1</v>
      </c>
      <c r="P236" s="34">
        <v>1</v>
      </c>
      <c r="Q236" s="34">
        <v>1</v>
      </c>
      <c r="R236" s="34">
        <v>1</v>
      </c>
      <c r="S236" s="34">
        <v>1</v>
      </c>
      <c r="T236" s="34">
        <v>1</v>
      </c>
      <c r="U236" s="34">
        <v>1</v>
      </c>
      <c r="V236" s="34">
        <v>1</v>
      </c>
      <c r="W236" s="34">
        <v>1</v>
      </c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10">
        <f t="shared" si="5"/>
        <v>14</v>
      </c>
      <c r="AL236" s="11">
        <v>32000</v>
      </c>
      <c r="AM236" s="12">
        <f t="shared" si="11"/>
        <v>448000</v>
      </c>
    </row>
    <row r="237" spans="1:39" ht="13.5" customHeight="1">
      <c r="A237" s="48" t="s">
        <v>84</v>
      </c>
      <c r="B237" s="32">
        <v>29</v>
      </c>
      <c r="C237" s="33" t="s">
        <v>111</v>
      </c>
      <c r="D237" s="33" t="s">
        <v>266</v>
      </c>
      <c r="E237" s="33" t="s">
        <v>267</v>
      </c>
      <c r="F237" s="32" t="s">
        <v>551</v>
      </c>
      <c r="G237" s="46"/>
      <c r="H237" s="46"/>
      <c r="I237" s="46"/>
      <c r="J237" s="34">
        <v>1</v>
      </c>
      <c r="K237" s="34">
        <v>1</v>
      </c>
      <c r="L237" s="34">
        <v>1</v>
      </c>
      <c r="M237" s="34">
        <v>1</v>
      </c>
      <c r="N237" s="34">
        <v>1</v>
      </c>
      <c r="O237" s="34">
        <v>1</v>
      </c>
      <c r="P237" s="34">
        <v>1</v>
      </c>
      <c r="Q237" s="34">
        <v>1</v>
      </c>
      <c r="R237" s="34">
        <v>1</v>
      </c>
      <c r="S237" s="34">
        <v>1</v>
      </c>
      <c r="T237" s="34">
        <v>1</v>
      </c>
      <c r="U237" s="34">
        <v>1</v>
      </c>
      <c r="V237" s="34">
        <v>1</v>
      </c>
      <c r="W237" s="34">
        <v>1</v>
      </c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10">
        <f t="shared" si="5"/>
        <v>14</v>
      </c>
      <c r="AL237" s="11">
        <v>32000</v>
      </c>
      <c r="AM237" s="12">
        <f t="shared" si="11"/>
        <v>448000</v>
      </c>
    </row>
    <row r="238" spans="1:39" ht="13.5" customHeight="1">
      <c r="A238" s="48" t="s">
        <v>84</v>
      </c>
      <c r="B238" s="32">
        <v>30</v>
      </c>
      <c r="C238" s="33" t="s">
        <v>262</v>
      </c>
      <c r="D238" s="33" t="s">
        <v>600</v>
      </c>
      <c r="E238" s="33" t="s">
        <v>263</v>
      </c>
      <c r="F238" s="32" t="s">
        <v>269</v>
      </c>
      <c r="G238" s="46"/>
      <c r="H238" s="46"/>
      <c r="I238" s="46"/>
      <c r="J238" s="34">
        <v>1</v>
      </c>
      <c r="K238" s="34">
        <v>1</v>
      </c>
      <c r="L238" s="34">
        <v>1</v>
      </c>
      <c r="M238" s="34">
        <v>1</v>
      </c>
      <c r="N238" s="34">
        <v>1</v>
      </c>
      <c r="O238" s="34">
        <v>1</v>
      </c>
      <c r="P238" s="34">
        <v>1</v>
      </c>
      <c r="Q238" s="34">
        <v>1</v>
      </c>
      <c r="R238" s="34">
        <v>1</v>
      </c>
      <c r="S238" s="34">
        <v>1</v>
      </c>
      <c r="T238" s="34">
        <v>1</v>
      </c>
      <c r="U238" s="34">
        <v>1</v>
      </c>
      <c r="V238" s="34">
        <v>1</v>
      </c>
      <c r="W238" s="34">
        <v>1</v>
      </c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10">
        <f t="shared" si="5"/>
        <v>14</v>
      </c>
      <c r="AL238" s="11">
        <v>32000</v>
      </c>
      <c r="AM238" s="12">
        <f t="shared" si="11"/>
        <v>448000</v>
      </c>
    </row>
    <row r="239" spans="1:39" ht="13.5" customHeight="1">
      <c r="A239" s="48" t="s">
        <v>84</v>
      </c>
      <c r="B239" s="32">
        <v>30</v>
      </c>
      <c r="C239" s="33" t="s">
        <v>247</v>
      </c>
      <c r="D239" s="33" t="s">
        <v>248</v>
      </c>
      <c r="E239" s="33" t="s">
        <v>11</v>
      </c>
      <c r="F239" s="32"/>
      <c r="G239" s="46"/>
      <c r="H239" s="46"/>
      <c r="I239" s="46"/>
      <c r="J239" s="34">
        <v>1</v>
      </c>
      <c r="K239" s="34">
        <v>1</v>
      </c>
      <c r="L239" s="34">
        <v>1</v>
      </c>
      <c r="M239" s="34">
        <v>1</v>
      </c>
      <c r="N239" s="34">
        <v>1</v>
      </c>
      <c r="O239" s="34">
        <v>1</v>
      </c>
      <c r="P239" s="34">
        <v>1</v>
      </c>
      <c r="Q239" s="34">
        <v>1</v>
      </c>
      <c r="R239" s="34">
        <v>1</v>
      </c>
      <c r="S239" s="34">
        <v>1</v>
      </c>
      <c r="T239" s="34">
        <v>1</v>
      </c>
      <c r="U239" s="34">
        <v>1</v>
      </c>
      <c r="V239" s="34">
        <v>1</v>
      </c>
      <c r="W239" s="34">
        <v>1</v>
      </c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10">
        <f t="shared" si="5"/>
        <v>14</v>
      </c>
      <c r="AL239" s="11">
        <v>32000</v>
      </c>
      <c r="AM239" s="12">
        <f t="shared" si="11"/>
        <v>448000</v>
      </c>
    </row>
    <row r="240" spans="1:39" ht="13.5" customHeight="1">
      <c r="A240" s="48" t="s">
        <v>84</v>
      </c>
      <c r="B240" s="32">
        <v>33</v>
      </c>
      <c r="C240" s="33" t="s">
        <v>78</v>
      </c>
      <c r="D240" s="33" t="s">
        <v>249</v>
      </c>
      <c r="E240" s="33" t="s">
        <v>25</v>
      </c>
      <c r="F240" s="32" t="s">
        <v>250</v>
      </c>
      <c r="G240" s="46"/>
      <c r="H240" s="46"/>
      <c r="I240" s="46"/>
      <c r="J240" s="34">
        <v>1</v>
      </c>
      <c r="K240" s="34">
        <v>1</v>
      </c>
      <c r="L240" s="34">
        <v>1</v>
      </c>
      <c r="M240" s="34">
        <v>1</v>
      </c>
      <c r="N240" s="34">
        <v>1</v>
      </c>
      <c r="O240" s="34">
        <v>1</v>
      </c>
      <c r="P240" s="34">
        <v>1</v>
      </c>
      <c r="Q240" s="34">
        <v>1</v>
      </c>
      <c r="R240" s="34">
        <v>1</v>
      </c>
      <c r="S240" s="34">
        <v>1</v>
      </c>
      <c r="T240" s="34">
        <v>1</v>
      </c>
      <c r="U240" s="34">
        <v>1</v>
      </c>
      <c r="V240" s="34">
        <v>1</v>
      </c>
      <c r="W240" s="34">
        <v>1</v>
      </c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10">
        <f t="shared" si="5"/>
        <v>14</v>
      </c>
      <c r="AL240" s="11">
        <v>32000</v>
      </c>
      <c r="AM240" s="12">
        <f t="shared" si="11"/>
        <v>448000</v>
      </c>
    </row>
    <row r="241" spans="1:39" ht="13.5" customHeight="1">
      <c r="A241" s="48" t="s">
        <v>84</v>
      </c>
      <c r="B241" s="32">
        <v>33</v>
      </c>
      <c r="C241" s="33" t="s">
        <v>204</v>
      </c>
      <c r="D241" s="33" t="s">
        <v>205</v>
      </c>
      <c r="E241" s="33" t="s">
        <v>168</v>
      </c>
      <c r="F241" s="32" t="s">
        <v>206</v>
      </c>
      <c r="G241" s="46"/>
      <c r="H241" s="46"/>
      <c r="I241" s="46"/>
      <c r="J241" s="34">
        <v>1</v>
      </c>
      <c r="K241" s="34">
        <v>1</v>
      </c>
      <c r="L241" s="34">
        <v>1</v>
      </c>
      <c r="M241" s="34">
        <v>1</v>
      </c>
      <c r="N241" s="34">
        <v>1</v>
      </c>
      <c r="O241" s="34">
        <v>1</v>
      </c>
      <c r="P241" s="34">
        <v>1</v>
      </c>
      <c r="Q241" s="34">
        <v>1</v>
      </c>
      <c r="R241" s="34">
        <v>1</v>
      </c>
      <c r="S241" s="34">
        <v>1</v>
      </c>
      <c r="T241" s="34">
        <v>1</v>
      </c>
      <c r="U241" s="34">
        <v>1</v>
      </c>
      <c r="V241" s="34">
        <v>1</v>
      </c>
      <c r="W241" s="34">
        <v>1</v>
      </c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10">
        <f t="shared" si="5"/>
        <v>14</v>
      </c>
      <c r="AL241" s="11">
        <v>32000</v>
      </c>
      <c r="AM241" s="12">
        <f t="shared" si="11"/>
        <v>448000</v>
      </c>
    </row>
    <row r="242" spans="1:39" ht="13.5" customHeight="1">
      <c r="A242" s="48" t="s">
        <v>84</v>
      </c>
      <c r="B242" s="32">
        <v>34</v>
      </c>
      <c r="C242" s="33" t="s">
        <v>629</v>
      </c>
      <c r="D242" s="33" t="s">
        <v>27</v>
      </c>
      <c r="E242" s="33" t="s">
        <v>761</v>
      </c>
      <c r="F242" s="32" t="s">
        <v>918</v>
      </c>
      <c r="G242" s="46"/>
      <c r="H242" s="46"/>
      <c r="I242" s="46"/>
      <c r="J242" s="34">
        <v>1</v>
      </c>
      <c r="K242" s="34">
        <v>1</v>
      </c>
      <c r="L242" s="34">
        <v>1</v>
      </c>
      <c r="M242" s="34">
        <v>1</v>
      </c>
      <c r="N242" s="34">
        <v>1</v>
      </c>
      <c r="O242" s="34">
        <v>1</v>
      </c>
      <c r="P242" s="34">
        <v>1</v>
      </c>
      <c r="Q242" s="34">
        <v>1</v>
      </c>
      <c r="R242" s="34">
        <v>1</v>
      </c>
      <c r="S242" s="34">
        <v>1</v>
      </c>
      <c r="T242" s="34">
        <v>1</v>
      </c>
      <c r="U242" s="34">
        <v>1</v>
      </c>
      <c r="V242" s="34">
        <v>1</v>
      </c>
      <c r="W242" s="34">
        <v>1</v>
      </c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10">
        <f t="shared" si="5"/>
        <v>14</v>
      </c>
      <c r="AL242" s="11">
        <v>32000</v>
      </c>
      <c r="AM242" s="12">
        <f t="shared" si="11"/>
        <v>448000</v>
      </c>
    </row>
    <row r="243" spans="1:39" ht="13.5" customHeight="1">
      <c r="A243" s="48" t="s">
        <v>84</v>
      </c>
      <c r="B243" s="32">
        <v>34</v>
      </c>
      <c r="C243" s="33" t="s">
        <v>201</v>
      </c>
      <c r="D243" s="33" t="s">
        <v>202</v>
      </c>
      <c r="E243" s="33" t="s">
        <v>925</v>
      </c>
      <c r="F243" s="32" t="s">
        <v>926</v>
      </c>
      <c r="G243" s="46"/>
      <c r="H243" s="46"/>
      <c r="I243" s="46"/>
      <c r="J243" s="34">
        <v>1</v>
      </c>
      <c r="K243" s="34">
        <v>1</v>
      </c>
      <c r="L243" s="34">
        <v>1</v>
      </c>
      <c r="M243" s="34">
        <v>1</v>
      </c>
      <c r="N243" s="34">
        <v>1</v>
      </c>
      <c r="O243" s="34">
        <v>1</v>
      </c>
      <c r="P243" s="34">
        <v>1</v>
      </c>
      <c r="Q243" s="34">
        <v>1</v>
      </c>
      <c r="R243" s="34">
        <v>1</v>
      </c>
      <c r="S243" s="34">
        <v>1</v>
      </c>
      <c r="T243" s="34">
        <v>1</v>
      </c>
      <c r="U243" s="34">
        <v>1</v>
      </c>
      <c r="V243" s="34">
        <v>1</v>
      </c>
      <c r="W243" s="34">
        <v>1</v>
      </c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10">
        <f t="shared" si="5"/>
        <v>14</v>
      </c>
      <c r="AL243" s="11">
        <v>32000</v>
      </c>
      <c r="AM243" s="12">
        <f t="shared" si="11"/>
        <v>448000</v>
      </c>
    </row>
    <row r="244" spans="1:39" ht="13.5" customHeight="1">
      <c r="A244" s="48" t="s">
        <v>84</v>
      </c>
      <c r="B244" s="32">
        <v>37</v>
      </c>
      <c r="C244" s="33" t="s">
        <v>24</v>
      </c>
      <c r="D244" s="33" t="s">
        <v>189</v>
      </c>
      <c r="E244" s="33" t="s">
        <v>190</v>
      </c>
      <c r="F244" s="32"/>
      <c r="G244" s="46"/>
      <c r="H244" s="46"/>
      <c r="I244" s="46"/>
      <c r="J244" s="34">
        <v>1</v>
      </c>
      <c r="K244" s="34">
        <v>1</v>
      </c>
      <c r="L244" s="34">
        <v>1</v>
      </c>
      <c r="M244" s="34">
        <v>1</v>
      </c>
      <c r="N244" s="34">
        <v>1</v>
      </c>
      <c r="O244" s="34">
        <v>1</v>
      </c>
      <c r="P244" s="34">
        <v>1</v>
      </c>
      <c r="Q244" s="34">
        <v>1</v>
      </c>
      <c r="R244" s="34">
        <v>1</v>
      </c>
      <c r="S244" s="34">
        <v>1</v>
      </c>
      <c r="T244" s="34">
        <v>1</v>
      </c>
      <c r="U244" s="34">
        <v>1</v>
      </c>
      <c r="V244" s="34">
        <v>1</v>
      </c>
      <c r="W244" s="34">
        <v>1</v>
      </c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10">
        <f t="shared" ref="AK244:AK307" si="12">SUM(G244:AJ244)</f>
        <v>14</v>
      </c>
      <c r="AL244" s="11">
        <v>32000</v>
      </c>
      <c r="AM244" s="12">
        <f t="shared" si="11"/>
        <v>448000</v>
      </c>
    </row>
    <row r="245" spans="1:39" ht="13.5" customHeight="1">
      <c r="A245" s="48" t="s">
        <v>84</v>
      </c>
      <c r="B245" s="32">
        <v>37</v>
      </c>
      <c r="C245" s="33" t="s">
        <v>238</v>
      </c>
      <c r="D245" s="33" t="s">
        <v>224</v>
      </c>
      <c r="E245" s="33" t="s">
        <v>239</v>
      </c>
      <c r="F245" s="32" t="s">
        <v>240</v>
      </c>
      <c r="G245" s="46"/>
      <c r="H245" s="46"/>
      <c r="I245" s="46"/>
      <c r="J245" s="34">
        <v>1</v>
      </c>
      <c r="K245" s="34">
        <v>1</v>
      </c>
      <c r="L245" s="34">
        <v>1</v>
      </c>
      <c r="M245" s="34">
        <v>1</v>
      </c>
      <c r="N245" s="34">
        <v>1</v>
      </c>
      <c r="O245" s="34">
        <v>1</v>
      </c>
      <c r="P245" s="34">
        <v>1</v>
      </c>
      <c r="Q245" s="34">
        <v>1</v>
      </c>
      <c r="R245" s="34">
        <v>1</v>
      </c>
      <c r="S245" s="34">
        <v>1</v>
      </c>
      <c r="T245" s="34">
        <v>1</v>
      </c>
      <c r="U245" s="34">
        <v>1</v>
      </c>
      <c r="V245" s="34">
        <v>1</v>
      </c>
      <c r="W245" s="34">
        <v>1</v>
      </c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10">
        <f t="shared" si="12"/>
        <v>14</v>
      </c>
      <c r="AL245" s="11">
        <v>32000</v>
      </c>
      <c r="AM245" s="12">
        <f t="shared" si="11"/>
        <v>448000</v>
      </c>
    </row>
    <row r="246" spans="1:39" ht="13.5" customHeight="1">
      <c r="A246" s="48" t="s">
        <v>84</v>
      </c>
      <c r="B246" s="32">
        <v>38</v>
      </c>
      <c r="C246" s="33" t="s">
        <v>779</v>
      </c>
      <c r="D246" s="33" t="s">
        <v>780</v>
      </c>
      <c r="E246" s="33" t="s">
        <v>337</v>
      </c>
      <c r="F246" s="32" t="s">
        <v>781</v>
      </c>
      <c r="G246" s="46"/>
      <c r="H246" s="46"/>
      <c r="I246" s="46"/>
      <c r="J246" s="34">
        <v>1</v>
      </c>
      <c r="K246" s="34">
        <v>1</v>
      </c>
      <c r="L246" s="34">
        <v>1</v>
      </c>
      <c r="M246" s="34">
        <v>1</v>
      </c>
      <c r="N246" s="34">
        <v>1</v>
      </c>
      <c r="O246" s="34">
        <v>1</v>
      </c>
      <c r="P246" s="34">
        <v>1</v>
      </c>
      <c r="Q246" s="34">
        <v>1</v>
      </c>
      <c r="R246" s="34">
        <v>1</v>
      </c>
      <c r="S246" s="34">
        <v>1</v>
      </c>
      <c r="T246" s="34">
        <v>1</v>
      </c>
      <c r="U246" s="34">
        <v>1</v>
      </c>
      <c r="V246" s="34">
        <v>1</v>
      </c>
      <c r="W246" s="34">
        <v>1</v>
      </c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10">
        <f t="shared" si="12"/>
        <v>14</v>
      </c>
      <c r="AL246" s="11">
        <v>32000</v>
      </c>
      <c r="AM246" s="12">
        <f t="shared" si="11"/>
        <v>448000</v>
      </c>
    </row>
    <row r="247" spans="1:39" ht="13.5" customHeight="1">
      <c r="A247" s="48" t="s">
        <v>84</v>
      </c>
      <c r="B247" s="32">
        <v>38</v>
      </c>
      <c r="C247" s="33" t="s">
        <v>782</v>
      </c>
      <c r="D247" s="33" t="s">
        <v>783</v>
      </c>
      <c r="E247" s="33" t="s">
        <v>259</v>
      </c>
      <c r="F247" s="32" t="s">
        <v>784</v>
      </c>
      <c r="G247" s="46"/>
      <c r="H247" s="46"/>
      <c r="I247" s="46"/>
      <c r="J247" s="34">
        <v>1</v>
      </c>
      <c r="K247" s="34">
        <v>1</v>
      </c>
      <c r="L247" s="34">
        <v>1</v>
      </c>
      <c r="M247" s="34">
        <v>1</v>
      </c>
      <c r="N247" s="34">
        <v>1</v>
      </c>
      <c r="O247" s="34">
        <v>1</v>
      </c>
      <c r="P247" s="34">
        <v>1</v>
      </c>
      <c r="Q247" s="34">
        <v>1</v>
      </c>
      <c r="R247" s="34">
        <v>1</v>
      </c>
      <c r="S247" s="34">
        <v>1</v>
      </c>
      <c r="T247" s="34">
        <v>1</v>
      </c>
      <c r="U247" s="34">
        <v>1</v>
      </c>
      <c r="V247" s="34">
        <v>1</v>
      </c>
      <c r="W247" s="34">
        <v>1</v>
      </c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10">
        <f t="shared" si="12"/>
        <v>14</v>
      </c>
      <c r="AL247" s="11">
        <v>32000</v>
      </c>
      <c r="AM247" s="12">
        <f t="shared" si="11"/>
        <v>448000</v>
      </c>
    </row>
    <row r="248" spans="1:39" ht="13.5" customHeight="1">
      <c r="A248" s="48" t="s">
        <v>84</v>
      </c>
      <c r="B248" s="32">
        <v>40</v>
      </c>
      <c r="C248" s="33" t="s">
        <v>785</v>
      </c>
      <c r="D248" s="33" t="s">
        <v>786</v>
      </c>
      <c r="E248" s="33" t="s">
        <v>787</v>
      </c>
      <c r="F248" s="32" t="s">
        <v>788</v>
      </c>
      <c r="G248" s="46"/>
      <c r="H248" s="46"/>
      <c r="I248" s="46"/>
      <c r="J248" s="34">
        <v>1</v>
      </c>
      <c r="K248" s="34">
        <v>1</v>
      </c>
      <c r="L248" s="34">
        <v>1</v>
      </c>
      <c r="M248" s="34">
        <v>1</v>
      </c>
      <c r="N248" s="34">
        <v>1</v>
      </c>
      <c r="O248" s="34">
        <v>1</v>
      </c>
      <c r="P248" s="34">
        <v>1</v>
      </c>
      <c r="Q248" s="34">
        <v>1</v>
      </c>
      <c r="R248" s="34">
        <v>1</v>
      </c>
      <c r="S248" s="34">
        <v>1</v>
      </c>
      <c r="T248" s="34">
        <v>1</v>
      </c>
      <c r="U248" s="34">
        <v>1</v>
      </c>
      <c r="V248" s="34">
        <v>1</v>
      </c>
      <c r="W248" s="34">
        <v>1</v>
      </c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10">
        <f t="shared" si="12"/>
        <v>14</v>
      </c>
      <c r="AL248" s="11">
        <v>32000</v>
      </c>
      <c r="AM248" s="12">
        <f t="shared" si="11"/>
        <v>448000</v>
      </c>
    </row>
    <row r="249" spans="1:39" ht="13.5" customHeight="1">
      <c r="A249" s="48" t="s">
        <v>84</v>
      </c>
      <c r="B249" s="32">
        <v>40</v>
      </c>
      <c r="C249" s="33" t="s">
        <v>789</v>
      </c>
      <c r="D249" s="33" t="s">
        <v>790</v>
      </c>
      <c r="E249" s="33" t="s">
        <v>168</v>
      </c>
      <c r="F249" s="32" t="s">
        <v>791</v>
      </c>
      <c r="G249" s="46"/>
      <c r="H249" s="46"/>
      <c r="I249" s="46"/>
      <c r="J249" s="34">
        <v>1</v>
      </c>
      <c r="K249" s="34">
        <v>1</v>
      </c>
      <c r="L249" s="34">
        <v>1</v>
      </c>
      <c r="M249" s="34">
        <v>1</v>
      </c>
      <c r="N249" s="34">
        <v>1</v>
      </c>
      <c r="O249" s="34">
        <v>1</v>
      </c>
      <c r="P249" s="34">
        <v>1</v>
      </c>
      <c r="Q249" s="34">
        <v>1</v>
      </c>
      <c r="R249" s="34">
        <v>1</v>
      </c>
      <c r="S249" s="34">
        <v>1</v>
      </c>
      <c r="T249" s="34">
        <v>1</v>
      </c>
      <c r="U249" s="34">
        <v>1</v>
      </c>
      <c r="V249" s="34">
        <v>1</v>
      </c>
      <c r="W249" s="34">
        <v>1</v>
      </c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10">
        <f t="shared" si="12"/>
        <v>14</v>
      </c>
      <c r="AL249" s="11">
        <v>32000</v>
      </c>
      <c r="AM249" s="12">
        <f t="shared" si="11"/>
        <v>448000</v>
      </c>
    </row>
    <row r="250" spans="1:39" ht="13.5" customHeight="1">
      <c r="A250" s="48" t="s">
        <v>84</v>
      </c>
      <c r="B250" s="32">
        <v>41</v>
      </c>
      <c r="C250" s="33" t="s">
        <v>221</v>
      </c>
      <c r="D250" s="33" t="s">
        <v>792</v>
      </c>
      <c r="E250" s="33" t="s">
        <v>93</v>
      </c>
      <c r="F250" s="32" t="s">
        <v>793</v>
      </c>
      <c r="G250" s="46"/>
      <c r="H250" s="46"/>
      <c r="I250" s="46"/>
      <c r="J250" s="34">
        <v>1</v>
      </c>
      <c r="K250" s="34">
        <v>1</v>
      </c>
      <c r="L250" s="34">
        <v>1</v>
      </c>
      <c r="M250" s="34">
        <v>1</v>
      </c>
      <c r="N250" s="34">
        <v>1</v>
      </c>
      <c r="O250" s="34">
        <v>1</v>
      </c>
      <c r="P250" s="34">
        <v>1</v>
      </c>
      <c r="Q250" s="34">
        <v>1</v>
      </c>
      <c r="R250" s="34">
        <v>1</v>
      </c>
      <c r="S250" s="34">
        <v>1</v>
      </c>
      <c r="T250" s="34">
        <v>1</v>
      </c>
      <c r="U250" s="34">
        <v>1</v>
      </c>
      <c r="V250" s="34">
        <v>1</v>
      </c>
      <c r="W250" s="34">
        <v>1</v>
      </c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10">
        <f t="shared" si="12"/>
        <v>14</v>
      </c>
      <c r="AL250" s="11">
        <v>32000</v>
      </c>
      <c r="AM250" s="12">
        <f t="shared" si="11"/>
        <v>448000</v>
      </c>
    </row>
    <row r="251" spans="1:39" ht="13.5" customHeight="1">
      <c r="A251" s="48" t="s">
        <v>84</v>
      </c>
      <c r="B251" s="32">
        <v>41</v>
      </c>
      <c r="C251" s="33" t="s">
        <v>628</v>
      </c>
      <c r="D251" s="33" t="s">
        <v>598</v>
      </c>
      <c r="E251" s="33" t="s">
        <v>11</v>
      </c>
      <c r="F251" s="32" t="s">
        <v>794</v>
      </c>
      <c r="G251" s="46"/>
      <c r="H251" s="46"/>
      <c r="I251" s="46"/>
      <c r="J251" s="34">
        <v>1</v>
      </c>
      <c r="K251" s="34">
        <v>1</v>
      </c>
      <c r="L251" s="34">
        <v>1</v>
      </c>
      <c r="M251" s="34">
        <v>1</v>
      </c>
      <c r="N251" s="34">
        <v>1</v>
      </c>
      <c r="O251" s="34">
        <v>1</v>
      </c>
      <c r="P251" s="34">
        <v>1</v>
      </c>
      <c r="Q251" s="34">
        <v>1</v>
      </c>
      <c r="R251" s="34">
        <v>1</v>
      </c>
      <c r="S251" s="34">
        <v>1</v>
      </c>
      <c r="T251" s="34">
        <v>1</v>
      </c>
      <c r="U251" s="34">
        <v>1</v>
      </c>
      <c r="V251" s="34">
        <v>1</v>
      </c>
      <c r="W251" s="34">
        <v>1</v>
      </c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10">
        <f t="shared" si="12"/>
        <v>14</v>
      </c>
      <c r="AL251" s="11">
        <v>32000</v>
      </c>
      <c r="AM251" s="12">
        <f t="shared" si="11"/>
        <v>448000</v>
      </c>
    </row>
    <row r="252" spans="1:39" ht="13.5" customHeight="1">
      <c r="A252" s="48" t="s">
        <v>84</v>
      </c>
      <c r="B252" s="32">
        <v>42</v>
      </c>
      <c r="C252" s="33" t="s">
        <v>14</v>
      </c>
      <c r="D252" s="33" t="s">
        <v>13</v>
      </c>
      <c r="E252" s="33" t="s">
        <v>347</v>
      </c>
      <c r="F252" s="32" t="s">
        <v>795</v>
      </c>
      <c r="G252" s="46"/>
      <c r="H252" s="46"/>
      <c r="I252" s="46"/>
      <c r="J252" s="34">
        <v>1</v>
      </c>
      <c r="K252" s="34">
        <v>1</v>
      </c>
      <c r="L252" s="34">
        <v>1</v>
      </c>
      <c r="M252" s="34">
        <v>1</v>
      </c>
      <c r="N252" s="34">
        <v>1</v>
      </c>
      <c r="O252" s="34">
        <v>1</v>
      </c>
      <c r="P252" s="34">
        <v>1</v>
      </c>
      <c r="Q252" s="34">
        <v>1</v>
      </c>
      <c r="R252" s="34">
        <v>1</v>
      </c>
      <c r="S252" s="34">
        <v>1</v>
      </c>
      <c r="T252" s="34">
        <v>1</v>
      </c>
      <c r="U252" s="34">
        <v>1</v>
      </c>
      <c r="V252" s="34">
        <v>1</v>
      </c>
      <c r="W252" s="34">
        <v>1</v>
      </c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10">
        <f t="shared" si="12"/>
        <v>14</v>
      </c>
      <c r="AL252" s="11">
        <v>32000</v>
      </c>
      <c r="AM252" s="12">
        <f t="shared" si="11"/>
        <v>448000</v>
      </c>
    </row>
    <row r="253" spans="1:39" ht="13.5" customHeight="1">
      <c r="A253" s="48" t="s">
        <v>84</v>
      </c>
      <c r="B253" s="32">
        <v>42</v>
      </c>
      <c r="C253" s="33" t="s">
        <v>46</v>
      </c>
      <c r="D253" s="33" t="s">
        <v>13</v>
      </c>
      <c r="E253" s="33" t="s">
        <v>64</v>
      </c>
      <c r="F253" s="32" t="s">
        <v>796</v>
      </c>
      <c r="G253" s="46"/>
      <c r="H253" s="46"/>
      <c r="I253" s="46"/>
      <c r="J253" s="34">
        <v>1</v>
      </c>
      <c r="K253" s="34">
        <v>1</v>
      </c>
      <c r="L253" s="34">
        <v>1</v>
      </c>
      <c r="M253" s="34">
        <v>1</v>
      </c>
      <c r="N253" s="34">
        <v>1</v>
      </c>
      <c r="O253" s="34">
        <v>1</v>
      </c>
      <c r="P253" s="34">
        <v>1</v>
      </c>
      <c r="Q253" s="34">
        <v>1</v>
      </c>
      <c r="R253" s="34">
        <v>1</v>
      </c>
      <c r="S253" s="34">
        <v>1</v>
      </c>
      <c r="T253" s="34">
        <v>1</v>
      </c>
      <c r="U253" s="34">
        <v>1</v>
      </c>
      <c r="V253" s="34">
        <v>1</v>
      </c>
      <c r="W253" s="34">
        <v>1</v>
      </c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10">
        <f t="shared" si="12"/>
        <v>14</v>
      </c>
      <c r="AL253" s="11">
        <v>32000</v>
      </c>
      <c r="AM253" s="12">
        <f t="shared" si="11"/>
        <v>448000</v>
      </c>
    </row>
    <row r="254" spans="1:39" ht="13.5" customHeight="1">
      <c r="A254" s="48" t="s">
        <v>84</v>
      </c>
      <c r="B254" s="32">
        <v>43</v>
      </c>
      <c r="C254" s="33" t="s">
        <v>672</v>
      </c>
      <c r="D254" s="33" t="s">
        <v>10</v>
      </c>
      <c r="E254" s="33" t="s">
        <v>41</v>
      </c>
      <c r="F254" s="32" t="s">
        <v>673</v>
      </c>
      <c r="G254" s="46"/>
      <c r="H254" s="46"/>
      <c r="I254" s="46"/>
      <c r="J254" s="34">
        <v>1</v>
      </c>
      <c r="K254" s="34">
        <v>1</v>
      </c>
      <c r="L254" s="34">
        <v>1</v>
      </c>
      <c r="M254" s="34">
        <v>1</v>
      </c>
      <c r="N254" s="34">
        <v>1</v>
      </c>
      <c r="O254" s="34">
        <v>1</v>
      </c>
      <c r="P254" s="34">
        <v>1</v>
      </c>
      <c r="Q254" s="34">
        <v>1</v>
      </c>
      <c r="R254" s="34">
        <v>1</v>
      </c>
      <c r="S254" s="34">
        <v>1</v>
      </c>
      <c r="T254" s="34">
        <v>1</v>
      </c>
      <c r="U254" s="34">
        <v>1</v>
      </c>
      <c r="V254" s="34">
        <v>1</v>
      </c>
      <c r="W254" s="34">
        <v>1</v>
      </c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10">
        <f t="shared" si="12"/>
        <v>14</v>
      </c>
      <c r="AL254" s="11">
        <v>32000</v>
      </c>
      <c r="AM254" s="12">
        <f t="shared" si="11"/>
        <v>448000</v>
      </c>
    </row>
    <row r="255" spans="1:39" ht="13.5" customHeight="1">
      <c r="A255" s="48" t="s">
        <v>84</v>
      </c>
      <c r="B255" s="32">
        <v>43</v>
      </c>
      <c r="C255" s="33" t="s">
        <v>111</v>
      </c>
      <c r="D255" s="33" t="s">
        <v>96</v>
      </c>
      <c r="E255" s="33" t="s">
        <v>423</v>
      </c>
      <c r="F255" s="32" t="s">
        <v>688</v>
      </c>
      <c r="G255" s="46"/>
      <c r="H255" s="46"/>
      <c r="I255" s="46"/>
      <c r="J255" s="34">
        <v>1</v>
      </c>
      <c r="K255" s="34">
        <v>1</v>
      </c>
      <c r="L255" s="34">
        <v>1</v>
      </c>
      <c r="M255" s="34">
        <v>1</v>
      </c>
      <c r="N255" s="34">
        <v>1</v>
      </c>
      <c r="O255" s="34">
        <v>1</v>
      </c>
      <c r="P255" s="34">
        <v>1</v>
      </c>
      <c r="Q255" s="34">
        <v>1</v>
      </c>
      <c r="R255" s="34">
        <v>1</v>
      </c>
      <c r="S255" s="34">
        <v>1</v>
      </c>
      <c r="T255" s="34">
        <v>1</v>
      </c>
      <c r="U255" s="34">
        <v>1</v>
      </c>
      <c r="V255" s="34">
        <v>1</v>
      </c>
      <c r="W255" s="34">
        <v>1</v>
      </c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10">
        <f t="shared" si="12"/>
        <v>14</v>
      </c>
      <c r="AL255" s="11">
        <v>32000</v>
      </c>
      <c r="AM255" s="12">
        <f t="shared" si="11"/>
        <v>448000</v>
      </c>
    </row>
    <row r="256" spans="1:39" ht="13.5" customHeight="1">
      <c r="A256" s="48" t="s">
        <v>84</v>
      </c>
      <c r="B256" s="32">
        <v>43</v>
      </c>
      <c r="C256" s="33" t="s">
        <v>394</v>
      </c>
      <c r="D256" s="33" t="s">
        <v>118</v>
      </c>
      <c r="E256" s="33" t="s">
        <v>64</v>
      </c>
      <c r="F256" s="32" t="s">
        <v>952</v>
      </c>
      <c r="G256" s="46"/>
      <c r="H256" s="46"/>
      <c r="I256" s="46"/>
      <c r="J256" s="34">
        <v>1</v>
      </c>
      <c r="K256" s="34">
        <v>1</v>
      </c>
      <c r="L256" s="34">
        <v>1</v>
      </c>
      <c r="M256" s="34">
        <v>1</v>
      </c>
      <c r="N256" s="34">
        <v>1</v>
      </c>
      <c r="O256" s="34">
        <v>1</v>
      </c>
      <c r="P256" s="34">
        <v>1</v>
      </c>
      <c r="Q256" s="34">
        <v>1</v>
      </c>
      <c r="R256" s="34">
        <v>1</v>
      </c>
      <c r="S256" s="34">
        <v>1</v>
      </c>
      <c r="T256" s="34">
        <v>1</v>
      </c>
      <c r="U256" s="34">
        <v>1</v>
      </c>
      <c r="V256" s="34">
        <v>1</v>
      </c>
      <c r="W256" s="34">
        <v>1</v>
      </c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10">
        <f t="shared" si="12"/>
        <v>14</v>
      </c>
      <c r="AL256" s="11">
        <v>32000</v>
      </c>
      <c r="AM256" s="12">
        <f t="shared" si="11"/>
        <v>448000</v>
      </c>
    </row>
    <row r="257" spans="1:39" ht="13.5" customHeight="1">
      <c r="A257" s="48" t="s">
        <v>84</v>
      </c>
      <c r="B257" s="32">
        <v>44</v>
      </c>
      <c r="C257" s="33" t="s">
        <v>12</v>
      </c>
      <c r="D257" s="33" t="s">
        <v>620</v>
      </c>
      <c r="E257" s="33" t="s">
        <v>25</v>
      </c>
      <c r="F257" s="32"/>
      <c r="G257" s="46"/>
      <c r="H257" s="46"/>
      <c r="I257" s="46"/>
      <c r="J257" s="34">
        <v>1</v>
      </c>
      <c r="K257" s="34">
        <v>1</v>
      </c>
      <c r="L257" s="34">
        <v>1</v>
      </c>
      <c r="M257" s="34">
        <v>1</v>
      </c>
      <c r="N257" s="34">
        <v>1</v>
      </c>
      <c r="O257" s="34">
        <v>1</v>
      </c>
      <c r="P257" s="34">
        <v>1</v>
      </c>
      <c r="Q257" s="34">
        <v>1</v>
      </c>
      <c r="R257" s="34">
        <v>1</v>
      </c>
      <c r="S257" s="34">
        <v>1</v>
      </c>
      <c r="T257" s="34">
        <v>1</v>
      </c>
      <c r="U257" s="34">
        <v>1</v>
      </c>
      <c r="V257" s="34">
        <v>1</v>
      </c>
      <c r="W257" s="34">
        <v>1</v>
      </c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10">
        <f t="shared" si="12"/>
        <v>14</v>
      </c>
      <c r="AL257" s="11">
        <v>32000</v>
      </c>
      <c r="AM257" s="12">
        <f t="shared" si="11"/>
        <v>448000</v>
      </c>
    </row>
    <row r="258" spans="1:39" ht="13.5" customHeight="1">
      <c r="A258" s="48" t="s">
        <v>84</v>
      </c>
      <c r="B258" s="32">
        <v>44</v>
      </c>
      <c r="C258" s="33" t="s">
        <v>138</v>
      </c>
      <c r="D258" s="33" t="s">
        <v>286</v>
      </c>
      <c r="E258" s="33" t="s">
        <v>15</v>
      </c>
      <c r="F258" s="32" t="s">
        <v>940</v>
      </c>
      <c r="G258" s="46"/>
      <c r="H258" s="46"/>
      <c r="I258" s="46"/>
      <c r="J258" s="34">
        <v>1</v>
      </c>
      <c r="K258" s="34">
        <v>1</v>
      </c>
      <c r="L258" s="34">
        <v>1</v>
      </c>
      <c r="M258" s="34">
        <v>1</v>
      </c>
      <c r="N258" s="34">
        <v>1</v>
      </c>
      <c r="O258" s="34">
        <v>1</v>
      </c>
      <c r="P258" s="34">
        <v>1</v>
      </c>
      <c r="Q258" s="34">
        <v>1</v>
      </c>
      <c r="R258" s="34">
        <v>1</v>
      </c>
      <c r="S258" s="34">
        <v>1</v>
      </c>
      <c r="T258" s="34">
        <v>1</v>
      </c>
      <c r="U258" s="34">
        <v>1</v>
      </c>
      <c r="V258" s="34">
        <v>1</v>
      </c>
      <c r="W258" s="34">
        <v>1</v>
      </c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10">
        <f t="shared" si="12"/>
        <v>14</v>
      </c>
      <c r="AL258" s="11">
        <v>32000</v>
      </c>
      <c r="AM258" s="12">
        <f t="shared" si="11"/>
        <v>448000</v>
      </c>
    </row>
    <row r="259" spans="1:39" ht="13.5" customHeight="1">
      <c r="A259" s="48" t="s">
        <v>84</v>
      </c>
      <c r="B259" s="32">
        <v>45</v>
      </c>
      <c r="C259" s="33" t="s">
        <v>299</v>
      </c>
      <c r="D259" s="33" t="s">
        <v>394</v>
      </c>
      <c r="E259" s="33" t="s">
        <v>675</v>
      </c>
      <c r="F259" s="32" t="s">
        <v>690</v>
      </c>
      <c r="G259" s="46"/>
      <c r="H259" s="46"/>
      <c r="I259" s="46"/>
      <c r="J259" s="34">
        <v>1</v>
      </c>
      <c r="K259" s="34">
        <v>1</v>
      </c>
      <c r="L259" s="34">
        <v>1</v>
      </c>
      <c r="M259" s="34">
        <v>1</v>
      </c>
      <c r="N259" s="34">
        <v>1</v>
      </c>
      <c r="O259" s="34">
        <v>1</v>
      </c>
      <c r="P259" s="34">
        <v>1</v>
      </c>
      <c r="Q259" s="34">
        <v>1</v>
      </c>
      <c r="R259" s="34">
        <v>1</v>
      </c>
      <c r="S259" s="34">
        <v>1</v>
      </c>
      <c r="T259" s="34">
        <v>1</v>
      </c>
      <c r="U259" s="34">
        <v>1</v>
      </c>
      <c r="V259" s="34">
        <v>1</v>
      </c>
      <c r="W259" s="34">
        <v>1</v>
      </c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10">
        <f t="shared" si="12"/>
        <v>14</v>
      </c>
      <c r="AL259" s="11">
        <v>32000</v>
      </c>
      <c r="AM259" s="12">
        <f t="shared" si="11"/>
        <v>448000</v>
      </c>
    </row>
    <row r="260" spans="1:39" ht="13.5" customHeight="1">
      <c r="A260" s="48" t="s">
        <v>84</v>
      </c>
      <c r="B260" s="32">
        <v>45</v>
      </c>
      <c r="C260" s="33" t="s">
        <v>118</v>
      </c>
      <c r="D260" s="33" t="s">
        <v>676</v>
      </c>
      <c r="E260" s="33" t="s">
        <v>317</v>
      </c>
      <c r="F260" s="32" t="s">
        <v>689</v>
      </c>
      <c r="G260" s="46"/>
      <c r="H260" s="46"/>
      <c r="I260" s="46"/>
      <c r="J260" s="34">
        <v>1</v>
      </c>
      <c r="K260" s="34">
        <v>1</v>
      </c>
      <c r="L260" s="34">
        <v>1</v>
      </c>
      <c r="M260" s="34">
        <v>1</v>
      </c>
      <c r="N260" s="34">
        <v>1</v>
      </c>
      <c r="O260" s="34">
        <v>1</v>
      </c>
      <c r="P260" s="34">
        <v>1</v>
      </c>
      <c r="Q260" s="34">
        <v>1</v>
      </c>
      <c r="R260" s="34">
        <v>1</v>
      </c>
      <c r="S260" s="34">
        <v>1</v>
      </c>
      <c r="T260" s="34">
        <v>1</v>
      </c>
      <c r="U260" s="34">
        <v>1</v>
      </c>
      <c r="V260" s="34">
        <v>1</v>
      </c>
      <c r="W260" s="34">
        <v>1</v>
      </c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10">
        <f t="shared" si="12"/>
        <v>14</v>
      </c>
      <c r="AL260" s="11">
        <v>32000</v>
      </c>
      <c r="AM260" s="12">
        <f t="shared" si="11"/>
        <v>448000</v>
      </c>
    </row>
    <row r="261" spans="1:39" ht="13.5" customHeight="1">
      <c r="A261" s="48" t="s">
        <v>84</v>
      </c>
      <c r="B261" s="32">
        <v>48</v>
      </c>
      <c r="C261" s="33" t="s">
        <v>616</v>
      </c>
      <c r="D261" s="33" t="s">
        <v>617</v>
      </c>
      <c r="E261" s="33" t="s">
        <v>609</v>
      </c>
      <c r="F261" s="32" t="s">
        <v>624</v>
      </c>
      <c r="G261" s="46"/>
      <c r="H261" s="46"/>
      <c r="I261" s="46"/>
      <c r="J261" s="34">
        <v>1</v>
      </c>
      <c r="K261" s="34">
        <v>1</v>
      </c>
      <c r="L261" s="34">
        <v>1</v>
      </c>
      <c r="M261" s="34">
        <v>1</v>
      </c>
      <c r="N261" s="34">
        <v>1</v>
      </c>
      <c r="O261" s="34">
        <v>1</v>
      </c>
      <c r="P261" s="34">
        <v>1</v>
      </c>
      <c r="Q261" s="34">
        <v>1</v>
      </c>
      <c r="R261" s="34">
        <v>1</v>
      </c>
      <c r="S261" s="34">
        <v>1</v>
      </c>
      <c r="T261" s="34">
        <v>1</v>
      </c>
      <c r="U261" s="34">
        <v>1</v>
      </c>
      <c r="V261" s="34">
        <v>1</v>
      </c>
      <c r="W261" s="34">
        <v>1</v>
      </c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10">
        <f t="shared" si="12"/>
        <v>14</v>
      </c>
      <c r="AL261" s="11">
        <v>32000</v>
      </c>
      <c r="AM261" s="12">
        <f t="shared" ref="AM261:AM292" si="13">AL261*AK261</f>
        <v>448000</v>
      </c>
    </row>
    <row r="262" spans="1:39" ht="13.5" customHeight="1">
      <c r="A262" s="48" t="s">
        <v>84</v>
      </c>
      <c r="B262" s="32">
        <v>48</v>
      </c>
      <c r="C262" s="33" t="s">
        <v>956</v>
      </c>
      <c r="D262" s="33" t="s">
        <v>201</v>
      </c>
      <c r="E262" s="33" t="s">
        <v>408</v>
      </c>
      <c r="F262" s="32" t="s">
        <v>964</v>
      </c>
      <c r="G262" s="46"/>
      <c r="H262" s="46"/>
      <c r="I262" s="46"/>
      <c r="J262" s="34">
        <v>1</v>
      </c>
      <c r="K262" s="34">
        <v>1</v>
      </c>
      <c r="L262" s="34">
        <v>1</v>
      </c>
      <c r="M262" s="34">
        <v>1</v>
      </c>
      <c r="N262" s="34">
        <v>1</v>
      </c>
      <c r="O262" s="34">
        <v>1</v>
      </c>
      <c r="P262" s="34">
        <v>1</v>
      </c>
      <c r="Q262" s="34">
        <v>1</v>
      </c>
      <c r="R262" s="34">
        <v>1</v>
      </c>
      <c r="S262" s="34">
        <v>1</v>
      </c>
      <c r="T262" s="34">
        <v>1</v>
      </c>
      <c r="U262" s="34">
        <v>1</v>
      </c>
      <c r="V262" s="34">
        <v>1</v>
      </c>
      <c r="W262" s="34">
        <v>1</v>
      </c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10">
        <f t="shared" si="12"/>
        <v>14</v>
      </c>
      <c r="AL262" s="11">
        <v>32000</v>
      </c>
      <c r="AM262" s="12">
        <f t="shared" si="13"/>
        <v>448000</v>
      </c>
    </row>
    <row r="263" spans="1:39" ht="13.5" customHeight="1">
      <c r="A263" s="48" t="s">
        <v>84</v>
      </c>
      <c r="B263" s="32">
        <v>48</v>
      </c>
      <c r="C263" s="33" t="s">
        <v>18</v>
      </c>
      <c r="D263" s="33" t="s">
        <v>316</v>
      </c>
      <c r="E263" s="33" t="s">
        <v>904</v>
      </c>
      <c r="F263" s="32" t="s">
        <v>965</v>
      </c>
      <c r="G263" s="46"/>
      <c r="H263" s="46"/>
      <c r="I263" s="46"/>
      <c r="J263" s="34">
        <v>1</v>
      </c>
      <c r="K263" s="34">
        <v>1</v>
      </c>
      <c r="L263" s="34">
        <v>1</v>
      </c>
      <c r="M263" s="34">
        <v>1</v>
      </c>
      <c r="N263" s="34">
        <v>1</v>
      </c>
      <c r="O263" s="34">
        <v>1</v>
      </c>
      <c r="P263" s="34">
        <v>1</v>
      </c>
      <c r="Q263" s="34">
        <v>1</v>
      </c>
      <c r="R263" s="34">
        <v>1</v>
      </c>
      <c r="S263" s="34">
        <v>1</v>
      </c>
      <c r="T263" s="34">
        <v>1</v>
      </c>
      <c r="U263" s="34">
        <v>1</v>
      </c>
      <c r="V263" s="34">
        <v>1</v>
      </c>
      <c r="W263" s="34">
        <v>1</v>
      </c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10">
        <f t="shared" si="12"/>
        <v>14</v>
      </c>
      <c r="AL263" s="11">
        <v>32000</v>
      </c>
      <c r="AM263" s="12">
        <f t="shared" si="13"/>
        <v>448000</v>
      </c>
    </row>
    <row r="264" spans="1:39" ht="13.5" customHeight="1">
      <c r="A264" s="48" t="s">
        <v>84</v>
      </c>
      <c r="B264" s="32">
        <v>51</v>
      </c>
      <c r="C264" s="33" t="s">
        <v>797</v>
      </c>
      <c r="D264" s="33" t="s">
        <v>176</v>
      </c>
      <c r="E264" s="33" t="s">
        <v>29</v>
      </c>
      <c r="F264" s="32" t="s">
        <v>798</v>
      </c>
      <c r="G264" s="46"/>
      <c r="H264" s="46"/>
      <c r="I264" s="46"/>
      <c r="J264" s="34">
        <v>1</v>
      </c>
      <c r="K264" s="34">
        <v>1</v>
      </c>
      <c r="L264" s="34">
        <v>1</v>
      </c>
      <c r="M264" s="34">
        <v>1</v>
      </c>
      <c r="N264" s="34">
        <v>1</v>
      </c>
      <c r="O264" s="34">
        <v>1</v>
      </c>
      <c r="P264" s="34">
        <v>1</v>
      </c>
      <c r="Q264" s="34">
        <v>1</v>
      </c>
      <c r="R264" s="34">
        <v>1</v>
      </c>
      <c r="S264" s="34">
        <v>1</v>
      </c>
      <c r="T264" s="34">
        <v>1</v>
      </c>
      <c r="U264" s="34">
        <v>1</v>
      </c>
      <c r="V264" s="34">
        <v>1</v>
      </c>
      <c r="W264" s="34">
        <v>1</v>
      </c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10">
        <f t="shared" si="12"/>
        <v>14</v>
      </c>
      <c r="AL264" s="11">
        <v>32000</v>
      </c>
      <c r="AM264" s="12">
        <f t="shared" si="13"/>
        <v>448000</v>
      </c>
    </row>
    <row r="265" spans="1:39" ht="13.5" customHeight="1">
      <c r="A265" s="48" t="s">
        <v>84</v>
      </c>
      <c r="B265" s="32">
        <v>51</v>
      </c>
      <c r="C265" s="33" t="s">
        <v>201</v>
      </c>
      <c r="D265" s="33" t="s">
        <v>799</v>
      </c>
      <c r="E265" s="33" t="s">
        <v>192</v>
      </c>
      <c r="F265" s="32" t="s">
        <v>800</v>
      </c>
      <c r="G265" s="46"/>
      <c r="H265" s="46"/>
      <c r="I265" s="46"/>
      <c r="J265" s="34">
        <v>1</v>
      </c>
      <c r="K265" s="34">
        <v>1</v>
      </c>
      <c r="L265" s="34">
        <v>1</v>
      </c>
      <c r="M265" s="34">
        <v>1</v>
      </c>
      <c r="N265" s="34">
        <v>1</v>
      </c>
      <c r="O265" s="34">
        <v>1</v>
      </c>
      <c r="P265" s="34">
        <v>1</v>
      </c>
      <c r="Q265" s="34">
        <v>1</v>
      </c>
      <c r="R265" s="34">
        <v>1</v>
      </c>
      <c r="S265" s="34">
        <v>1</v>
      </c>
      <c r="T265" s="34">
        <v>1</v>
      </c>
      <c r="U265" s="34">
        <v>1</v>
      </c>
      <c r="V265" s="34">
        <v>1</v>
      </c>
      <c r="W265" s="34">
        <v>1</v>
      </c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10">
        <f t="shared" si="12"/>
        <v>14</v>
      </c>
      <c r="AL265" s="11">
        <v>32000</v>
      </c>
      <c r="AM265" s="12">
        <f t="shared" si="13"/>
        <v>448000</v>
      </c>
    </row>
    <row r="266" spans="1:39" ht="13.5" customHeight="1">
      <c r="A266" s="48" t="s">
        <v>84</v>
      </c>
      <c r="B266" s="32">
        <v>52</v>
      </c>
      <c r="C266" s="33" t="s">
        <v>769</v>
      </c>
      <c r="D266" s="33" t="s">
        <v>770</v>
      </c>
      <c r="E266" s="33" t="s">
        <v>41</v>
      </c>
      <c r="F266" s="32" t="s">
        <v>771</v>
      </c>
      <c r="G266" s="46"/>
      <c r="H266" s="46"/>
      <c r="I266" s="46"/>
      <c r="J266" s="34">
        <v>1</v>
      </c>
      <c r="K266" s="34">
        <v>1</v>
      </c>
      <c r="L266" s="34">
        <v>1</v>
      </c>
      <c r="M266" s="34">
        <v>1</v>
      </c>
      <c r="N266" s="34">
        <v>1</v>
      </c>
      <c r="O266" s="34">
        <v>1</v>
      </c>
      <c r="P266" s="34">
        <v>1</v>
      </c>
      <c r="Q266" s="34">
        <v>1</v>
      </c>
      <c r="R266" s="34">
        <v>1</v>
      </c>
      <c r="S266" s="34">
        <v>1</v>
      </c>
      <c r="T266" s="34">
        <v>1</v>
      </c>
      <c r="U266" s="34">
        <v>1</v>
      </c>
      <c r="V266" s="34">
        <v>1</v>
      </c>
      <c r="W266" s="34">
        <v>1</v>
      </c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10">
        <f t="shared" si="12"/>
        <v>14</v>
      </c>
      <c r="AL266" s="11">
        <v>32000</v>
      </c>
      <c r="AM266" s="12">
        <f t="shared" si="13"/>
        <v>448000</v>
      </c>
    </row>
    <row r="267" spans="1:39" ht="13.5" customHeight="1">
      <c r="A267" s="48" t="s">
        <v>84</v>
      </c>
      <c r="B267" s="32">
        <v>52</v>
      </c>
      <c r="C267" s="33" t="s">
        <v>366</v>
      </c>
      <c r="D267" s="33" t="s">
        <v>251</v>
      </c>
      <c r="E267" s="33" t="s">
        <v>293</v>
      </c>
      <c r="F267" s="32" t="s">
        <v>801</v>
      </c>
      <c r="G267" s="46"/>
      <c r="H267" s="46"/>
      <c r="I267" s="46"/>
      <c r="J267" s="34">
        <v>1</v>
      </c>
      <c r="K267" s="34">
        <v>1</v>
      </c>
      <c r="L267" s="34">
        <v>1</v>
      </c>
      <c r="M267" s="34">
        <v>1</v>
      </c>
      <c r="N267" s="34">
        <v>1</v>
      </c>
      <c r="O267" s="34">
        <v>1</v>
      </c>
      <c r="P267" s="34">
        <v>1</v>
      </c>
      <c r="Q267" s="34">
        <v>1</v>
      </c>
      <c r="R267" s="34">
        <v>1</v>
      </c>
      <c r="S267" s="34">
        <v>1</v>
      </c>
      <c r="T267" s="34">
        <v>1</v>
      </c>
      <c r="U267" s="34">
        <v>1</v>
      </c>
      <c r="V267" s="34">
        <v>1</v>
      </c>
      <c r="W267" s="34">
        <v>1</v>
      </c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10">
        <f t="shared" si="12"/>
        <v>14</v>
      </c>
      <c r="AL267" s="11">
        <v>32000</v>
      </c>
      <c r="AM267" s="12">
        <f t="shared" si="13"/>
        <v>448000</v>
      </c>
    </row>
    <row r="268" spans="1:39" ht="13.5" customHeight="1">
      <c r="A268" s="48" t="s">
        <v>84</v>
      </c>
      <c r="B268" s="32">
        <v>52</v>
      </c>
      <c r="C268" s="33" t="s">
        <v>247</v>
      </c>
      <c r="D268" s="33" t="s">
        <v>97</v>
      </c>
      <c r="E268" s="33" t="s">
        <v>859</v>
      </c>
      <c r="F268" s="32" t="s">
        <v>860</v>
      </c>
      <c r="G268" s="46"/>
      <c r="H268" s="46"/>
      <c r="I268" s="46"/>
      <c r="J268" s="34">
        <v>1</v>
      </c>
      <c r="K268" s="34">
        <v>1</v>
      </c>
      <c r="L268" s="34">
        <v>1</v>
      </c>
      <c r="M268" s="34">
        <v>1</v>
      </c>
      <c r="N268" s="34">
        <v>1</v>
      </c>
      <c r="O268" s="34">
        <v>1</v>
      </c>
      <c r="P268" s="34">
        <v>1</v>
      </c>
      <c r="Q268" s="34">
        <v>1</v>
      </c>
      <c r="R268" s="34">
        <v>1</v>
      </c>
      <c r="S268" s="34">
        <v>1</v>
      </c>
      <c r="T268" s="34">
        <v>1</v>
      </c>
      <c r="U268" s="34">
        <v>1</v>
      </c>
      <c r="V268" s="34">
        <v>1</v>
      </c>
      <c r="W268" s="34">
        <v>1</v>
      </c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10">
        <f t="shared" si="12"/>
        <v>14</v>
      </c>
      <c r="AL268" s="11">
        <v>32000</v>
      </c>
      <c r="AM268" s="12">
        <f t="shared" si="13"/>
        <v>448000</v>
      </c>
    </row>
    <row r="269" spans="1:39" ht="13.5" customHeight="1">
      <c r="A269" s="48" t="s">
        <v>84</v>
      </c>
      <c r="B269" s="32">
        <v>54</v>
      </c>
      <c r="C269" s="33" t="s">
        <v>802</v>
      </c>
      <c r="D269" s="33" t="s">
        <v>292</v>
      </c>
      <c r="E269" s="33" t="s">
        <v>168</v>
      </c>
      <c r="F269" s="32" t="s">
        <v>803</v>
      </c>
      <c r="G269" s="46"/>
      <c r="H269" s="46"/>
      <c r="I269" s="46"/>
      <c r="J269" s="34">
        <v>1</v>
      </c>
      <c r="K269" s="34">
        <v>1</v>
      </c>
      <c r="L269" s="34">
        <v>1</v>
      </c>
      <c r="M269" s="34">
        <v>1</v>
      </c>
      <c r="N269" s="34">
        <v>1</v>
      </c>
      <c r="O269" s="34">
        <v>1</v>
      </c>
      <c r="P269" s="34">
        <v>1</v>
      </c>
      <c r="Q269" s="34">
        <v>1</v>
      </c>
      <c r="R269" s="34">
        <v>1</v>
      </c>
      <c r="S269" s="34">
        <v>1</v>
      </c>
      <c r="T269" s="34">
        <v>1</v>
      </c>
      <c r="U269" s="34">
        <v>1</v>
      </c>
      <c r="V269" s="34">
        <v>1</v>
      </c>
      <c r="W269" s="34">
        <v>1</v>
      </c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10">
        <f t="shared" si="12"/>
        <v>14</v>
      </c>
      <c r="AL269" s="11">
        <v>32000</v>
      </c>
      <c r="AM269" s="12">
        <f t="shared" si="13"/>
        <v>448000</v>
      </c>
    </row>
    <row r="270" spans="1:39" ht="13.5" customHeight="1">
      <c r="A270" s="48" t="s">
        <v>84</v>
      </c>
      <c r="B270" s="32">
        <v>54</v>
      </c>
      <c r="C270" s="33" t="s">
        <v>257</v>
      </c>
      <c r="D270" s="33" t="s">
        <v>804</v>
      </c>
      <c r="E270" s="33" t="s">
        <v>11</v>
      </c>
      <c r="F270" s="32" t="s">
        <v>805</v>
      </c>
      <c r="G270" s="46"/>
      <c r="H270" s="46"/>
      <c r="I270" s="46"/>
      <c r="J270" s="34">
        <v>1</v>
      </c>
      <c r="K270" s="34">
        <v>1</v>
      </c>
      <c r="L270" s="34">
        <v>1</v>
      </c>
      <c r="M270" s="34">
        <v>1</v>
      </c>
      <c r="N270" s="34">
        <v>1</v>
      </c>
      <c r="O270" s="34">
        <v>1</v>
      </c>
      <c r="P270" s="34">
        <v>1</v>
      </c>
      <c r="Q270" s="34">
        <v>1</v>
      </c>
      <c r="R270" s="34">
        <v>1</v>
      </c>
      <c r="S270" s="34">
        <v>1</v>
      </c>
      <c r="T270" s="34">
        <v>1</v>
      </c>
      <c r="U270" s="34">
        <v>1</v>
      </c>
      <c r="V270" s="34">
        <v>1</v>
      </c>
      <c r="W270" s="34">
        <v>1</v>
      </c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10">
        <f t="shared" si="12"/>
        <v>14</v>
      </c>
      <c r="AL270" s="11">
        <v>32000</v>
      </c>
      <c r="AM270" s="12">
        <f t="shared" si="13"/>
        <v>448000</v>
      </c>
    </row>
    <row r="271" spans="1:39" ht="13.5" customHeight="1">
      <c r="A271" s="48" t="s">
        <v>84</v>
      </c>
      <c r="B271" s="32">
        <v>57</v>
      </c>
      <c r="C271" s="33" t="s">
        <v>191</v>
      </c>
      <c r="D271" s="33" t="s">
        <v>807</v>
      </c>
      <c r="E271" s="33" t="s">
        <v>192</v>
      </c>
      <c r="F271" s="32" t="s">
        <v>808</v>
      </c>
      <c r="G271" s="46"/>
      <c r="H271" s="46"/>
      <c r="I271" s="46"/>
      <c r="J271" s="34">
        <v>1</v>
      </c>
      <c r="K271" s="34">
        <v>1</v>
      </c>
      <c r="L271" s="34">
        <v>1</v>
      </c>
      <c r="M271" s="34">
        <v>1</v>
      </c>
      <c r="N271" s="34">
        <v>1</v>
      </c>
      <c r="O271" s="34">
        <v>1</v>
      </c>
      <c r="P271" s="34">
        <v>1</v>
      </c>
      <c r="Q271" s="34">
        <v>1</v>
      </c>
      <c r="R271" s="34">
        <v>1</v>
      </c>
      <c r="S271" s="34">
        <v>1</v>
      </c>
      <c r="T271" s="34">
        <v>1</v>
      </c>
      <c r="U271" s="34">
        <v>1</v>
      </c>
      <c r="V271" s="34">
        <v>1</v>
      </c>
      <c r="W271" s="34">
        <v>1</v>
      </c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10">
        <f t="shared" si="12"/>
        <v>14</v>
      </c>
      <c r="AL271" s="11">
        <v>32000</v>
      </c>
      <c r="AM271" s="12">
        <f t="shared" si="13"/>
        <v>448000</v>
      </c>
    </row>
    <row r="272" spans="1:39" ht="13.5" customHeight="1">
      <c r="A272" s="48" t="s">
        <v>84</v>
      </c>
      <c r="B272" s="32">
        <v>57</v>
      </c>
      <c r="C272" s="33" t="s">
        <v>167</v>
      </c>
      <c r="D272" s="33" t="s">
        <v>12</v>
      </c>
      <c r="E272" s="33" t="s">
        <v>11</v>
      </c>
      <c r="F272" s="32" t="s">
        <v>891</v>
      </c>
      <c r="G272" s="46"/>
      <c r="H272" s="46"/>
      <c r="I272" s="46"/>
      <c r="J272" s="34">
        <v>1</v>
      </c>
      <c r="K272" s="34">
        <v>1</v>
      </c>
      <c r="L272" s="34">
        <v>1</v>
      </c>
      <c r="M272" s="34">
        <v>1</v>
      </c>
      <c r="N272" s="34">
        <v>1</v>
      </c>
      <c r="O272" s="34">
        <v>1</v>
      </c>
      <c r="P272" s="34">
        <v>1</v>
      </c>
      <c r="Q272" s="34">
        <v>1</v>
      </c>
      <c r="R272" s="34">
        <v>1</v>
      </c>
      <c r="S272" s="34">
        <v>1</v>
      </c>
      <c r="T272" s="34">
        <v>1</v>
      </c>
      <c r="U272" s="34">
        <v>1</v>
      </c>
      <c r="V272" s="34">
        <v>1</v>
      </c>
      <c r="W272" s="34">
        <v>1</v>
      </c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10">
        <f t="shared" si="12"/>
        <v>14</v>
      </c>
      <c r="AL272" s="11">
        <v>32000</v>
      </c>
      <c r="AM272" s="12">
        <f t="shared" si="13"/>
        <v>448000</v>
      </c>
    </row>
    <row r="273" spans="1:39" ht="13.5" customHeight="1">
      <c r="A273" s="48" t="s">
        <v>84</v>
      </c>
      <c r="B273" s="32">
        <v>58</v>
      </c>
      <c r="C273" s="33" t="s">
        <v>597</v>
      </c>
      <c r="D273" s="33" t="s">
        <v>153</v>
      </c>
      <c r="E273" s="33" t="s">
        <v>64</v>
      </c>
      <c r="F273" s="32" t="s">
        <v>809</v>
      </c>
      <c r="G273" s="46"/>
      <c r="H273" s="46"/>
      <c r="I273" s="46"/>
      <c r="J273" s="34">
        <v>1</v>
      </c>
      <c r="K273" s="34">
        <v>1</v>
      </c>
      <c r="L273" s="34">
        <v>1</v>
      </c>
      <c r="M273" s="34">
        <v>1</v>
      </c>
      <c r="N273" s="34">
        <v>1</v>
      </c>
      <c r="O273" s="34">
        <v>1</v>
      </c>
      <c r="P273" s="34">
        <v>1</v>
      </c>
      <c r="Q273" s="34">
        <v>1</v>
      </c>
      <c r="R273" s="34">
        <v>1</v>
      </c>
      <c r="S273" s="34">
        <v>1</v>
      </c>
      <c r="T273" s="34">
        <v>1</v>
      </c>
      <c r="U273" s="34">
        <v>1</v>
      </c>
      <c r="V273" s="34">
        <v>1</v>
      </c>
      <c r="W273" s="34">
        <v>1</v>
      </c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10">
        <f t="shared" si="12"/>
        <v>14</v>
      </c>
      <c r="AL273" s="11">
        <v>32000</v>
      </c>
      <c r="AM273" s="12">
        <f t="shared" si="13"/>
        <v>448000</v>
      </c>
    </row>
    <row r="274" spans="1:39" ht="13.5" customHeight="1">
      <c r="A274" s="48" t="s">
        <v>84</v>
      </c>
      <c r="B274" s="32">
        <v>58</v>
      </c>
      <c r="C274" s="33" t="s">
        <v>147</v>
      </c>
      <c r="D274" s="33" t="s">
        <v>810</v>
      </c>
      <c r="E274" s="33" t="s">
        <v>237</v>
      </c>
      <c r="F274" s="32" t="s">
        <v>811</v>
      </c>
      <c r="G274" s="46"/>
      <c r="H274" s="46"/>
      <c r="I274" s="46"/>
      <c r="J274" s="34">
        <v>1</v>
      </c>
      <c r="K274" s="34">
        <v>1</v>
      </c>
      <c r="L274" s="34">
        <v>1</v>
      </c>
      <c r="M274" s="34">
        <v>1</v>
      </c>
      <c r="N274" s="34">
        <v>1</v>
      </c>
      <c r="O274" s="34">
        <v>1</v>
      </c>
      <c r="P274" s="34">
        <v>1</v>
      </c>
      <c r="Q274" s="34">
        <v>1</v>
      </c>
      <c r="R274" s="34">
        <v>1</v>
      </c>
      <c r="S274" s="34">
        <v>1</v>
      </c>
      <c r="T274" s="34">
        <v>1</v>
      </c>
      <c r="U274" s="34">
        <v>1</v>
      </c>
      <c r="V274" s="34">
        <v>1</v>
      </c>
      <c r="W274" s="34">
        <v>1</v>
      </c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10">
        <f t="shared" si="12"/>
        <v>14</v>
      </c>
      <c r="AL274" s="11">
        <v>32000</v>
      </c>
      <c r="AM274" s="12">
        <f t="shared" si="13"/>
        <v>448000</v>
      </c>
    </row>
    <row r="275" spans="1:39" ht="13.5" customHeight="1">
      <c r="A275" s="48" t="s">
        <v>84</v>
      </c>
      <c r="B275" s="32">
        <v>59</v>
      </c>
      <c r="C275" s="33" t="s">
        <v>812</v>
      </c>
      <c r="D275" s="33" t="s">
        <v>486</v>
      </c>
      <c r="E275" s="33" t="s">
        <v>813</v>
      </c>
      <c r="F275" s="32" t="s">
        <v>814</v>
      </c>
      <c r="G275" s="46"/>
      <c r="H275" s="46"/>
      <c r="I275" s="46"/>
      <c r="J275" s="34">
        <v>1</v>
      </c>
      <c r="K275" s="34">
        <v>1</v>
      </c>
      <c r="L275" s="34">
        <v>1</v>
      </c>
      <c r="M275" s="34">
        <v>1</v>
      </c>
      <c r="N275" s="34">
        <v>1</v>
      </c>
      <c r="O275" s="34">
        <v>1</v>
      </c>
      <c r="P275" s="34">
        <v>1</v>
      </c>
      <c r="Q275" s="34">
        <v>1</v>
      </c>
      <c r="R275" s="34">
        <v>1</v>
      </c>
      <c r="S275" s="34">
        <v>1</v>
      </c>
      <c r="T275" s="34">
        <v>1</v>
      </c>
      <c r="U275" s="34">
        <v>1</v>
      </c>
      <c r="V275" s="34">
        <v>1</v>
      </c>
      <c r="W275" s="34">
        <v>1</v>
      </c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10">
        <f t="shared" si="12"/>
        <v>14</v>
      </c>
      <c r="AL275" s="11">
        <v>32000</v>
      </c>
      <c r="AM275" s="12">
        <f t="shared" si="13"/>
        <v>448000</v>
      </c>
    </row>
    <row r="276" spans="1:39" ht="13.5" customHeight="1">
      <c r="A276" s="48" t="s">
        <v>84</v>
      </c>
      <c r="B276" s="32">
        <v>59</v>
      </c>
      <c r="C276" s="33" t="s">
        <v>815</v>
      </c>
      <c r="D276" s="33" t="s">
        <v>816</v>
      </c>
      <c r="E276" s="33" t="s">
        <v>9</v>
      </c>
      <c r="F276" s="32" t="s">
        <v>817</v>
      </c>
      <c r="G276" s="46"/>
      <c r="H276" s="46"/>
      <c r="I276" s="46"/>
      <c r="J276" s="34">
        <v>1</v>
      </c>
      <c r="K276" s="34">
        <v>1</v>
      </c>
      <c r="L276" s="34">
        <v>1</v>
      </c>
      <c r="M276" s="34">
        <v>1</v>
      </c>
      <c r="N276" s="34">
        <v>1</v>
      </c>
      <c r="O276" s="34">
        <v>1</v>
      </c>
      <c r="P276" s="34">
        <v>1</v>
      </c>
      <c r="Q276" s="34">
        <v>1</v>
      </c>
      <c r="R276" s="34">
        <v>1</v>
      </c>
      <c r="S276" s="34">
        <v>1</v>
      </c>
      <c r="T276" s="34">
        <v>1</v>
      </c>
      <c r="U276" s="34">
        <v>1</v>
      </c>
      <c r="V276" s="34">
        <v>1</v>
      </c>
      <c r="W276" s="34">
        <v>1</v>
      </c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10">
        <f t="shared" si="12"/>
        <v>14</v>
      </c>
      <c r="AL276" s="11">
        <v>32000</v>
      </c>
      <c r="AM276" s="12">
        <f t="shared" si="13"/>
        <v>448000</v>
      </c>
    </row>
    <row r="277" spans="1:39" ht="13.5" customHeight="1">
      <c r="A277" s="48" t="s">
        <v>84</v>
      </c>
      <c r="B277" s="32">
        <v>61</v>
      </c>
      <c r="C277" s="33" t="s">
        <v>601</v>
      </c>
      <c r="D277" s="33" t="s">
        <v>529</v>
      </c>
      <c r="E277" s="33" t="s">
        <v>818</v>
      </c>
      <c r="F277" s="32" t="s">
        <v>819</v>
      </c>
      <c r="G277" s="46"/>
      <c r="H277" s="46"/>
      <c r="I277" s="46"/>
      <c r="J277" s="34">
        <v>1</v>
      </c>
      <c r="K277" s="34">
        <v>1</v>
      </c>
      <c r="L277" s="34">
        <v>1</v>
      </c>
      <c r="M277" s="34">
        <v>1</v>
      </c>
      <c r="N277" s="34">
        <v>1</v>
      </c>
      <c r="O277" s="34">
        <v>1</v>
      </c>
      <c r="P277" s="34">
        <v>1</v>
      </c>
      <c r="Q277" s="34">
        <v>1</v>
      </c>
      <c r="R277" s="34">
        <v>1</v>
      </c>
      <c r="S277" s="34">
        <v>1</v>
      </c>
      <c r="T277" s="34">
        <v>1</v>
      </c>
      <c r="U277" s="34">
        <v>1</v>
      </c>
      <c r="V277" s="34">
        <v>1</v>
      </c>
      <c r="W277" s="34">
        <v>1</v>
      </c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10">
        <f t="shared" si="12"/>
        <v>14</v>
      </c>
      <c r="AL277" s="11">
        <v>32000</v>
      </c>
      <c r="AM277" s="12">
        <f t="shared" si="13"/>
        <v>448000</v>
      </c>
    </row>
    <row r="278" spans="1:39" ht="13.5" customHeight="1">
      <c r="A278" s="48" t="s">
        <v>84</v>
      </c>
      <c r="B278" s="32">
        <v>61</v>
      </c>
      <c r="C278" s="33" t="s">
        <v>247</v>
      </c>
      <c r="D278" s="33" t="s">
        <v>97</v>
      </c>
      <c r="E278" s="33" t="s">
        <v>859</v>
      </c>
      <c r="F278" s="32" t="s">
        <v>860</v>
      </c>
      <c r="G278" s="46"/>
      <c r="H278" s="46"/>
      <c r="I278" s="46"/>
      <c r="J278" s="34">
        <v>1</v>
      </c>
      <c r="K278" s="34">
        <v>1</v>
      </c>
      <c r="L278" s="34">
        <v>1</v>
      </c>
      <c r="M278" s="34">
        <v>1</v>
      </c>
      <c r="N278" s="34">
        <v>1</v>
      </c>
      <c r="O278" s="34">
        <v>1</v>
      </c>
      <c r="P278" s="34">
        <v>1</v>
      </c>
      <c r="Q278" s="34">
        <v>1</v>
      </c>
      <c r="R278" s="34">
        <v>1</v>
      </c>
      <c r="S278" s="34">
        <v>1</v>
      </c>
      <c r="T278" s="34">
        <v>1</v>
      </c>
      <c r="U278" s="34">
        <v>1</v>
      </c>
      <c r="V278" s="34">
        <v>1</v>
      </c>
      <c r="W278" s="34">
        <v>1</v>
      </c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10">
        <f t="shared" si="12"/>
        <v>14</v>
      </c>
      <c r="AL278" s="11">
        <v>32000</v>
      </c>
      <c r="AM278" s="12">
        <f t="shared" si="13"/>
        <v>448000</v>
      </c>
    </row>
    <row r="279" spans="1:39" ht="13.5" customHeight="1">
      <c r="A279" s="48" t="s">
        <v>84</v>
      </c>
      <c r="B279" s="32">
        <v>61</v>
      </c>
      <c r="C279" s="33" t="s">
        <v>13</v>
      </c>
      <c r="D279" s="33" t="s">
        <v>46</v>
      </c>
      <c r="E279" s="33" t="s">
        <v>408</v>
      </c>
      <c r="F279" s="32" t="s">
        <v>906</v>
      </c>
      <c r="G279" s="46"/>
      <c r="H279" s="46"/>
      <c r="I279" s="46"/>
      <c r="J279" s="34">
        <v>1</v>
      </c>
      <c r="K279" s="34">
        <v>1</v>
      </c>
      <c r="L279" s="34">
        <v>1</v>
      </c>
      <c r="M279" s="34">
        <v>1</v>
      </c>
      <c r="N279" s="34">
        <v>1</v>
      </c>
      <c r="O279" s="34">
        <v>1</v>
      </c>
      <c r="P279" s="34">
        <v>1</v>
      </c>
      <c r="Q279" s="34">
        <v>1</v>
      </c>
      <c r="R279" s="34">
        <v>1</v>
      </c>
      <c r="S279" s="34">
        <v>1</v>
      </c>
      <c r="T279" s="34">
        <v>1</v>
      </c>
      <c r="U279" s="34">
        <v>1</v>
      </c>
      <c r="V279" s="34">
        <v>1</v>
      </c>
      <c r="W279" s="34">
        <v>1</v>
      </c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10">
        <f t="shared" si="12"/>
        <v>14</v>
      </c>
      <c r="AL279" s="11">
        <v>32000</v>
      </c>
      <c r="AM279" s="12">
        <f t="shared" si="13"/>
        <v>448000</v>
      </c>
    </row>
    <row r="280" spans="1:39" ht="13.5" customHeight="1">
      <c r="A280" s="48" t="s">
        <v>84</v>
      </c>
      <c r="B280" s="32">
        <v>63</v>
      </c>
      <c r="C280" s="33" t="s">
        <v>820</v>
      </c>
      <c r="D280" s="33" t="s">
        <v>821</v>
      </c>
      <c r="E280" s="33" t="s">
        <v>200</v>
      </c>
      <c r="F280" s="32" t="s">
        <v>822</v>
      </c>
      <c r="G280" s="46"/>
      <c r="H280" s="46"/>
      <c r="I280" s="46"/>
      <c r="J280" s="34">
        <v>1</v>
      </c>
      <c r="K280" s="34">
        <v>1</v>
      </c>
      <c r="L280" s="34">
        <v>1</v>
      </c>
      <c r="M280" s="34">
        <v>1</v>
      </c>
      <c r="N280" s="34">
        <v>1</v>
      </c>
      <c r="O280" s="34">
        <v>1</v>
      </c>
      <c r="P280" s="34">
        <v>1</v>
      </c>
      <c r="Q280" s="34">
        <v>1</v>
      </c>
      <c r="R280" s="34">
        <v>1</v>
      </c>
      <c r="S280" s="34">
        <v>1</v>
      </c>
      <c r="T280" s="34">
        <v>1</v>
      </c>
      <c r="U280" s="34">
        <v>1</v>
      </c>
      <c r="V280" s="34">
        <v>1</v>
      </c>
      <c r="W280" s="34">
        <v>1</v>
      </c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10">
        <f t="shared" si="12"/>
        <v>14</v>
      </c>
      <c r="AL280" s="11">
        <v>32000</v>
      </c>
      <c r="AM280" s="12">
        <f t="shared" si="13"/>
        <v>448000</v>
      </c>
    </row>
    <row r="281" spans="1:39" ht="13.5" customHeight="1">
      <c r="A281" s="48" t="s">
        <v>84</v>
      </c>
      <c r="B281" s="32">
        <v>63</v>
      </c>
      <c r="C281" s="33" t="s">
        <v>823</v>
      </c>
      <c r="D281" s="33" t="s">
        <v>346</v>
      </c>
      <c r="E281" s="33" t="s">
        <v>41</v>
      </c>
      <c r="F281" s="32" t="s">
        <v>824</v>
      </c>
      <c r="G281" s="46"/>
      <c r="H281" s="46"/>
      <c r="I281" s="46"/>
      <c r="J281" s="34">
        <v>1</v>
      </c>
      <c r="K281" s="34">
        <v>1</v>
      </c>
      <c r="L281" s="34">
        <v>1</v>
      </c>
      <c r="M281" s="34">
        <v>1</v>
      </c>
      <c r="N281" s="34">
        <v>1</v>
      </c>
      <c r="O281" s="34">
        <v>1</v>
      </c>
      <c r="P281" s="34">
        <v>1</v>
      </c>
      <c r="Q281" s="34">
        <v>1</v>
      </c>
      <c r="R281" s="34">
        <v>1</v>
      </c>
      <c r="S281" s="34">
        <v>1</v>
      </c>
      <c r="T281" s="34">
        <v>1</v>
      </c>
      <c r="U281" s="34">
        <v>1</v>
      </c>
      <c r="V281" s="34">
        <v>1</v>
      </c>
      <c r="W281" s="34">
        <v>1</v>
      </c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10">
        <f t="shared" si="12"/>
        <v>14</v>
      </c>
      <c r="AL281" s="11">
        <v>32000</v>
      </c>
      <c r="AM281" s="12">
        <f t="shared" si="13"/>
        <v>448000</v>
      </c>
    </row>
    <row r="282" spans="1:39" ht="13.5" customHeight="1">
      <c r="A282" s="48" t="s">
        <v>84</v>
      </c>
      <c r="B282" s="32">
        <v>66</v>
      </c>
      <c r="C282" s="33" t="s">
        <v>825</v>
      </c>
      <c r="D282" s="33" t="s">
        <v>826</v>
      </c>
      <c r="E282" s="33" t="s">
        <v>347</v>
      </c>
      <c r="F282" s="32" t="s">
        <v>827</v>
      </c>
      <c r="G282" s="46"/>
      <c r="H282" s="46"/>
      <c r="I282" s="46"/>
      <c r="J282" s="34">
        <v>1</v>
      </c>
      <c r="K282" s="34">
        <v>1</v>
      </c>
      <c r="L282" s="34">
        <v>1</v>
      </c>
      <c r="M282" s="34">
        <v>1</v>
      </c>
      <c r="N282" s="34">
        <v>1</v>
      </c>
      <c r="O282" s="34">
        <v>1</v>
      </c>
      <c r="P282" s="34">
        <v>1</v>
      </c>
      <c r="Q282" s="34">
        <v>1</v>
      </c>
      <c r="R282" s="34">
        <v>1</v>
      </c>
      <c r="S282" s="34">
        <v>1</v>
      </c>
      <c r="T282" s="34">
        <v>1</v>
      </c>
      <c r="U282" s="34">
        <v>1</v>
      </c>
      <c r="V282" s="34">
        <v>1</v>
      </c>
      <c r="W282" s="34">
        <v>1</v>
      </c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10">
        <f t="shared" si="12"/>
        <v>14</v>
      </c>
      <c r="AL282" s="11">
        <v>32000</v>
      </c>
      <c r="AM282" s="12">
        <f t="shared" si="13"/>
        <v>448000</v>
      </c>
    </row>
    <row r="283" spans="1:39" ht="13.5" customHeight="1">
      <c r="A283" s="48" t="s">
        <v>84</v>
      </c>
      <c r="B283" s="32">
        <v>66</v>
      </c>
      <c r="C283" s="33" t="s">
        <v>828</v>
      </c>
      <c r="D283" s="33" t="s">
        <v>426</v>
      </c>
      <c r="E283" s="33" t="s">
        <v>649</v>
      </c>
      <c r="F283" s="32" t="s">
        <v>829</v>
      </c>
      <c r="G283" s="46"/>
      <c r="H283" s="46"/>
      <c r="I283" s="46"/>
      <c r="J283" s="34">
        <v>1</v>
      </c>
      <c r="K283" s="34">
        <v>1</v>
      </c>
      <c r="L283" s="34">
        <v>1</v>
      </c>
      <c r="M283" s="34">
        <v>1</v>
      </c>
      <c r="N283" s="34">
        <v>1</v>
      </c>
      <c r="O283" s="34">
        <v>1</v>
      </c>
      <c r="P283" s="34">
        <v>1</v>
      </c>
      <c r="Q283" s="34">
        <v>1</v>
      </c>
      <c r="R283" s="34">
        <v>1</v>
      </c>
      <c r="S283" s="34">
        <v>1</v>
      </c>
      <c r="T283" s="34">
        <v>1</v>
      </c>
      <c r="U283" s="34">
        <v>1</v>
      </c>
      <c r="V283" s="34">
        <v>1</v>
      </c>
      <c r="W283" s="34">
        <v>1</v>
      </c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10">
        <f t="shared" si="12"/>
        <v>14</v>
      </c>
      <c r="AL283" s="11">
        <v>32000</v>
      </c>
      <c r="AM283" s="12">
        <f t="shared" si="13"/>
        <v>448000</v>
      </c>
    </row>
    <row r="284" spans="1:39" ht="13.5" customHeight="1">
      <c r="A284" s="48" t="s">
        <v>84</v>
      </c>
      <c r="B284" s="32">
        <v>67</v>
      </c>
      <c r="C284" s="33" t="s">
        <v>830</v>
      </c>
      <c r="D284" s="33" t="s">
        <v>222</v>
      </c>
      <c r="E284" s="33" t="s">
        <v>21</v>
      </c>
      <c r="F284" s="32" t="s">
        <v>831</v>
      </c>
      <c r="G284" s="46"/>
      <c r="H284" s="46"/>
      <c r="I284" s="46"/>
      <c r="J284" s="34">
        <v>1</v>
      </c>
      <c r="K284" s="34">
        <v>1</v>
      </c>
      <c r="L284" s="34">
        <v>1</v>
      </c>
      <c r="M284" s="34">
        <v>1</v>
      </c>
      <c r="N284" s="34">
        <v>1</v>
      </c>
      <c r="O284" s="34">
        <v>1</v>
      </c>
      <c r="P284" s="34">
        <v>1</v>
      </c>
      <c r="Q284" s="34">
        <v>1</v>
      </c>
      <c r="R284" s="34">
        <v>1</v>
      </c>
      <c r="S284" s="34">
        <v>1</v>
      </c>
      <c r="T284" s="34">
        <v>1</v>
      </c>
      <c r="U284" s="34">
        <v>1</v>
      </c>
      <c r="V284" s="34">
        <v>1</v>
      </c>
      <c r="W284" s="34">
        <v>1</v>
      </c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10">
        <f t="shared" si="12"/>
        <v>14</v>
      </c>
      <c r="AL284" s="11">
        <v>32000</v>
      </c>
      <c r="AM284" s="12">
        <f t="shared" si="13"/>
        <v>448000</v>
      </c>
    </row>
    <row r="285" spans="1:39" ht="13.5" customHeight="1">
      <c r="A285" s="48" t="s">
        <v>84</v>
      </c>
      <c r="B285" s="32">
        <v>67</v>
      </c>
      <c r="C285" s="33" t="s">
        <v>832</v>
      </c>
      <c r="D285" s="33" t="s">
        <v>233</v>
      </c>
      <c r="E285" s="33" t="s">
        <v>9</v>
      </c>
      <c r="F285" s="32" t="s">
        <v>234</v>
      </c>
      <c r="G285" s="46"/>
      <c r="H285" s="46"/>
      <c r="I285" s="46"/>
      <c r="J285" s="34">
        <v>1</v>
      </c>
      <c r="K285" s="34">
        <v>1</v>
      </c>
      <c r="L285" s="34">
        <v>1</v>
      </c>
      <c r="M285" s="34">
        <v>1</v>
      </c>
      <c r="N285" s="34">
        <v>1</v>
      </c>
      <c r="O285" s="34">
        <v>1</v>
      </c>
      <c r="P285" s="34">
        <v>1</v>
      </c>
      <c r="Q285" s="34">
        <v>1</v>
      </c>
      <c r="R285" s="34">
        <v>1</v>
      </c>
      <c r="S285" s="34">
        <v>1</v>
      </c>
      <c r="T285" s="34">
        <v>1</v>
      </c>
      <c r="U285" s="34">
        <v>1</v>
      </c>
      <c r="V285" s="34">
        <v>1</v>
      </c>
      <c r="W285" s="34">
        <v>1</v>
      </c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10">
        <f t="shared" si="12"/>
        <v>14</v>
      </c>
      <c r="AL285" s="11">
        <v>32000</v>
      </c>
      <c r="AM285" s="12">
        <f t="shared" si="13"/>
        <v>448000</v>
      </c>
    </row>
    <row r="286" spans="1:39" ht="13.5" customHeight="1">
      <c r="A286" s="48" t="s">
        <v>84</v>
      </c>
      <c r="B286" s="32">
        <v>68</v>
      </c>
      <c r="C286" s="33" t="s">
        <v>833</v>
      </c>
      <c r="D286" s="33" t="s">
        <v>834</v>
      </c>
      <c r="E286" s="33" t="s">
        <v>835</v>
      </c>
      <c r="F286" s="32" t="s">
        <v>836</v>
      </c>
      <c r="G286" s="46"/>
      <c r="H286" s="46"/>
      <c r="I286" s="46"/>
      <c r="J286" s="34">
        <v>1</v>
      </c>
      <c r="K286" s="34">
        <v>1</v>
      </c>
      <c r="L286" s="34">
        <v>1</v>
      </c>
      <c r="M286" s="34">
        <v>1</v>
      </c>
      <c r="N286" s="34">
        <v>1</v>
      </c>
      <c r="O286" s="34">
        <v>1</v>
      </c>
      <c r="P286" s="34">
        <v>1</v>
      </c>
      <c r="Q286" s="34">
        <v>1</v>
      </c>
      <c r="R286" s="34">
        <v>1</v>
      </c>
      <c r="S286" s="34">
        <v>1</v>
      </c>
      <c r="T286" s="34">
        <v>1</v>
      </c>
      <c r="U286" s="34">
        <v>1</v>
      </c>
      <c r="V286" s="34">
        <v>1</v>
      </c>
      <c r="W286" s="34">
        <v>1</v>
      </c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10">
        <f t="shared" si="12"/>
        <v>14</v>
      </c>
      <c r="AL286" s="11">
        <v>32000</v>
      </c>
      <c r="AM286" s="12">
        <f t="shared" si="13"/>
        <v>448000</v>
      </c>
    </row>
    <row r="287" spans="1:39" ht="13.5" customHeight="1">
      <c r="A287" s="48" t="s">
        <v>84</v>
      </c>
      <c r="B287" s="32">
        <v>68</v>
      </c>
      <c r="C287" s="33" t="s">
        <v>837</v>
      </c>
      <c r="D287" s="33" t="s">
        <v>838</v>
      </c>
      <c r="E287" s="33" t="s">
        <v>51</v>
      </c>
      <c r="F287" s="32" t="s">
        <v>839</v>
      </c>
      <c r="G287" s="46"/>
      <c r="H287" s="46"/>
      <c r="I287" s="46"/>
      <c r="J287" s="34">
        <v>1</v>
      </c>
      <c r="K287" s="34">
        <v>1</v>
      </c>
      <c r="L287" s="34">
        <v>1</v>
      </c>
      <c r="M287" s="34">
        <v>1</v>
      </c>
      <c r="N287" s="34">
        <v>1</v>
      </c>
      <c r="O287" s="34">
        <v>1</v>
      </c>
      <c r="P287" s="34">
        <v>1</v>
      </c>
      <c r="Q287" s="34">
        <v>1</v>
      </c>
      <c r="R287" s="34">
        <v>1</v>
      </c>
      <c r="S287" s="34">
        <v>1</v>
      </c>
      <c r="T287" s="34">
        <v>1</v>
      </c>
      <c r="U287" s="34">
        <v>1</v>
      </c>
      <c r="V287" s="34">
        <v>1</v>
      </c>
      <c r="W287" s="34">
        <v>1</v>
      </c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10">
        <f t="shared" si="12"/>
        <v>14</v>
      </c>
      <c r="AL287" s="11">
        <v>32000</v>
      </c>
      <c r="AM287" s="12">
        <f t="shared" si="13"/>
        <v>448000</v>
      </c>
    </row>
    <row r="288" spans="1:39" ht="13.5" customHeight="1">
      <c r="A288" s="48" t="s">
        <v>84</v>
      </c>
      <c r="B288" s="32">
        <v>69</v>
      </c>
      <c r="C288" s="33" t="s">
        <v>8</v>
      </c>
      <c r="D288" s="33" t="s">
        <v>840</v>
      </c>
      <c r="E288" s="33" t="s">
        <v>427</v>
      </c>
      <c r="F288" s="32" t="s">
        <v>841</v>
      </c>
      <c r="G288" s="46"/>
      <c r="H288" s="46"/>
      <c r="I288" s="46"/>
      <c r="J288" s="34">
        <v>1</v>
      </c>
      <c r="K288" s="34">
        <v>1</v>
      </c>
      <c r="L288" s="34">
        <v>1</v>
      </c>
      <c r="M288" s="34">
        <v>1</v>
      </c>
      <c r="N288" s="34">
        <v>1</v>
      </c>
      <c r="O288" s="34">
        <v>1</v>
      </c>
      <c r="P288" s="34">
        <v>1</v>
      </c>
      <c r="Q288" s="34">
        <v>1</v>
      </c>
      <c r="R288" s="34">
        <v>1</v>
      </c>
      <c r="S288" s="34">
        <v>1</v>
      </c>
      <c r="T288" s="34">
        <v>1</v>
      </c>
      <c r="U288" s="34">
        <v>1</v>
      </c>
      <c r="V288" s="34">
        <v>1</v>
      </c>
      <c r="W288" s="34">
        <v>1</v>
      </c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10">
        <f t="shared" si="12"/>
        <v>14</v>
      </c>
      <c r="AL288" s="11">
        <v>32000</v>
      </c>
      <c r="AM288" s="12">
        <f t="shared" si="13"/>
        <v>448000</v>
      </c>
    </row>
    <row r="289" spans="1:39" ht="13.5" customHeight="1">
      <c r="A289" s="48" t="s">
        <v>84</v>
      </c>
      <c r="B289" s="32">
        <v>69</v>
      </c>
      <c r="C289" s="33" t="s">
        <v>842</v>
      </c>
      <c r="D289" s="33" t="s">
        <v>46</v>
      </c>
      <c r="E289" s="33" t="s">
        <v>9</v>
      </c>
      <c r="F289" s="32" t="s">
        <v>843</v>
      </c>
      <c r="G289" s="46"/>
      <c r="H289" s="46"/>
      <c r="I289" s="46"/>
      <c r="J289" s="34">
        <v>1</v>
      </c>
      <c r="K289" s="34">
        <v>1</v>
      </c>
      <c r="L289" s="34">
        <v>1</v>
      </c>
      <c r="M289" s="34">
        <v>1</v>
      </c>
      <c r="N289" s="34">
        <v>1</v>
      </c>
      <c r="O289" s="34">
        <v>1</v>
      </c>
      <c r="P289" s="34">
        <v>1</v>
      </c>
      <c r="Q289" s="34">
        <v>1</v>
      </c>
      <c r="R289" s="34">
        <v>1</v>
      </c>
      <c r="S289" s="34">
        <v>1</v>
      </c>
      <c r="T289" s="34">
        <v>1</v>
      </c>
      <c r="U289" s="34">
        <v>1</v>
      </c>
      <c r="V289" s="34">
        <v>1</v>
      </c>
      <c r="W289" s="34">
        <v>1</v>
      </c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10">
        <f t="shared" si="12"/>
        <v>14</v>
      </c>
      <c r="AL289" s="11">
        <v>32000</v>
      </c>
      <c r="AM289" s="12">
        <f t="shared" si="13"/>
        <v>448000</v>
      </c>
    </row>
    <row r="290" spans="1:39" ht="13.5" customHeight="1">
      <c r="A290" s="48" t="s">
        <v>84</v>
      </c>
      <c r="B290" s="32">
        <v>71</v>
      </c>
      <c r="C290" s="33" t="s">
        <v>266</v>
      </c>
      <c r="D290" s="33" t="s">
        <v>138</v>
      </c>
      <c r="E290" s="33" t="s">
        <v>649</v>
      </c>
      <c r="F290" s="32" t="s">
        <v>658</v>
      </c>
      <c r="G290" s="46"/>
      <c r="H290" s="46"/>
      <c r="I290" s="46"/>
      <c r="J290" s="34">
        <v>1</v>
      </c>
      <c r="K290" s="34">
        <v>1</v>
      </c>
      <c r="L290" s="34">
        <v>1</v>
      </c>
      <c r="M290" s="34">
        <v>1</v>
      </c>
      <c r="N290" s="34">
        <v>1</v>
      </c>
      <c r="O290" s="34">
        <v>1</v>
      </c>
      <c r="P290" s="34">
        <v>1</v>
      </c>
      <c r="Q290" s="34">
        <v>1</v>
      </c>
      <c r="R290" s="34">
        <v>1</v>
      </c>
      <c r="S290" s="34">
        <v>1</v>
      </c>
      <c r="T290" s="34">
        <v>1</v>
      </c>
      <c r="U290" s="34">
        <v>1</v>
      </c>
      <c r="V290" s="34">
        <v>1</v>
      </c>
      <c r="W290" s="34">
        <v>1</v>
      </c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10">
        <f t="shared" si="12"/>
        <v>14</v>
      </c>
      <c r="AL290" s="11">
        <v>32000</v>
      </c>
      <c r="AM290" s="12">
        <f t="shared" si="13"/>
        <v>448000</v>
      </c>
    </row>
    <row r="291" spans="1:39" ht="13.5" customHeight="1">
      <c r="A291" s="48" t="s">
        <v>84</v>
      </c>
      <c r="B291" s="32">
        <v>71</v>
      </c>
      <c r="C291" s="33" t="s">
        <v>693</v>
      </c>
      <c r="D291" s="33" t="s">
        <v>13</v>
      </c>
      <c r="E291" s="33" t="s">
        <v>694</v>
      </c>
      <c r="F291" s="32" t="s">
        <v>704</v>
      </c>
      <c r="G291" s="46"/>
      <c r="H291" s="46"/>
      <c r="I291" s="46"/>
      <c r="J291" s="34">
        <v>1</v>
      </c>
      <c r="K291" s="34">
        <v>1</v>
      </c>
      <c r="L291" s="34">
        <v>1</v>
      </c>
      <c r="M291" s="34">
        <v>1</v>
      </c>
      <c r="N291" s="34">
        <v>1</v>
      </c>
      <c r="O291" s="34">
        <v>1</v>
      </c>
      <c r="P291" s="34">
        <v>1</v>
      </c>
      <c r="Q291" s="34">
        <v>1</v>
      </c>
      <c r="R291" s="34">
        <v>1</v>
      </c>
      <c r="S291" s="34">
        <v>1</v>
      </c>
      <c r="T291" s="34">
        <v>1</v>
      </c>
      <c r="U291" s="34">
        <v>1</v>
      </c>
      <c r="V291" s="34">
        <v>1</v>
      </c>
      <c r="W291" s="34">
        <v>1</v>
      </c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10">
        <f t="shared" si="12"/>
        <v>14</v>
      </c>
      <c r="AL291" s="11">
        <v>32000</v>
      </c>
      <c r="AM291" s="12">
        <f t="shared" si="13"/>
        <v>448000</v>
      </c>
    </row>
    <row r="292" spans="1:39" ht="13.5" customHeight="1">
      <c r="A292" s="48" t="s">
        <v>84</v>
      </c>
      <c r="B292" s="32">
        <v>71</v>
      </c>
      <c r="C292" s="33" t="s">
        <v>531</v>
      </c>
      <c r="D292" s="33" t="s">
        <v>153</v>
      </c>
      <c r="E292" s="33" t="s">
        <v>61</v>
      </c>
      <c r="F292" s="32" t="s">
        <v>963</v>
      </c>
      <c r="G292" s="46"/>
      <c r="H292" s="46"/>
      <c r="I292" s="46"/>
      <c r="J292" s="34">
        <v>1</v>
      </c>
      <c r="K292" s="34">
        <v>1</v>
      </c>
      <c r="L292" s="34">
        <v>1</v>
      </c>
      <c r="M292" s="34">
        <v>1</v>
      </c>
      <c r="N292" s="34">
        <v>1</v>
      </c>
      <c r="O292" s="34">
        <v>1</v>
      </c>
      <c r="P292" s="34">
        <v>1</v>
      </c>
      <c r="Q292" s="34">
        <v>1</v>
      </c>
      <c r="R292" s="34">
        <v>1</v>
      </c>
      <c r="S292" s="34">
        <v>1</v>
      </c>
      <c r="T292" s="34">
        <v>1</v>
      </c>
      <c r="U292" s="34">
        <v>1</v>
      </c>
      <c r="V292" s="34">
        <v>1</v>
      </c>
      <c r="W292" s="34">
        <v>1</v>
      </c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10">
        <f t="shared" si="12"/>
        <v>14</v>
      </c>
      <c r="AL292" s="11">
        <v>32000</v>
      </c>
      <c r="AM292" s="12">
        <f t="shared" si="13"/>
        <v>448000</v>
      </c>
    </row>
    <row r="293" spans="1:39" ht="13.5" customHeight="1">
      <c r="A293" s="48" t="s">
        <v>84</v>
      </c>
      <c r="B293" s="32">
        <v>74</v>
      </c>
      <c r="C293" s="33" t="s">
        <v>46</v>
      </c>
      <c r="D293" s="33" t="s">
        <v>652</v>
      </c>
      <c r="E293" s="33" t="s">
        <v>653</v>
      </c>
      <c r="F293" s="32" t="s">
        <v>654</v>
      </c>
      <c r="G293" s="46"/>
      <c r="H293" s="46"/>
      <c r="I293" s="46"/>
      <c r="J293" s="34">
        <v>1</v>
      </c>
      <c r="K293" s="34">
        <v>1</v>
      </c>
      <c r="L293" s="34">
        <v>1</v>
      </c>
      <c r="M293" s="34">
        <v>1</v>
      </c>
      <c r="N293" s="34">
        <v>1</v>
      </c>
      <c r="O293" s="34">
        <v>1</v>
      </c>
      <c r="P293" s="34">
        <v>1</v>
      </c>
      <c r="Q293" s="34">
        <v>1</v>
      </c>
      <c r="R293" s="34">
        <v>1</v>
      </c>
      <c r="S293" s="34">
        <v>1</v>
      </c>
      <c r="T293" s="34">
        <v>1</v>
      </c>
      <c r="U293" s="34">
        <v>1</v>
      </c>
      <c r="V293" s="34">
        <v>1</v>
      </c>
      <c r="W293" s="34">
        <v>1</v>
      </c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10">
        <f t="shared" si="12"/>
        <v>14</v>
      </c>
      <c r="AL293" s="11">
        <v>32000</v>
      </c>
      <c r="AM293" s="12">
        <f t="shared" ref="AM293:AM324" si="14">AL293*AK293</f>
        <v>448000</v>
      </c>
    </row>
    <row r="294" spans="1:39" ht="13.5" customHeight="1">
      <c r="A294" s="48" t="s">
        <v>84</v>
      </c>
      <c r="B294" s="32">
        <v>74</v>
      </c>
      <c r="C294" s="33" t="s">
        <v>776</v>
      </c>
      <c r="D294" s="33" t="s">
        <v>866</v>
      </c>
      <c r="E294" s="33" t="s">
        <v>271</v>
      </c>
      <c r="F294" s="32" t="s">
        <v>894</v>
      </c>
      <c r="G294" s="46"/>
      <c r="H294" s="46"/>
      <c r="I294" s="46"/>
      <c r="J294" s="34">
        <v>1</v>
      </c>
      <c r="K294" s="34">
        <v>1</v>
      </c>
      <c r="L294" s="34">
        <v>1</v>
      </c>
      <c r="M294" s="34">
        <v>1</v>
      </c>
      <c r="N294" s="34">
        <v>1</v>
      </c>
      <c r="O294" s="34">
        <v>1</v>
      </c>
      <c r="P294" s="34">
        <v>1</v>
      </c>
      <c r="Q294" s="34">
        <v>1</v>
      </c>
      <c r="R294" s="34">
        <v>1</v>
      </c>
      <c r="S294" s="34">
        <v>1</v>
      </c>
      <c r="T294" s="34">
        <v>1</v>
      </c>
      <c r="U294" s="34">
        <v>1</v>
      </c>
      <c r="V294" s="34">
        <v>1</v>
      </c>
      <c r="W294" s="34">
        <v>1</v>
      </c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10">
        <f t="shared" si="12"/>
        <v>14</v>
      </c>
      <c r="AL294" s="11">
        <v>32000</v>
      </c>
      <c r="AM294" s="12">
        <f t="shared" si="14"/>
        <v>448000</v>
      </c>
    </row>
    <row r="295" spans="1:39" ht="13.5" customHeight="1">
      <c r="A295" s="48" t="s">
        <v>84</v>
      </c>
      <c r="B295" s="32">
        <v>74</v>
      </c>
      <c r="C295" s="33" t="s">
        <v>346</v>
      </c>
      <c r="D295" s="33" t="s">
        <v>957</v>
      </c>
      <c r="E295" s="33" t="s">
        <v>958</v>
      </c>
      <c r="F295" s="32" t="s">
        <v>962</v>
      </c>
      <c r="G295" s="46"/>
      <c r="H295" s="46"/>
      <c r="I295" s="46"/>
      <c r="J295" s="34">
        <v>1</v>
      </c>
      <c r="K295" s="34">
        <v>1</v>
      </c>
      <c r="L295" s="34">
        <v>1</v>
      </c>
      <c r="M295" s="34">
        <v>1</v>
      </c>
      <c r="N295" s="34">
        <v>1</v>
      </c>
      <c r="O295" s="34">
        <v>1</v>
      </c>
      <c r="P295" s="34">
        <v>1</v>
      </c>
      <c r="Q295" s="34">
        <v>1</v>
      </c>
      <c r="R295" s="34">
        <v>1</v>
      </c>
      <c r="S295" s="34">
        <v>1</v>
      </c>
      <c r="T295" s="34">
        <v>1</v>
      </c>
      <c r="U295" s="34">
        <v>1</v>
      </c>
      <c r="V295" s="34">
        <v>1</v>
      </c>
      <c r="W295" s="34">
        <v>1</v>
      </c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10">
        <f t="shared" si="12"/>
        <v>14</v>
      </c>
      <c r="AL295" s="11">
        <v>32000</v>
      </c>
      <c r="AM295" s="12">
        <f t="shared" si="14"/>
        <v>448000</v>
      </c>
    </row>
    <row r="296" spans="1:39" ht="13.5" customHeight="1">
      <c r="A296" s="48" t="s">
        <v>84</v>
      </c>
      <c r="B296" s="32">
        <v>76</v>
      </c>
      <c r="C296" s="33" t="s">
        <v>316</v>
      </c>
      <c r="D296" s="33" t="s">
        <v>659</v>
      </c>
      <c r="E296" s="33" t="s">
        <v>100</v>
      </c>
      <c r="F296" s="32" t="s">
        <v>666</v>
      </c>
      <c r="G296" s="46"/>
      <c r="H296" s="46"/>
      <c r="I296" s="46"/>
      <c r="J296" s="34">
        <v>1</v>
      </c>
      <c r="K296" s="34">
        <v>1</v>
      </c>
      <c r="L296" s="34">
        <v>1</v>
      </c>
      <c r="M296" s="34">
        <v>1</v>
      </c>
      <c r="N296" s="34">
        <v>1</v>
      </c>
      <c r="O296" s="34">
        <v>1</v>
      </c>
      <c r="P296" s="34">
        <v>1</v>
      </c>
      <c r="Q296" s="34">
        <v>1</v>
      </c>
      <c r="R296" s="34">
        <v>1</v>
      </c>
      <c r="S296" s="34">
        <v>1</v>
      </c>
      <c r="T296" s="34">
        <v>1</v>
      </c>
      <c r="U296" s="34">
        <v>1</v>
      </c>
      <c r="V296" s="34">
        <v>1</v>
      </c>
      <c r="W296" s="34">
        <v>1</v>
      </c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10">
        <f t="shared" si="12"/>
        <v>14</v>
      </c>
      <c r="AL296" s="11">
        <v>32000</v>
      </c>
      <c r="AM296" s="12">
        <f t="shared" si="14"/>
        <v>448000</v>
      </c>
    </row>
    <row r="297" spans="1:39" ht="13.5" customHeight="1">
      <c r="A297" s="48" t="s">
        <v>84</v>
      </c>
      <c r="B297" s="32">
        <v>76</v>
      </c>
      <c r="C297" s="33" t="s">
        <v>660</v>
      </c>
      <c r="D297" s="33" t="s">
        <v>661</v>
      </c>
      <c r="E297" s="33" t="s">
        <v>419</v>
      </c>
      <c r="F297" s="32" t="s">
        <v>750</v>
      </c>
      <c r="G297" s="46"/>
      <c r="H297" s="46"/>
      <c r="I297" s="46"/>
      <c r="J297" s="34">
        <v>1</v>
      </c>
      <c r="K297" s="34">
        <v>1</v>
      </c>
      <c r="L297" s="34">
        <v>1</v>
      </c>
      <c r="M297" s="34">
        <v>1</v>
      </c>
      <c r="N297" s="34">
        <v>1</v>
      </c>
      <c r="O297" s="34">
        <v>1</v>
      </c>
      <c r="P297" s="34">
        <v>1</v>
      </c>
      <c r="Q297" s="34">
        <v>1</v>
      </c>
      <c r="R297" s="34">
        <v>1</v>
      </c>
      <c r="S297" s="34">
        <v>1</v>
      </c>
      <c r="T297" s="34">
        <v>1</v>
      </c>
      <c r="U297" s="34">
        <v>1</v>
      </c>
      <c r="V297" s="34">
        <v>1</v>
      </c>
      <c r="W297" s="34">
        <v>1</v>
      </c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10">
        <f t="shared" si="12"/>
        <v>14</v>
      </c>
      <c r="AL297" s="11">
        <v>32000</v>
      </c>
      <c r="AM297" s="12">
        <f t="shared" si="14"/>
        <v>448000</v>
      </c>
    </row>
    <row r="298" spans="1:39" ht="13.5" customHeight="1">
      <c r="A298" s="48" t="s">
        <v>84</v>
      </c>
      <c r="B298" s="32">
        <v>77</v>
      </c>
      <c r="C298" s="33" t="s">
        <v>662</v>
      </c>
      <c r="D298" s="33" t="s">
        <v>55</v>
      </c>
      <c r="E298" s="33" t="s">
        <v>21</v>
      </c>
      <c r="F298" s="32" t="s">
        <v>665</v>
      </c>
      <c r="G298" s="46"/>
      <c r="H298" s="46"/>
      <c r="I298" s="46"/>
      <c r="J298" s="34">
        <v>1</v>
      </c>
      <c r="K298" s="34">
        <v>1</v>
      </c>
      <c r="L298" s="34">
        <v>1</v>
      </c>
      <c r="M298" s="34">
        <v>1</v>
      </c>
      <c r="N298" s="34">
        <v>1</v>
      </c>
      <c r="O298" s="34">
        <v>1</v>
      </c>
      <c r="P298" s="34">
        <v>1</v>
      </c>
      <c r="Q298" s="34">
        <v>1</v>
      </c>
      <c r="R298" s="34">
        <v>1</v>
      </c>
      <c r="S298" s="34">
        <v>1</v>
      </c>
      <c r="T298" s="34">
        <v>1</v>
      </c>
      <c r="U298" s="34">
        <v>1</v>
      </c>
      <c r="V298" s="34">
        <v>1</v>
      </c>
      <c r="W298" s="34">
        <v>1</v>
      </c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10">
        <f t="shared" si="12"/>
        <v>14</v>
      </c>
      <c r="AL298" s="11">
        <v>32000</v>
      </c>
      <c r="AM298" s="12">
        <f t="shared" si="14"/>
        <v>448000</v>
      </c>
    </row>
    <row r="299" spans="1:39" ht="13.5" customHeight="1">
      <c r="A299" s="48" t="s">
        <v>84</v>
      </c>
      <c r="B299" s="32">
        <v>77</v>
      </c>
      <c r="C299" s="33" t="s">
        <v>663</v>
      </c>
      <c r="D299" s="33" t="s">
        <v>251</v>
      </c>
      <c r="E299" s="33" t="s">
        <v>540</v>
      </c>
      <c r="F299" s="32" t="s">
        <v>664</v>
      </c>
      <c r="G299" s="46"/>
      <c r="H299" s="46"/>
      <c r="I299" s="46"/>
      <c r="J299" s="34">
        <v>1</v>
      </c>
      <c r="K299" s="34">
        <v>1</v>
      </c>
      <c r="L299" s="34">
        <v>1</v>
      </c>
      <c r="M299" s="34">
        <v>1</v>
      </c>
      <c r="N299" s="34">
        <v>1</v>
      </c>
      <c r="O299" s="34">
        <v>1</v>
      </c>
      <c r="P299" s="34">
        <v>1</v>
      </c>
      <c r="Q299" s="34">
        <v>1</v>
      </c>
      <c r="R299" s="34">
        <v>1</v>
      </c>
      <c r="S299" s="34">
        <v>1</v>
      </c>
      <c r="T299" s="34">
        <v>1</v>
      </c>
      <c r="U299" s="34">
        <v>1</v>
      </c>
      <c r="V299" s="34">
        <v>1</v>
      </c>
      <c r="W299" s="34">
        <v>1</v>
      </c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10">
        <f t="shared" si="12"/>
        <v>14</v>
      </c>
      <c r="AL299" s="11">
        <v>32000</v>
      </c>
      <c r="AM299" s="12">
        <f t="shared" si="14"/>
        <v>448000</v>
      </c>
    </row>
    <row r="300" spans="1:39" ht="13.5" customHeight="1">
      <c r="A300" s="48" t="s">
        <v>84</v>
      </c>
      <c r="B300" s="32">
        <v>79</v>
      </c>
      <c r="C300" s="33" t="s">
        <v>212</v>
      </c>
      <c r="D300" s="33" t="s">
        <v>155</v>
      </c>
      <c r="E300" s="33" t="s">
        <v>26</v>
      </c>
      <c r="F300" s="32" t="s">
        <v>844</v>
      </c>
      <c r="G300" s="46"/>
      <c r="H300" s="46"/>
      <c r="I300" s="46"/>
      <c r="J300" s="34">
        <v>1</v>
      </c>
      <c r="K300" s="34">
        <v>1</v>
      </c>
      <c r="L300" s="34">
        <v>1</v>
      </c>
      <c r="M300" s="34">
        <v>1</v>
      </c>
      <c r="N300" s="34">
        <v>1</v>
      </c>
      <c r="O300" s="34">
        <v>1</v>
      </c>
      <c r="P300" s="34">
        <v>1</v>
      </c>
      <c r="Q300" s="34">
        <v>1</v>
      </c>
      <c r="R300" s="34">
        <v>1</v>
      </c>
      <c r="S300" s="34">
        <v>1</v>
      </c>
      <c r="T300" s="34">
        <v>1</v>
      </c>
      <c r="U300" s="34">
        <v>1</v>
      </c>
      <c r="V300" s="34">
        <v>1</v>
      </c>
      <c r="W300" s="34">
        <v>1</v>
      </c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10">
        <f t="shared" si="12"/>
        <v>14</v>
      </c>
      <c r="AL300" s="11">
        <v>32000</v>
      </c>
      <c r="AM300" s="12">
        <f t="shared" si="14"/>
        <v>448000</v>
      </c>
    </row>
    <row r="301" spans="1:39" ht="13.5" customHeight="1">
      <c r="A301" s="48" t="s">
        <v>84</v>
      </c>
      <c r="B301" s="32">
        <v>79</v>
      </c>
      <c r="C301" s="33" t="s">
        <v>381</v>
      </c>
      <c r="D301" s="33" t="s">
        <v>663</v>
      </c>
      <c r="E301" s="33" t="s">
        <v>26</v>
      </c>
      <c r="F301" s="32" t="s">
        <v>845</v>
      </c>
      <c r="G301" s="46"/>
      <c r="H301" s="46"/>
      <c r="I301" s="46"/>
      <c r="J301" s="34">
        <v>1</v>
      </c>
      <c r="K301" s="34">
        <v>1</v>
      </c>
      <c r="L301" s="34">
        <v>1</v>
      </c>
      <c r="M301" s="34">
        <v>1</v>
      </c>
      <c r="N301" s="34">
        <v>1</v>
      </c>
      <c r="O301" s="34">
        <v>1</v>
      </c>
      <c r="P301" s="34">
        <v>1</v>
      </c>
      <c r="Q301" s="34">
        <v>1</v>
      </c>
      <c r="R301" s="34">
        <v>1</v>
      </c>
      <c r="S301" s="34">
        <v>1</v>
      </c>
      <c r="T301" s="34">
        <v>1</v>
      </c>
      <c r="U301" s="34">
        <v>1</v>
      </c>
      <c r="V301" s="34">
        <v>1</v>
      </c>
      <c r="W301" s="34">
        <v>1</v>
      </c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10">
        <f t="shared" si="12"/>
        <v>14</v>
      </c>
      <c r="AL301" s="11">
        <v>32000</v>
      </c>
      <c r="AM301" s="12">
        <f t="shared" si="14"/>
        <v>448000</v>
      </c>
    </row>
    <row r="302" spans="1:39" ht="13.5" customHeight="1">
      <c r="A302" s="48" t="s">
        <v>84</v>
      </c>
      <c r="B302" s="32">
        <v>79</v>
      </c>
      <c r="C302" s="33" t="s">
        <v>932</v>
      </c>
      <c r="D302" s="33" t="s">
        <v>933</v>
      </c>
      <c r="E302" s="33" t="s">
        <v>609</v>
      </c>
      <c r="F302" s="32" t="s">
        <v>934</v>
      </c>
      <c r="G302" s="46"/>
      <c r="H302" s="46"/>
      <c r="I302" s="46"/>
      <c r="J302" s="34">
        <v>1</v>
      </c>
      <c r="K302" s="34">
        <v>1</v>
      </c>
      <c r="L302" s="34">
        <v>1</v>
      </c>
      <c r="M302" s="34">
        <v>1</v>
      </c>
      <c r="N302" s="34">
        <v>1</v>
      </c>
      <c r="O302" s="34">
        <v>1</v>
      </c>
      <c r="P302" s="34">
        <v>1</v>
      </c>
      <c r="Q302" s="34">
        <v>1</v>
      </c>
      <c r="R302" s="34">
        <v>1</v>
      </c>
      <c r="S302" s="34">
        <v>1</v>
      </c>
      <c r="T302" s="34">
        <v>1</v>
      </c>
      <c r="U302" s="34">
        <v>1</v>
      </c>
      <c r="V302" s="34">
        <v>1</v>
      </c>
      <c r="W302" s="34">
        <v>1</v>
      </c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10">
        <f t="shared" si="12"/>
        <v>14</v>
      </c>
      <c r="AL302" s="11">
        <v>32000</v>
      </c>
      <c r="AM302" s="12">
        <f t="shared" si="14"/>
        <v>448000</v>
      </c>
    </row>
    <row r="303" spans="1:39" ht="13.5" customHeight="1">
      <c r="A303" s="48" t="s">
        <v>84</v>
      </c>
      <c r="B303" s="32">
        <v>80</v>
      </c>
      <c r="C303" s="33" t="s">
        <v>846</v>
      </c>
      <c r="D303" s="33" t="s">
        <v>602</v>
      </c>
      <c r="E303" s="33" t="s">
        <v>41</v>
      </c>
      <c r="F303" s="32" t="s">
        <v>847</v>
      </c>
      <c r="G303" s="46"/>
      <c r="H303" s="46"/>
      <c r="I303" s="46"/>
      <c r="J303" s="34">
        <v>1</v>
      </c>
      <c r="K303" s="34">
        <v>1</v>
      </c>
      <c r="L303" s="34">
        <v>1</v>
      </c>
      <c r="M303" s="34">
        <v>1</v>
      </c>
      <c r="N303" s="34">
        <v>1</v>
      </c>
      <c r="O303" s="34">
        <v>1</v>
      </c>
      <c r="P303" s="34">
        <v>1</v>
      </c>
      <c r="Q303" s="34">
        <v>1</v>
      </c>
      <c r="R303" s="34">
        <v>1</v>
      </c>
      <c r="S303" s="34">
        <v>1</v>
      </c>
      <c r="T303" s="34">
        <v>1</v>
      </c>
      <c r="U303" s="34">
        <v>1</v>
      </c>
      <c r="V303" s="34">
        <v>1</v>
      </c>
      <c r="W303" s="34">
        <v>1</v>
      </c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10">
        <f t="shared" si="12"/>
        <v>14</v>
      </c>
      <c r="AL303" s="11">
        <v>32000</v>
      </c>
      <c r="AM303" s="12">
        <f t="shared" si="14"/>
        <v>448000</v>
      </c>
    </row>
    <row r="304" spans="1:39" ht="13.5" customHeight="1">
      <c r="A304" s="48" t="s">
        <v>84</v>
      </c>
      <c r="B304" s="32">
        <v>80</v>
      </c>
      <c r="C304" s="33" t="s">
        <v>848</v>
      </c>
      <c r="D304" s="33" t="s">
        <v>783</v>
      </c>
      <c r="E304" s="33" t="s">
        <v>11</v>
      </c>
      <c r="F304" s="32" t="s">
        <v>849</v>
      </c>
      <c r="G304" s="46"/>
      <c r="H304" s="46"/>
      <c r="I304" s="46"/>
      <c r="J304" s="34">
        <v>1</v>
      </c>
      <c r="K304" s="34">
        <v>1</v>
      </c>
      <c r="L304" s="34">
        <v>1</v>
      </c>
      <c r="M304" s="34">
        <v>1</v>
      </c>
      <c r="N304" s="34">
        <v>1</v>
      </c>
      <c r="O304" s="34">
        <v>1</v>
      </c>
      <c r="P304" s="34">
        <v>1</v>
      </c>
      <c r="Q304" s="34">
        <v>1</v>
      </c>
      <c r="R304" s="34">
        <v>1</v>
      </c>
      <c r="S304" s="34">
        <v>1</v>
      </c>
      <c r="T304" s="34">
        <v>1</v>
      </c>
      <c r="U304" s="34">
        <v>1</v>
      </c>
      <c r="V304" s="34">
        <v>1</v>
      </c>
      <c r="W304" s="34">
        <v>1</v>
      </c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10">
        <f t="shared" si="12"/>
        <v>14</v>
      </c>
      <c r="AL304" s="11">
        <v>32000</v>
      </c>
      <c r="AM304" s="12">
        <f t="shared" si="14"/>
        <v>448000</v>
      </c>
    </row>
    <row r="305" spans="1:39" ht="13.5" customHeight="1">
      <c r="A305" s="48" t="s">
        <v>84</v>
      </c>
      <c r="B305" s="32">
        <v>83</v>
      </c>
      <c r="C305" s="33" t="s">
        <v>790</v>
      </c>
      <c r="D305" s="33" t="s">
        <v>850</v>
      </c>
      <c r="E305" s="33" t="s">
        <v>11</v>
      </c>
      <c r="F305" s="32" t="s">
        <v>851</v>
      </c>
      <c r="G305" s="46"/>
      <c r="H305" s="46"/>
      <c r="I305" s="46"/>
      <c r="J305" s="34">
        <v>1</v>
      </c>
      <c r="K305" s="34">
        <v>1</v>
      </c>
      <c r="L305" s="34">
        <v>1</v>
      </c>
      <c r="M305" s="34">
        <v>1</v>
      </c>
      <c r="N305" s="34">
        <v>1</v>
      </c>
      <c r="O305" s="34">
        <v>1</v>
      </c>
      <c r="P305" s="34">
        <v>1</v>
      </c>
      <c r="Q305" s="34">
        <v>1</v>
      </c>
      <c r="R305" s="34">
        <v>1</v>
      </c>
      <c r="S305" s="34">
        <v>1</v>
      </c>
      <c r="T305" s="34">
        <v>1</v>
      </c>
      <c r="U305" s="34">
        <v>1</v>
      </c>
      <c r="V305" s="34">
        <v>1</v>
      </c>
      <c r="W305" s="34">
        <v>1</v>
      </c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10">
        <f t="shared" si="12"/>
        <v>14</v>
      </c>
      <c r="AL305" s="11">
        <v>32000</v>
      </c>
      <c r="AM305" s="12">
        <f t="shared" si="14"/>
        <v>448000</v>
      </c>
    </row>
    <row r="306" spans="1:39" ht="13.5" customHeight="1">
      <c r="A306" s="48" t="s">
        <v>84</v>
      </c>
      <c r="B306" s="32">
        <v>83</v>
      </c>
      <c r="C306" s="33" t="s">
        <v>401</v>
      </c>
      <c r="D306" s="33" t="s">
        <v>292</v>
      </c>
      <c r="E306" s="33" t="s">
        <v>25</v>
      </c>
      <c r="F306" s="32" t="s">
        <v>852</v>
      </c>
      <c r="G306" s="46"/>
      <c r="H306" s="46"/>
      <c r="I306" s="46"/>
      <c r="J306" s="34">
        <v>1</v>
      </c>
      <c r="K306" s="34">
        <v>1</v>
      </c>
      <c r="L306" s="34">
        <v>1</v>
      </c>
      <c r="M306" s="34">
        <v>1</v>
      </c>
      <c r="N306" s="34">
        <v>1</v>
      </c>
      <c r="O306" s="34">
        <v>1</v>
      </c>
      <c r="P306" s="34">
        <v>1</v>
      </c>
      <c r="Q306" s="34">
        <v>1</v>
      </c>
      <c r="R306" s="34">
        <v>1</v>
      </c>
      <c r="S306" s="34">
        <v>1</v>
      </c>
      <c r="T306" s="34">
        <v>1</v>
      </c>
      <c r="U306" s="34">
        <v>1</v>
      </c>
      <c r="V306" s="34">
        <v>1</v>
      </c>
      <c r="W306" s="34">
        <v>1</v>
      </c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10">
        <f t="shared" si="12"/>
        <v>14</v>
      </c>
      <c r="AL306" s="11">
        <v>32000</v>
      </c>
      <c r="AM306" s="12">
        <f t="shared" si="14"/>
        <v>448000</v>
      </c>
    </row>
    <row r="307" spans="1:39" ht="13.5" customHeight="1">
      <c r="A307" s="48" t="s">
        <v>84</v>
      </c>
      <c r="B307" s="32">
        <v>84</v>
      </c>
      <c r="C307" s="33" t="s">
        <v>519</v>
      </c>
      <c r="D307" s="33" t="s">
        <v>302</v>
      </c>
      <c r="E307" s="33" t="s">
        <v>303</v>
      </c>
      <c r="F307" s="32" t="s">
        <v>304</v>
      </c>
      <c r="G307" s="46"/>
      <c r="H307" s="46"/>
      <c r="I307" s="46"/>
      <c r="J307" s="34">
        <v>1</v>
      </c>
      <c r="K307" s="34">
        <v>1</v>
      </c>
      <c r="L307" s="34">
        <v>1</v>
      </c>
      <c r="M307" s="34">
        <v>1</v>
      </c>
      <c r="N307" s="34">
        <v>1</v>
      </c>
      <c r="O307" s="34">
        <v>1</v>
      </c>
      <c r="P307" s="34">
        <v>1</v>
      </c>
      <c r="Q307" s="34">
        <v>1</v>
      </c>
      <c r="R307" s="34">
        <v>1</v>
      </c>
      <c r="S307" s="34">
        <v>1</v>
      </c>
      <c r="T307" s="34">
        <v>1</v>
      </c>
      <c r="U307" s="34">
        <v>1</v>
      </c>
      <c r="V307" s="34">
        <v>1</v>
      </c>
      <c r="W307" s="34">
        <v>1</v>
      </c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10">
        <f t="shared" si="12"/>
        <v>14</v>
      </c>
      <c r="AL307" s="11">
        <v>32000</v>
      </c>
      <c r="AM307" s="12">
        <f t="shared" si="14"/>
        <v>448000</v>
      </c>
    </row>
    <row r="308" spans="1:39" ht="13.5" customHeight="1">
      <c r="A308" s="48" t="s">
        <v>84</v>
      </c>
      <c r="B308" s="32">
        <v>84</v>
      </c>
      <c r="C308" s="33" t="s">
        <v>256</v>
      </c>
      <c r="D308" s="33" t="s">
        <v>257</v>
      </c>
      <c r="E308" s="33" t="s">
        <v>245</v>
      </c>
      <c r="F308" s="32" t="s">
        <v>270</v>
      </c>
      <c r="G308" s="46"/>
      <c r="H308" s="46"/>
      <c r="I308" s="46"/>
      <c r="J308" s="34">
        <v>1</v>
      </c>
      <c r="K308" s="34">
        <v>1</v>
      </c>
      <c r="L308" s="34">
        <v>1</v>
      </c>
      <c r="M308" s="34">
        <v>1</v>
      </c>
      <c r="N308" s="34">
        <v>1</v>
      </c>
      <c r="O308" s="34">
        <v>1</v>
      </c>
      <c r="P308" s="34">
        <v>1</v>
      </c>
      <c r="Q308" s="34">
        <v>1</v>
      </c>
      <c r="R308" s="34">
        <v>1</v>
      </c>
      <c r="S308" s="34">
        <v>1</v>
      </c>
      <c r="T308" s="34">
        <v>1</v>
      </c>
      <c r="U308" s="34">
        <v>1</v>
      </c>
      <c r="V308" s="34">
        <v>1</v>
      </c>
      <c r="W308" s="34">
        <v>1</v>
      </c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10">
        <f t="shared" ref="AK308:AK371" si="15">SUM(G308:AJ308)</f>
        <v>14</v>
      </c>
      <c r="AL308" s="11">
        <v>32000</v>
      </c>
      <c r="AM308" s="12">
        <f t="shared" si="14"/>
        <v>448000</v>
      </c>
    </row>
    <row r="309" spans="1:39" ht="13.5" customHeight="1">
      <c r="A309" s="48" t="s">
        <v>84</v>
      </c>
      <c r="B309" s="32">
        <v>87</v>
      </c>
      <c r="C309" s="33" t="s">
        <v>274</v>
      </c>
      <c r="D309" s="33" t="s">
        <v>275</v>
      </c>
      <c r="E309" s="33" t="s">
        <v>64</v>
      </c>
      <c r="F309" s="32" t="s">
        <v>279</v>
      </c>
      <c r="G309" s="46"/>
      <c r="H309" s="46"/>
      <c r="I309" s="46"/>
      <c r="J309" s="34">
        <v>1</v>
      </c>
      <c r="K309" s="34">
        <v>1</v>
      </c>
      <c r="L309" s="34">
        <v>1</v>
      </c>
      <c r="M309" s="34">
        <v>1</v>
      </c>
      <c r="N309" s="34">
        <v>1</v>
      </c>
      <c r="O309" s="34">
        <v>1</v>
      </c>
      <c r="P309" s="34">
        <v>1</v>
      </c>
      <c r="Q309" s="34">
        <v>1</v>
      </c>
      <c r="R309" s="34">
        <v>1</v>
      </c>
      <c r="S309" s="34">
        <v>1</v>
      </c>
      <c r="T309" s="34">
        <v>1</v>
      </c>
      <c r="U309" s="34">
        <v>1</v>
      </c>
      <c r="V309" s="34">
        <v>1</v>
      </c>
      <c r="W309" s="34">
        <v>1</v>
      </c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10">
        <f t="shared" si="15"/>
        <v>14</v>
      </c>
      <c r="AL309" s="11">
        <v>32000</v>
      </c>
      <c r="AM309" s="12">
        <f t="shared" si="14"/>
        <v>448000</v>
      </c>
    </row>
    <row r="310" spans="1:39" ht="13.5" customHeight="1">
      <c r="A310" s="48" t="s">
        <v>84</v>
      </c>
      <c r="B310" s="32">
        <v>87</v>
      </c>
      <c r="C310" s="33" t="s">
        <v>104</v>
      </c>
      <c r="D310" s="33" t="s">
        <v>276</v>
      </c>
      <c r="E310" s="33" t="s">
        <v>61</v>
      </c>
      <c r="F310" s="32" t="s">
        <v>278</v>
      </c>
      <c r="G310" s="46"/>
      <c r="H310" s="46"/>
      <c r="I310" s="46"/>
      <c r="J310" s="34">
        <v>1</v>
      </c>
      <c r="K310" s="34">
        <v>1</v>
      </c>
      <c r="L310" s="34">
        <v>1</v>
      </c>
      <c r="M310" s="34">
        <v>1</v>
      </c>
      <c r="N310" s="34">
        <v>1</v>
      </c>
      <c r="O310" s="34">
        <v>1</v>
      </c>
      <c r="P310" s="34">
        <v>1</v>
      </c>
      <c r="Q310" s="34">
        <v>1</v>
      </c>
      <c r="R310" s="34">
        <v>1</v>
      </c>
      <c r="S310" s="34">
        <v>1</v>
      </c>
      <c r="T310" s="34">
        <v>1</v>
      </c>
      <c r="U310" s="34">
        <v>1</v>
      </c>
      <c r="V310" s="34">
        <v>1</v>
      </c>
      <c r="W310" s="34">
        <v>1</v>
      </c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10">
        <f t="shared" si="15"/>
        <v>14</v>
      </c>
      <c r="AL310" s="11">
        <v>32000</v>
      </c>
      <c r="AM310" s="12">
        <f t="shared" si="14"/>
        <v>448000</v>
      </c>
    </row>
    <row r="311" spans="1:39" ht="13.5" customHeight="1">
      <c r="A311" s="48" t="s">
        <v>84</v>
      </c>
      <c r="B311" s="32">
        <v>88</v>
      </c>
      <c r="C311" s="33" t="s">
        <v>755</v>
      </c>
      <c r="D311" s="33" t="s">
        <v>299</v>
      </c>
      <c r="E311" s="33" t="s">
        <v>317</v>
      </c>
      <c r="F311" s="32" t="s">
        <v>622</v>
      </c>
      <c r="G311" s="46"/>
      <c r="H311" s="46"/>
      <c r="I311" s="46"/>
      <c r="J311" s="34">
        <v>1</v>
      </c>
      <c r="K311" s="34">
        <v>1</v>
      </c>
      <c r="L311" s="34">
        <v>1</v>
      </c>
      <c r="M311" s="34">
        <v>1</v>
      </c>
      <c r="N311" s="34">
        <v>1</v>
      </c>
      <c r="O311" s="34">
        <v>1</v>
      </c>
      <c r="P311" s="34">
        <v>1</v>
      </c>
      <c r="Q311" s="34">
        <v>1</v>
      </c>
      <c r="R311" s="34">
        <v>1</v>
      </c>
      <c r="S311" s="34">
        <v>1</v>
      </c>
      <c r="T311" s="34">
        <v>1</v>
      </c>
      <c r="U311" s="34">
        <v>1</v>
      </c>
      <c r="V311" s="34">
        <v>1</v>
      </c>
      <c r="W311" s="34">
        <v>1</v>
      </c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10">
        <f t="shared" si="15"/>
        <v>14</v>
      </c>
      <c r="AL311" s="11">
        <v>32000</v>
      </c>
      <c r="AM311" s="12">
        <f t="shared" si="14"/>
        <v>448000</v>
      </c>
    </row>
    <row r="312" spans="1:39" ht="13.5" customHeight="1">
      <c r="A312" s="48" t="s">
        <v>84</v>
      </c>
      <c r="B312" s="32">
        <v>88</v>
      </c>
      <c r="C312" s="33" t="s">
        <v>901</v>
      </c>
      <c r="D312" s="33" t="s">
        <v>902</v>
      </c>
      <c r="E312" s="33" t="s">
        <v>493</v>
      </c>
      <c r="F312" s="32" t="s">
        <v>903</v>
      </c>
      <c r="G312" s="46"/>
      <c r="H312" s="46"/>
      <c r="I312" s="46"/>
      <c r="J312" s="34">
        <v>1</v>
      </c>
      <c r="K312" s="34">
        <v>1</v>
      </c>
      <c r="L312" s="34">
        <v>1</v>
      </c>
      <c r="M312" s="34">
        <v>1</v>
      </c>
      <c r="N312" s="34">
        <v>1</v>
      </c>
      <c r="O312" s="34">
        <v>1</v>
      </c>
      <c r="P312" s="34">
        <v>1</v>
      </c>
      <c r="Q312" s="34">
        <v>1</v>
      </c>
      <c r="R312" s="34">
        <v>1</v>
      </c>
      <c r="S312" s="34">
        <v>1</v>
      </c>
      <c r="T312" s="34">
        <v>1</v>
      </c>
      <c r="U312" s="34">
        <v>1</v>
      </c>
      <c r="V312" s="34">
        <v>1</v>
      </c>
      <c r="W312" s="34">
        <v>1</v>
      </c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10">
        <f t="shared" si="15"/>
        <v>14</v>
      </c>
      <c r="AL312" s="11">
        <v>32000</v>
      </c>
      <c r="AM312" s="12">
        <f t="shared" si="14"/>
        <v>448000</v>
      </c>
    </row>
    <row r="313" spans="1:39" ht="13.5" customHeight="1">
      <c r="A313" s="48" t="s">
        <v>84</v>
      </c>
      <c r="B313" s="32">
        <v>89</v>
      </c>
      <c r="C313" s="33" t="s">
        <v>910</v>
      </c>
      <c r="D313" s="33" t="s">
        <v>20</v>
      </c>
      <c r="E313" s="33" t="s">
        <v>468</v>
      </c>
      <c r="F313" s="32" t="s">
        <v>911</v>
      </c>
      <c r="G313" s="46"/>
      <c r="H313" s="46"/>
      <c r="I313" s="46"/>
      <c r="J313" s="34">
        <v>1</v>
      </c>
      <c r="K313" s="34">
        <v>1</v>
      </c>
      <c r="L313" s="34">
        <v>1</v>
      </c>
      <c r="M313" s="34">
        <v>1</v>
      </c>
      <c r="N313" s="34">
        <v>1</v>
      </c>
      <c r="O313" s="34">
        <v>1</v>
      </c>
      <c r="P313" s="34">
        <v>1</v>
      </c>
      <c r="Q313" s="34">
        <v>1</v>
      </c>
      <c r="R313" s="34">
        <v>1</v>
      </c>
      <c r="S313" s="34">
        <v>1</v>
      </c>
      <c r="T313" s="34">
        <v>1</v>
      </c>
      <c r="U313" s="34">
        <v>1</v>
      </c>
      <c r="V313" s="34">
        <v>1</v>
      </c>
      <c r="W313" s="34">
        <v>1</v>
      </c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10">
        <f t="shared" si="15"/>
        <v>14</v>
      </c>
      <c r="AL313" s="11">
        <v>32000</v>
      </c>
      <c r="AM313" s="12">
        <f t="shared" si="14"/>
        <v>448000</v>
      </c>
    </row>
    <row r="314" spans="1:39" ht="13.5" customHeight="1">
      <c r="A314" s="48" t="s">
        <v>84</v>
      </c>
      <c r="B314" s="32">
        <v>89</v>
      </c>
      <c r="C314" s="33" t="s">
        <v>118</v>
      </c>
      <c r="D314" s="33" t="s">
        <v>514</v>
      </c>
      <c r="E314" s="33" t="s">
        <v>11</v>
      </c>
      <c r="F314" s="32" t="s">
        <v>915</v>
      </c>
      <c r="G314" s="46"/>
      <c r="H314" s="46"/>
      <c r="I314" s="46"/>
      <c r="J314" s="34">
        <v>1</v>
      </c>
      <c r="K314" s="34">
        <v>1</v>
      </c>
      <c r="L314" s="34">
        <v>1</v>
      </c>
      <c r="M314" s="34">
        <v>1</v>
      </c>
      <c r="N314" s="34">
        <v>1</v>
      </c>
      <c r="O314" s="34">
        <v>1</v>
      </c>
      <c r="P314" s="34">
        <v>1</v>
      </c>
      <c r="Q314" s="34">
        <v>1</v>
      </c>
      <c r="R314" s="34">
        <v>1</v>
      </c>
      <c r="S314" s="34">
        <v>1</v>
      </c>
      <c r="T314" s="34">
        <v>1</v>
      </c>
      <c r="U314" s="34">
        <v>1</v>
      </c>
      <c r="V314" s="34">
        <v>1</v>
      </c>
      <c r="W314" s="34">
        <v>1</v>
      </c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10">
        <f t="shared" si="15"/>
        <v>14</v>
      </c>
      <c r="AL314" s="11">
        <v>32000</v>
      </c>
      <c r="AM314" s="12">
        <f t="shared" si="14"/>
        <v>448000</v>
      </c>
    </row>
    <row r="315" spans="1:39" ht="13.5" customHeight="1">
      <c r="A315" s="48" t="s">
        <v>84</v>
      </c>
      <c r="B315" s="32">
        <v>90</v>
      </c>
      <c r="C315" s="33" t="s">
        <v>189</v>
      </c>
      <c r="D315" s="33" t="s">
        <v>152</v>
      </c>
      <c r="E315" s="33" t="s">
        <v>29</v>
      </c>
      <c r="F315" s="32" t="s">
        <v>295</v>
      </c>
      <c r="G315" s="46"/>
      <c r="H315" s="46"/>
      <c r="I315" s="46"/>
      <c r="J315" s="34">
        <v>1</v>
      </c>
      <c r="K315" s="34">
        <v>1</v>
      </c>
      <c r="L315" s="34">
        <v>1</v>
      </c>
      <c r="M315" s="34">
        <v>1</v>
      </c>
      <c r="N315" s="34">
        <v>1</v>
      </c>
      <c r="O315" s="34">
        <v>1</v>
      </c>
      <c r="P315" s="34">
        <v>1</v>
      </c>
      <c r="Q315" s="34">
        <v>1</v>
      </c>
      <c r="R315" s="34">
        <v>1</v>
      </c>
      <c r="S315" s="34">
        <v>1</v>
      </c>
      <c r="T315" s="34">
        <v>1</v>
      </c>
      <c r="U315" s="34">
        <v>1</v>
      </c>
      <c r="V315" s="34">
        <v>1</v>
      </c>
      <c r="W315" s="34">
        <v>1</v>
      </c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10">
        <f t="shared" si="15"/>
        <v>14</v>
      </c>
      <c r="AL315" s="11">
        <v>32000</v>
      </c>
      <c r="AM315" s="12">
        <f t="shared" si="14"/>
        <v>448000</v>
      </c>
    </row>
    <row r="316" spans="1:39" ht="13.5" customHeight="1">
      <c r="A316" s="48" t="s">
        <v>84</v>
      </c>
      <c r="B316" s="32">
        <v>90</v>
      </c>
      <c r="C316" s="33" t="s">
        <v>292</v>
      </c>
      <c r="D316" s="33" t="s">
        <v>20</v>
      </c>
      <c r="E316" s="33" t="s">
        <v>293</v>
      </c>
      <c r="F316" s="32" t="s">
        <v>294</v>
      </c>
      <c r="G316" s="46"/>
      <c r="H316" s="46"/>
      <c r="I316" s="46"/>
      <c r="J316" s="34">
        <v>1</v>
      </c>
      <c r="K316" s="34">
        <v>1</v>
      </c>
      <c r="L316" s="34">
        <v>1</v>
      </c>
      <c r="M316" s="34">
        <v>1</v>
      </c>
      <c r="N316" s="34">
        <v>1</v>
      </c>
      <c r="O316" s="34">
        <v>1</v>
      </c>
      <c r="P316" s="34">
        <v>1</v>
      </c>
      <c r="Q316" s="34">
        <v>1</v>
      </c>
      <c r="R316" s="34">
        <v>1</v>
      </c>
      <c r="S316" s="34">
        <v>1</v>
      </c>
      <c r="T316" s="34">
        <v>1</v>
      </c>
      <c r="U316" s="34">
        <v>1</v>
      </c>
      <c r="V316" s="34">
        <v>1</v>
      </c>
      <c r="W316" s="34">
        <v>1</v>
      </c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10">
        <f t="shared" si="15"/>
        <v>14</v>
      </c>
      <c r="AL316" s="11">
        <v>32000</v>
      </c>
      <c r="AM316" s="12">
        <f t="shared" si="14"/>
        <v>448000</v>
      </c>
    </row>
    <row r="317" spans="1:39" ht="13.5" customHeight="1">
      <c r="A317" s="48" t="s">
        <v>84</v>
      </c>
      <c r="B317" s="32">
        <v>91</v>
      </c>
      <c r="C317" s="33" t="s">
        <v>618</v>
      </c>
      <c r="D317" s="33" t="s">
        <v>618</v>
      </c>
      <c r="E317" s="33" t="s">
        <v>9</v>
      </c>
      <c r="F317" s="32" t="s">
        <v>623</v>
      </c>
      <c r="G317" s="46"/>
      <c r="H317" s="46"/>
      <c r="I317" s="46"/>
      <c r="J317" s="34">
        <v>1</v>
      </c>
      <c r="K317" s="34">
        <v>1</v>
      </c>
      <c r="L317" s="34">
        <v>1</v>
      </c>
      <c r="M317" s="34">
        <v>1</v>
      </c>
      <c r="N317" s="34">
        <v>1</v>
      </c>
      <c r="O317" s="34">
        <v>1</v>
      </c>
      <c r="P317" s="34">
        <v>1</v>
      </c>
      <c r="Q317" s="34">
        <v>1</v>
      </c>
      <c r="R317" s="34">
        <v>1</v>
      </c>
      <c r="S317" s="34">
        <v>1</v>
      </c>
      <c r="T317" s="34">
        <v>1</v>
      </c>
      <c r="U317" s="34">
        <v>1</v>
      </c>
      <c r="V317" s="34">
        <v>1</v>
      </c>
      <c r="W317" s="34">
        <v>1</v>
      </c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10">
        <f t="shared" si="15"/>
        <v>14</v>
      </c>
      <c r="AL317" s="11">
        <v>32000</v>
      </c>
      <c r="AM317" s="12">
        <f t="shared" si="14"/>
        <v>448000</v>
      </c>
    </row>
    <row r="318" spans="1:39" ht="13.5" customHeight="1">
      <c r="A318" s="48" t="s">
        <v>84</v>
      </c>
      <c r="B318" s="32">
        <v>91</v>
      </c>
      <c r="C318" s="33" t="s">
        <v>262</v>
      </c>
      <c r="D318" s="33" t="s">
        <v>525</v>
      </c>
      <c r="E318" s="33" t="s">
        <v>526</v>
      </c>
      <c r="F318" s="32" t="s">
        <v>527</v>
      </c>
      <c r="G318" s="46"/>
      <c r="H318" s="46"/>
      <c r="I318" s="46"/>
      <c r="J318" s="34">
        <v>1</v>
      </c>
      <c r="K318" s="34">
        <v>1</v>
      </c>
      <c r="L318" s="34">
        <v>1</v>
      </c>
      <c r="M318" s="34">
        <v>1</v>
      </c>
      <c r="N318" s="34">
        <v>1</v>
      </c>
      <c r="O318" s="34">
        <v>1</v>
      </c>
      <c r="P318" s="34">
        <v>1</v>
      </c>
      <c r="Q318" s="34">
        <v>1</v>
      </c>
      <c r="R318" s="34">
        <v>1</v>
      </c>
      <c r="S318" s="34">
        <v>1</v>
      </c>
      <c r="T318" s="34">
        <v>1</v>
      </c>
      <c r="U318" s="34">
        <v>1</v>
      </c>
      <c r="V318" s="34">
        <v>1</v>
      </c>
      <c r="W318" s="34">
        <v>1</v>
      </c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10">
        <f t="shared" si="15"/>
        <v>14</v>
      </c>
      <c r="AL318" s="11">
        <v>32000</v>
      </c>
      <c r="AM318" s="12">
        <f t="shared" si="14"/>
        <v>448000</v>
      </c>
    </row>
    <row r="319" spans="1:39" ht="13.5" customHeight="1">
      <c r="A319" s="48" t="s">
        <v>84</v>
      </c>
      <c r="B319" s="32">
        <v>91</v>
      </c>
      <c r="C319" s="33" t="s">
        <v>966</v>
      </c>
      <c r="D319" s="33" t="s">
        <v>967</v>
      </c>
      <c r="E319" s="33" t="s">
        <v>29</v>
      </c>
      <c r="F319" s="32" t="s">
        <v>968</v>
      </c>
      <c r="G319" s="46"/>
      <c r="H319" s="46"/>
      <c r="I319" s="46"/>
      <c r="J319" s="34">
        <v>1</v>
      </c>
      <c r="K319" s="34">
        <v>1</v>
      </c>
      <c r="L319" s="34">
        <v>1</v>
      </c>
      <c r="M319" s="34">
        <v>1</v>
      </c>
      <c r="N319" s="34">
        <v>1</v>
      </c>
      <c r="O319" s="34">
        <v>1</v>
      </c>
      <c r="P319" s="34">
        <v>1</v>
      </c>
      <c r="Q319" s="34">
        <v>1</v>
      </c>
      <c r="R319" s="34">
        <v>1</v>
      </c>
      <c r="S319" s="34">
        <v>1</v>
      </c>
      <c r="T319" s="34">
        <v>1</v>
      </c>
      <c r="U319" s="34">
        <v>1</v>
      </c>
      <c r="V319" s="34">
        <v>1</v>
      </c>
      <c r="W319" s="34">
        <v>1</v>
      </c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10">
        <f t="shared" si="15"/>
        <v>14</v>
      </c>
      <c r="AL319" s="11">
        <v>32000</v>
      </c>
      <c r="AM319" s="12">
        <f t="shared" si="14"/>
        <v>448000</v>
      </c>
    </row>
    <row r="320" spans="1:39" ht="13.5" customHeight="1">
      <c r="A320" s="48" t="s">
        <v>84</v>
      </c>
      <c r="B320" s="32">
        <v>92</v>
      </c>
      <c r="C320" s="33" t="s">
        <v>13</v>
      </c>
      <c r="D320" s="33" t="s">
        <v>27</v>
      </c>
      <c r="E320" s="33" t="s">
        <v>11</v>
      </c>
      <c r="F320" s="32" t="s">
        <v>307</v>
      </c>
      <c r="G320" s="46"/>
      <c r="H320" s="46"/>
      <c r="I320" s="46"/>
      <c r="J320" s="34">
        <v>1</v>
      </c>
      <c r="K320" s="34">
        <v>1</v>
      </c>
      <c r="L320" s="34">
        <v>1</v>
      </c>
      <c r="M320" s="34">
        <v>1</v>
      </c>
      <c r="N320" s="34">
        <v>1</v>
      </c>
      <c r="O320" s="34">
        <v>1</v>
      </c>
      <c r="P320" s="34">
        <v>1</v>
      </c>
      <c r="Q320" s="34">
        <v>1</v>
      </c>
      <c r="R320" s="34">
        <v>1</v>
      </c>
      <c r="S320" s="34">
        <v>1</v>
      </c>
      <c r="T320" s="34">
        <v>1</v>
      </c>
      <c r="U320" s="34">
        <v>1</v>
      </c>
      <c r="V320" s="34">
        <v>1</v>
      </c>
      <c r="W320" s="34">
        <v>1</v>
      </c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10">
        <f t="shared" si="15"/>
        <v>14</v>
      </c>
      <c r="AL320" s="11">
        <v>32000</v>
      </c>
      <c r="AM320" s="12">
        <f t="shared" si="14"/>
        <v>448000</v>
      </c>
    </row>
    <row r="321" spans="1:39" ht="13.5" customHeight="1">
      <c r="A321" s="48" t="s">
        <v>84</v>
      </c>
      <c r="B321" s="32">
        <v>92</v>
      </c>
      <c r="C321" s="33" t="s">
        <v>890</v>
      </c>
      <c r="D321" s="33" t="s">
        <v>155</v>
      </c>
      <c r="E321" s="33" t="s">
        <v>301</v>
      </c>
      <c r="F321" s="32" t="s">
        <v>305</v>
      </c>
      <c r="G321" s="46"/>
      <c r="H321" s="46"/>
      <c r="I321" s="46"/>
      <c r="J321" s="34">
        <v>1</v>
      </c>
      <c r="K321" s="34">
        <v>1</v>
      </c>
      <c r="L321" s="34">
        <v>1</v>
      </c>
      <c r="M321" s="34">
        <v>1</v>
      </c>
      <c r="N321" s="34">
        <v>1</v>
      </c>
      <c r="O321" s="34">
        <v>1</v>
      </c>
      <c r="P321" s="34">
        <v>1</v>
      </c>
      <c r="Q321" s="34">
        <v>1</v>
      </c>
      <c r="R321" s="34">
        <v>1</v>
      </c>
      <c r="S321" s="34">
        <v>1</v>
      </c>
      <c r="T321" s="34">
        <v>1</v>
      </c>
      <c r="U321" s="34">
        <v>1</v>
      </c>
      <c r="V321" s="34">
        <v>1</v>
      </c>
      <c r="W321" s="34">
        <v>1</v>
      </c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10">
        <f t="shared" si="15"/>
        <v>14</v>
      </c>
      <c r="AL321" s="11">
        <v>32000</v>
      </c>
      <c r="AM321" s="12">
        <f t="shared" si="14"/>
        <v>448000</v>
      </c>
    </row>
    <row r="322" spans="1:39" ht="13.5" customHeight="1">
      <c r="A322" s="48" t="s">
        <v>84</v>
      </c>
      <c r="B322" s="32">
        <v>93</v>
      </c>
      <c r="C322" s="33" t="s">
        <v>285</v>
      </c>
      <c r="D322" s="33" t="s">
        <v>286</v>
      </c>
      <c r="E322" s="33" t="s">
        <v>263</v>
      </c>
      <c r="F322" s="32" t="s">
        <v>287</v>
      </c>
      <c r="G322" s="46"/>
      <c r="H322" s="46"/>
      <c r="I322" s="46"/>
      <c r="J322" s="34">
        <v>1</v>
      </c>
      <c r="K322" s="34">
        <v>1</v>
      </c>
      <c r="L322" s="34">
        <v>1</v>
      </c>
      <c r="M322" s="34">
        <v>1</v>
      </c>
      <c r="N322" s="34">
        <v>1</v>
      </c>
      <c r="O322" s="34">
        <v>1</v>
      </c>
      <c r="P322" s="34">
        <v>1</v>
      </c>
      <c r="Q322" s="34">
        <v>1</v>
      </c>
      <c r="R322" s="34">
        <v>1</v>
      </c>
      <c r="S322" s="34">
        <v>1</v>
      </c>
      <c r="T322" s="34">
        <v>1</v>
      </c>
      <c r="U322" s="34">
        <v>1</v>
      </c>
      <c r="V322" s="34">
        <v>1</v>
      </c>
      <c r="W322" s="34">
        <v>1</v>
      </c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10">
        <f t="shared" si="15"/>
        <v>14</v>
      </c>
      <c r="AL322" s="11">
        <v>32000</v>
      </c>
      <c r="AM322" s="12">
        <f t="shared" si="14"/>
        <v>448000</v>
      </c>
    </row>
    <row r="323" spans="1:39" ht="13.5" customHeight="1">
      <c r="A323" s="48" t="s">
        <v>84</v>
      </c>
      <c r="B323" s="32">
        <v>93</v>
      </c>
      <c r="C323" s="33" t="s">
        <v>115</v>
      </c>
      <c r="D323" s="33" t="s">
        <v>284</v>
      </c>
      <c r="E323" s="33" t="s">
        <v>64</v>
      </c>
      <c r="F323" s="32" t="s">
        <v>288</v>
      </c>
      <c r="G323" s="46"/>
      <c r="H323" s="46"/>
      <c r="I323" s="46"/>
      <c r="J323" s="34">
        <v>1</v>
      </c>
      <c r="K323" s="34">
        <v>1</v>
      </c>
      <c r="L323" s="34">
        <v>1</v>
      </c>
      <c r="M323" s="34">
        <v>1</v>
      </c>
      <c r="N323" s="34">
        <v>1</v>
      </c>
      <c r="O323" s="34">
        <v>1</v>
      </c>
      <c r="P323" s="34">
        <v>1</v>
      </c>
      <c r="Q323" s="34">
        <v>1</v>
      </c>
      <c r="R323" s="34">
        <v>1</v>
      </c>
      <c r="S323" s="34">
        <v>1</v>
      </c>
      <c r="T323" s="34">
        <v>1</v>
      </c>
      <c r="U323" s="34">
        <v>1</v>
      </c>
      <c r="V323" s="34">
        <v>1</v>
      </c>
      <c r="W323" s="34">
        <v>1</v>
      </c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10">
        <f t="shared" si="15"/>
        <v>14</v>
      </c>
      <c r="AL323" s="11">
        <v>32000</v>
      </c>
      <c r="AM323" s="12">
        <f t="shared" si="14"/>
        <v>448000</v>
      </c>
    </row>
    <row r="324" spans="1:39" ht="13.5" customHeight="1">
      <c r="A324" s="48" t="s">
        <v>84</v>
      </c>
      <c r="B324" s="32">
        <v>94</v>
      </c>
      <c r="C324" s="33" t="s">
        <v>650</v>
      </c>
      <c r="D324" s="33" t="s">
        <v>363</v>
      </c>
      <c r="E324" s="33" t="s">
        <v>29</v>
      </c>
      <c r="F324" s="32" t="s">
        <v>657</v>
      </c>
      <c r="G324" s="46"/>
      <c r="H324" s="46"/>
      <c r="I324" s="46"/>
      <c r="J324" s="34">
        <v>1</v>
      </c>
      <c r="K324" s="34">
        <v>1</v>
      </c>
      <c r="L324" s="34">
        <v>1</v>
      </c>
      <c r="M324" s="34">
        <v>1</v>
      </c>
      <c r="N324" s="34">
        <v>1</v>
      </c>
      <c r="O324" s="34">
        <v>1</v>
      </c>
      <c r="P324" s="34">
        <v>1</v>
      </c>
      <c r="Q324" s="34">
        <v>1</v>
      </c>
      <c r="R324" s="34">
        <v>1</v>
      </c>
      <c r="S324" s="34">
        <v>1</v>
      </c>
      <c r="T324" s="34">
        <v>1</v>
      </c>
      <c r="U324" s="34">
        <v>1</v>
      </c>
      <c r="V324" s="34">
        <v>1</v>
      </c>
      <c r="W324" s="34">
        <v>1</v>
      </c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10">
        <f t="shared" si="15"/>
        <v>14</v>
      </c>
      <c r="AL324" s="11">
        <v>32000</v>
      </c>
      <c r="AM324" s="12">
        <f t="shared" si="14"/>
        <v>448000</v>
      </c>
    </row>
    <row r="325" spans="1:39" ht="13.5" customHeight="1">
      <c r="A325" s="48" t="s">
        <v>84</v>
      </c>
      <c r="B325" s="32">
        <v>94</v>
      </c>
      <c r="C325" s="33" t="s">
        <v>130</v>
      </c>
      <c r="D325" s="33" t="s">
        <v>63</v>
      </c>
      <c r="E325" s="33" t="s">
        <v>324</v>
      </c>
      <c r="F325" s="32" t="s">
        <v>656</v>
      </c>
      <c r="G325" s="46"/>
      <c r="H325" s="46"/>
      <c r="I325" s="46"/>
      <c r="J325" s="34">
        <v>1</v>
      </c>
      <c r="K325" s="34">
        <v>1</v>
      </c>
      <c r="L325" s="34">
        <v>1</v>
      </c>
      <c r="M325" s="34">
        <v>1</v>
      </c>
      <c r="N325" s="34">
        <v>1</v>
      </c>
      <c r="O325" s="34">
        <v>1</v>
      </c>
      <c r="P325" s="34">
        <v>1</v>
      </c>
      <c r="Q325" s="34">
        <v>1</v>
      </c>
      <c r="R325" s="34">
        <v>1</v>
      </c>
      <c r="S325" s="34">
        <v>1</v>
      </c>
      <c r="T325" s="34">
        <v>1</v>
      </c>
      <c r="U325" s="34">
        <v>1</v>
      </c>
      <c r="V325" s="34">
        <v>1</v>
      </c>
      <c r="W325" s="34">
        <v>1</v>
      </c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10">
        <f t="shared" si="15"/>
        <v>14</v>
      </c>
      <c r="AL325" s="11">
        <v>32000</v>
      </c>
      <c r="AM325" s="12">
        <f t="shared" ref="AM325:AM356" si="16">AL325*AK325</f>
        <v>448000</v>
      </c>
    </row>
    <row r="326" spans="1:39" ht="13.5" customHeight="1">
      <c r="A326" s="48" t="s">
        <v>84</v>
      </c>
      <c r="B326" s="32">
        <v>96</v>
      </c>
      <c r="C326" s="33" t="s">
        <v>853</v>
      </c>
      <c r="D326" s="33" t="s">
        <v>123</v>
      </c>
      <c r="E326" s="33" t="s">
        <v>22</v>
      </c>
      <c r="F326" s="32" t="s">
        <v>854</v>
      </c>
      <c r="G326" s="46"/>
      <c r="H326" s="46"/>
      <c r="I326" s="46"/>
      <c r="J326" s="34">
        <v>1</v>
      </c>
      <c r="K326" s="34">
        <v>1</v>
      </c>
      <c r="L326" s="34">
        <v>1</v>
      </c>
      <c r="M326" s="34">
        <v>1</v>
      </c>
      <c r="N326" s="34">
        <v>1</v>
      </c>
      <c r="O326" s="34">
        <v>1</v>
      </c>
      <c r="P326" s="34">
        <v>1</v>
      </c>
      <c r="Q326" s="34">
        <v>1</v>
      </c>
      <c r="R326" s="34">
        <v>1</v>
      </c>
      <c r="S326" s="34">
        <v>1</v>
      </c>
      <c r="T326" s="34">
        <v>1</v>
      </c>
      <c r="U326" s="34">
        <v>1</v>
      </c>
      <c r="V326" s="34">
        <v>1</v>
      </c>
      <c r="W326" s="34">
        <v>1</v>
      </c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10">
        <f t="shared" si="15"/>
        <v>14</v>
      </c>
      <c r="AL326" s="11">
        <v>32000</v>
      </c>
      <c r="AM326" s="12">
        <f t="shared" si="16"/>
        <v>448000</v>
      </c>
    </row>
    <row r="327" spans="1:39" ht="13.5" customHeight="1">
      <c r="A327" s="48" t="s">
        <v>84</v>
      </c>
      <c r="B327" s="32">
        <v>96</v>
      </c>
      <c r="C327" s="33" t="s">
        <v>118</v>
      </c>
      <c r="D327" s="33" t="s">
        <v>274</v>
      </c>
      <c r="E327" s="33" t="s">
        <v>41</v>
      </c>
      <c r="F327" s="32" t="s">
        <v>277</v>
      </c>
      <c r="G327" s="46"/>
      <c r="H327" s="46"/>
      <c r="I327" s="46"/>
      <c r="J327" s="34">
        <v>1</v>
      </c>
      <c r="K327" s="34">
        <v>1</v>
      </c>
      <c r="L327" s="34">
        <v>1</v>
      </c>
      <c r="M327" s="34">
        <v>1</v>
      </c>
      <c r="N327" s="34">
        <v>1</v>
      </c>
      <c r="O327" s="34">
        <v>1</v>
      </c>
      <c r="P327" s="34">
        <v>1</v>
      </c>
      <c r="Q327" s="34">
        <v>1</v>
      </c>
      <c r="R327" s="34">
        <v>1</v>
      </c>
      <c r="S327" s="34">
        <v>1</v>
      </c>
      <c r="T327" s="34">
        <v>1</v>
      </c>
      <c r="U327" s="34">
        <v>1</v>
      </c>
      <c r="V327" s="34">
        <v>1</v>
      </c>
      <c r="W327" s="34">
        <v>1</v>
      </c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10">
        <f t="shared" si="15"/>
        <v>14</v>
      </c>
      <c r="AL327" s="11">
        <v>32000</v>
      </c>
      <c r="AM327" s="12">
        <f t="shared" si="16"/>
        <v>448000</v>
      </c>
    </row>
    <row r="328" spans="1:39" ht="13.5" customHeight="1">
      <c r="A328" s="48" t="s">
        <v>84</v>
      </c>
      <c r="B328" s="32">
        <v>97</v>
      </c>
      <c r="C328" s="33" t="s">
        <v>179</v>
      </c>
      <c r="D328" s="33" t="s">
        <v>89</v>
      </c>
      <c r="E328" s="33" t="s">
        <v>180</v>
      </c>
      <c r="F328" s="32" t="s">
        <v>181</v>
      </c>
      <c r="G328" s="46"/>
      <c r="H328" s="46"/>
      <c r="I328" s="46"/>
      <c r="J328" s="34">
        <v>1</v>
      </c>
      <c r="K328" s="34">
        <v>1</v>
      </c>
      <c r="L328" s="34">
        <v>1</v>
      </c>
      <c r="M328" s="34">
        <v>1</v>
      </c>
      <c r="N328" s="34">
        <v>1</v>
      </c>
      <c r="O328" s="34">
        <v>1</v>
      </c>
      <c r="P328" s="34">
        <v>1</v>
      </c>
      <c r="Q328" s="34">
        <v>1</v>
      </c>
      <c r="R328" s="34">
        <v>1</v>
      </c>
      <c r="S328" s="34">
        <v>1</v>
      </c>
      <c r="T328" s="34">
        <v>1</v>
      </c>
      <c r="U328" s="34">
        <v>1</v>
      </c>
      <c r="V328" s="34">
        <v>1</v>
      </c>
      <c r="W328" s="34">
        <v>1</v>
      </c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10">
        <f t="shared" si="15"/>
        <v>14</v>
      </c>
      <c r="AL328" s="11">
        <v>32000</v>
      </c>
      <c r="AM328" s="12">
        <f t="shared" si="16"/>
        <v>448000</v>
      </c>
    </row>
    <row r="329" spans="1:39" ht="13.5" customHeight="1">
      <c r="A329" s="48" t="s">
        <v>84</v>
      </c>
      <c r="B329" s="32">
        <v>97</v>
      </c>
      <c r="C329" s="33" t="s">
        <v>855</v>
      </c>
      <c r="D329" s="33" t="s">
        <v>195</v>
      </c>
      <c r="E329" s="33" t="s">
        <v>86</v>
      </c>
      <c r="F329" s="32" t="s">
        <v>856</v>
      </c>
      <c r="G329" s="46"/>
      <c r="H329" s="46"/>
      <c r="I329" s="46"/>
      <c r="J329" s="34">
        <v>1</v>
      </c>
      <c r="K329" s="34">
        <v>1</v>
      </c>
      <c r="L329" s="34">
        <v>1</v>
      </c>
      <c r="M329" s="34">
        <v>1</v>
      </c>
      <c r="N329" s="34">
        <v>1</v>
      </c>
      <c r="O329" s="34">
        <v>1</v>
      </c>
      <c r="P329" s="34">
        <v>1</v>
      </c>
      <c r="Q329" s="34">
        <v>1</v>
      </c>
      <c r="R329" s="34">
        <v>1</v>
      </c>
      <c r="S329" s="34">
        <v>1</v>
      </c>
      <c r="T329" s="34">
        <v>1</v>
      </c>
      <c r="U329" s="34">
        <v>1</v>
      </c>
      <c r="V329" s="34">
        <v>1</v>
      </c>
      <c r="W329" s="34">
        <v>1</v>
      </c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10">
        <f t="shared" si="15"/>
        <v>14</v>
      </c>
      <c r="AL329" s="11">
        <v>32000</v>
      </c>
      <c r="AM329" s="12">
        <f t="shared" si="16"/>
        <v>448000</v>
      </c>
    </row>
    <row r="330" spans="1:39" ht="13.5" customHeight="1">
      <c r="A330" s="48" t="s">
        <v>84</v>
      </c>
      <c r="B330" s="32">
        <v>98</v>
      </c>
      <c r="C330" s="33" t="s">
        <v>158</v>
      </c>
      <c r="D330" s="33" t="s">
        <v>158</v>
      </c>
      <c r="E330" s="33" t="s">
        <v>127</v>
      </c>
      <c r="F330" s="32" t="s">
        <v>806</v>
      </c>
      <c r="G330" s="46"/>
      <c r="H330" s="46"/>
      <c r="I330" s="46"/>
      <c r="J330" s="34">
        <v>1</v>
      </c>
      <c r="K330" s="34">
        <v>1</v>
      </c>
      <c r="L330" s="34">
        <v>1</v>
      </c>
      <c r="M330" s="34">
        <v>1</v>
      </c>
      <c r="N330" s="34">
        <v>1</v>
      </c>
      <c r="O330" s="34">
        <v>1</v>
      </c>
      <c r="P330" s="34">
        <v>1</v>
      </c>
      <c r="Q330" s="34">
        <v>1</v>
      </c>
      <c r="R330" s="34">
        <v>1</v>
      </c>
      <c r="S330" s="34">
        <v>1</v>
      </c>
      <c r="T330" s="34">
        <v>1</v>
      </c>
      <c r="U330" s="34">
        <v>1</v>
      </c>
      <c r="V330" s="34">
        <v>1</v>
      </c>
      <c r="W330" s="34">
        <v>1</v>
      </c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10">
        <f t="shared" si="15"/>
        <v>14</v>
      </c>
      <c r="AL330" s="11">
        <v>32000</v>
      </c>
      <c r="AM330" s="12">
        <f t="shared" si="16"/>
        <v>448000</v>
      </c>
    </row>
    <row r="331" spans="1:39" ht="13.5" customHeight="1">
      <c r="A331" s="48" t="s">
        <v>84</v>
      </c>
      <c r="B331" s="32">
        <v>98</v>
      </c>
      <c r="C331" s="33" t="s">
        <v>748</v>
      </c>
      <c r="D331" s="33" t="s">
        <v>668</v>
      </c>
      <c r="E331" s="33" t="s">
        <v>758</v>
      </c>
      <c r="F331" s="32" t="s">
        <v>669</v>
      </c>
      <c r="G331" s="46"/>
      <c r="H331" s="46"/>
      <c r="I331" s="46"/>
      <c r="J331" s="34">
        <v>1</v>
      </c>
      <c r="K331" s="34">
        <v>1</v>
      </c>
      <c r="L331" s="34">
        <v>1</v>
      </c>
      <c r="M331" s="34">
        <v>1</v>
      </c>
      <c r="N331" s="34">
        <v>1</v>
      </c>
      <c r="O331" s="34">
        <v>1</v>
      </c>
      <c r="P331" s="34">
        <v>1</v>
      </c>
      <c r="Q331" s="34">
        <v>1</v>
      </c>
      <c r="R331" s="34">
        <v>1</v>
      </c>
      <c r="S331" s="34">
        <v>1</v>
      </c>
      <c r="T331" s="34">
        <v>1</v>
      </c>
      <c r="U331" s="34">
        <v>1</v>
      </c>
      <c r="V331" s="34">
        <v>1</v>
      </c>
      <c r="W331" s="34">
        <v>1</v>
      </c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10">
        <f t="shared" si="15"/>
        <v>14</v>
      </c>
      <c r="AL331" s="11">
        <v>32000</v>
      </c>
      <c r="AM331" s="12">
        <f t="shared" si="16"/>
        <v>448000</v>
      </c>
    </row>
    <row r="332" spans="1:39" ht="13.5" customHeight="1">
      <c r="A332" s="48" t="s">
        <v>84</v>
      </c>
      <c r="B332" s="32">
        <v>98</v>
      </c>
      <c r="C332" s="33" t="s">
        <v>943</v>
      </c>
      <c r="D332" s="33" t="s">
        <v>660</v>
      </c>
      <c r="E332" s="33" t="s">
        <v>944</v>
      </c>
      <c r="F332" s="32" t="s">
        <v>945</v>
      </c>
      <c r="G332" s="46"/>
      <c r="H332" s="46"/>
      <c r="I332" s="46"/>
      <c r="J332" s="34">
        <v>1</v>
      </c>
      <c r="K332" s="34">
        <v>1</v>
      </c>
      <c r="L332" s="34">
        <v>1</v>
      </c>
      <c r="M332" s="34">
        <v>1</v>
      </c>
      <c r="N332" s="34">
        <v>1</v>
      </c>
      <c r="O332" s="34">
        <v>1</v>
      </c>
      <c r="P332" s="34">
        <v>1</v>
      </c>
      <c r="Q332" s="34">
        <v>1</v>
      </c>
      <c r="R332" s="34">
        <v>1</v>
      </c>
      <c r="S332" s="34">
        <v>1</v>
      </c>
      <c r="T332" s="34">
        <v>1</v>
      </c>
      <c r="U332" s="34">
        <v>1</v>
      </c>
      <c r="V332" s="34">
        <v>1</v>
      </c>
      <c r="W332" s="34">
        <v>1</v>
      </c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10">
        <f t="shared" si="15"/>
        <v>14</v>
      </c>
      <c r="AL332" s="11">
        <v>32000</v>
      </c>
      <c r="AM332" s="12">
        <f t="shared" si="16"/>
        <v>448000</v>
      </c>
    </row>
    <row r="333" spans="1:39" ht="13.5" customHeight="1">
      <c r="A333" s="48" t="s">
        <v>84</v>
      </c>
      <c r="B333" s="32">
        <v>99</v>
      </c>
      <c r="C333" s="33" t="s">
        <v>28</v>
      </c>
      <c r="D333" s="33" t="s">
        <v>941</v>
      </c>
      <c r="E333" s="33" t="s">
        <v>942</v>
      </c>
      <c r="F333" s="32" t="s">
        <v>946</v>
      </c>
      <c r="G333" s="46"/>
      <c r="H333" s="46"/>
      <c r="I333" s="46"/>
      <c r="J333" s="34">
        <v>1</v>
      </c>
      <c r="K333" s="34">
        <v>1</v>
      </c>
      <c r="L333" s="34">
        <v>1</v>
      </c>
      <c r="M333" s="34">
        <v>1</v>
      </c>
      <c r="N333" s="34">
        <v>1</v>
      </c>
      <c r="O333" s="34">
        <v>1</v>
      </c>
      <c r="P333" s="34">
        <v>1</v>
      </c>
      <c r="Q333" s="34">
        <v>1</v>
      </c>
      <c r="R333" s="34">
        <v>1</v>
      </c>
      <c r="S333" s="34">
        <v>1</v>
      </c>
      <c r="T333" s="34">
        <v>1</v>
      </c>
      <c r="U333" s="34">
        <v>1</v>
      </c>
      <c r="V333" s="34">
        <v>1</v>
      </c>
      <c r="W333" s="34">
        <v>1</v>
      </c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10">
        <f t="shared" si="15"/>
        <v>14</v>
      </c>
      <c r="AL333" s="11">
        <v>32000</v>
      </c>
      <c r="AM333" s="12">
        <f t="shared" si="16"/>
        <v>448000</v>
      </c>
    </row>
    <row r="334" spans="1:39" ht="13.5" customHeight="1">
      <c r="A334" s="48" t="s">
        <v>84</v>
      </c>
      <c r="B334" s="32">
        <v>99</v>
      </c>
      <c r="C334" s="33" t="s">
        <v>947</v>
      </c>
      <c r="D334" s="33" t="s">
        <v>555</v>
      </c>
      <c r="E334" s="33" t="s">
        <v>612</v>
      </c>
      <c r="F334" s="32" t="s">
        <v>961</v>
      </c>
      <c r="G334" s="46"/>
      <c r="H334" s="46"/>
      <c r="I334" s="46"/>
      <c r="J334" s="34">
        <v>1</v>
      </c>
      <c r="K334" s="34">
        <v>1</v>
      </c>
      <c r="L334" s="34">
        <v>1</v>
      </c>
      <c r="M334" s="34">
        <v>1</v>
      </c>
      <c r="N334" s="34">
        <v>1</v>
      </c>
      <c r="O334" s="34">
        <v>1</v>
      </c>
      <c r="P334" s="34">
        <v>1</v>
      </c>
      <c r="Q334" s="34">
        <v>1</v>
      </c>
      <c r="R334" s="34">
        <v>1</v>
      </c>
      <c r="S334" s="34">
        <v>1</v>
      </c>
      <c r="T334" s="34">
        <v>1</v>
      </c>
      <c r="U334" s="34">
        <v>1</v>
      </c>
      <c r="V334" s="34">
        <v>1</v>
      </c>
      <c r="W334" s="34">
        <v>1</v>
      </c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10">
        <f t="shared" si="15"/>
        <v>14</v>
      </c>
      <c r="AL334" s="11">
        <v>32000</v>
      </c>
      <c r="AM334" s="12">
        <f t="shared" si="16"/>
        <v>448000</v>
      </c>
    </row>
    <row r="335" spans="1:39" ht="13.5" customHeight="1">
      <c r="A335" s="48" t="s">
        <v>84</v>
      </c>
      <c r="B335" s="32">
        <v>100</v>
      </c>
      <c r="C335" s="33" t="s">
        <v>176</v>
      </c>
      <c r="D335" s="33" t="s">
        <v>177</v>
      </c>
      <c r="E335" s="33" t="s">
        <v>9</v>
      </c>
      <c r="F335" s="32" t="s">
        <v>178</v>
      </c>
      <c r="G335" s="46"/>
      <c r="H335" s="46"/>
      <c r="I335" s="46"/>
      <c r="J335" s="34">
        <v>1</v>
      </c>
      <c r="K335" s="34">
        <v>1</v>
      </c>
      <c r="L335" s="34">
        <v>1</v>
      </c>
      <c r="M335" s="34">
        <v>1</v>
      </c>
      <c r="N335" s="34">
        <v>1</v>
      </c>
      <c r="O335" s="34">
        <v>1</v>
      </c>
      <c r="P335" s="34">
        <v>1</v>
      </c>
      <c r="Q335" s="34">
        <v>1</v>
      </c>
      <c r="R335" s="34">
        <v>1</v>
      </c>
      <c r="S335" s="34">
        <v>1</v>
      </c>
      <c r="T335" s="34">
        <v>1</v>
      </c>
      <c r="U335" s="34">
        <v>1</v>
      </c>
      <c r="V335" s="34">
        <v>1</v>
      </c>
      <c r="W335" s="34">
        <v>1</v>
      </c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10">
        <f t="shared" si="15"/>
        <v>14</v>
      </c>
      <c r="AL335" s="11">
        <v>32000</v>
      </c>
      <c r="AM335" s="12">
        <f t="shared" si="16"/>
        <v>448000</v>
      </c>
    </row>
    <row r="336" spans="1:39" ht="13.5" customHeight="1">
      <c r="A336" s="48" t="s">
        <v>84</v>
      </c>
      <c r="B336" s="32">
        <v>100</v>
      </c>
      <c r="C336" s="33" t="s">
        <v>182</v>
      </c>
      <c r="D336" s="33" t="s">
        <v>183</v>
      </c>
      <c r="E336" s="33" t="s">
        <v>26</v>
      </c>
      <c r="F336" s="32" t="s">
        <v>184</v>
      </c>
      <c r="G336" s="46"/>
      <c r="H336" s="46"/>
      <c r="I336" s="46"/>
      <c r="J336" s="34">
        <v>1</v>
      </c>
      <c r="K336" s="34">
        <v>1</v>
      </c>
      <c r="L336" s="34">
        <v>1</v>
      </c>
      <c r="M336" s="34">
        <v>1</v>
      </c>
      <c r="N336" s="34">
        <v>1</v>
      </c>
      <c r="O336" s="34">
        <v>1</v>
      </c>
      <c r="P336" s="34">
        <v>1</v>
      </c>
      <c r="Q336" s="34">
        <v>1</v>
      </c>
      <c r="R336" s="34">
        <v>1</v>
      </c>
      <c r="S336" s="34">
        <v>1</v>
      </c>
      <c r="T336" s="34">
        <v>1</v>
      </c>
      <c r="U336" s="34">
        <v>1</v>
      </c>
      <c r="V336" s="34">
        <v>1</v>
      </c>
      <c r="W336" s="34">
        <v>1</v>
      </c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10">
        <f t="shared" si="15"/>
        <v>14</v>
      </c>
      <c r="AL336" s="11">
        <v>32000</v>
      </c>
      <c r="AM336" s="12">
        <f t="shared" si="16"/>
        <v>448000</v>
      </c>
    </row>
    <row r="337" spans="1:39" ht="13.5" customHeight="1">
      <c r="A337" s="48" t="s">
        <v>84</v>
      </c>
      <c r="B337" s="32">
        <v>101</v>
      </c>
      <c r="C337" s="33" t="s">
        <v>18</v>
      </c>
      <c r="D337" s="33" t="s">
        <v>930</v>
      </c>
      <c r="E337" s="33" t="s">
        <v>26</v>
      </c>
      <c r="F337" s="32" t="s">
        <v>931</v>
      </c>
      <c r="G337" s="46"/>
      <c r="H337" s="46"/>
      <c r="I337" s="46"/>
      <c r="J337" s="34">
        <v>1</v>
      </c>
      <c r="K337" s="34">
        <v>1</v>
      </c>
      <c r="L337" s="34">
        <v>1</v>
      </c>
      <c r="M337" s="34">
        <v>1</v>
      </c>
      <c r="N337" s="34">
        <v>1</v>
      </c>
      <c r="O337" s="34">
        <v>1</v>
      </c>
      <c r="P337" s="34">
        <v>1</v>
      </c>
      <c r="Q337" s="34">
        <v>1</v>
      </c>
      <c r="R337" s="34">
        <v>1</v>
      </c>
      <c r="S337" s="34">
        <v>1</v>
      </c>
      <c r="T337" s="34">
        <v>1</v>
      </c>
      <c r="U337" s="34">
        <v>1</v>
      </c>
      <c r="V337" s="34">
        <v>1</v>
      </c>
      <c r="W337" s="34">
        <v>1</v>
      </c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10">
        <f t="shared" si="15"/>
        <v>14</v>
      </c>
      <c r="AL337" s="11">
        <v>32000</v>
      </c>
      <c r="AM337" s="12">
        <f t="shared" si="16"/>
        <v>448000</v>
      </c>
    </row>
    <row r="338" spans="1:39" ht="13.5" customHeight="1">
      <c r="A338" s="48" t="s">
        <v>84</v>
      </c>
      <c r="B338" s="32">
        <v>101</v>
      </c>
      <c r="C338" s="33" t="s">
        <v>46</v>
      </c>
      <c r="D338" s="33" t="s">
        <v>937</v>
      </c>
      <c r="E338" s="33" t="s">
        <v>938</v>
      </c>
      <c r="F338" s="32" t="s">
        <v>939</v>
      </c>
      <c r="G338" s="46"/>
      <c r="H338" s="46"/>
      <c r="I338" s="46"/>
      <c r="J338" s="34">
        <v>1</v>
      </c>
      <c r="K338" s="34">
        <v>1</v>
      </c>
      <c r="L338" s="34">
        <v>1</v>
      </c>
      <c r="M338" s="34">
        <v>1</v>
      </c>
      <c r="N338" s="34">
        <v>1</v>
      </c>
      <c r="O338" s="34">
        <v>1</v>
      </c>
      <c r="P338" s="34">
        <v>1</v>
      </c>
      <c r="Q338" s="34">
        <v>1</v>
      </c>
      <c r="R338" s="34">
        <v>1</v>
      </c>
      <c r="S338" s="34">
        <v>1</v>
      </c>
      <c r="T338" s="34">
        <v>1</v>
      </c>
      <c r="U338" s="34">
        <v>1</v>
      </c>
      <c r="V338" s="34">
        <v>1</v>
      </c>
      <c r="W338" s="34">
        <v>1</v>
      </c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10">
        <f t="shared" si="15"/>
        <v>14</v>
      </c>
      <c r="AL338" s="11">
        <v>32000</v>
      </c>
      <c r="AM338" s="12">
        <f t="shared" si="16"/>
        <v>448000</v>
      </c>
    </row>
    <row r="339" spans="1:39" ht="13.5" customHeight="1">
      <c r="A339" s="48" t="s">
        <v>84</v>
      </c>
      <c r="B339" s="32">
        <v>102</v>
      </c>
      <c r="C339" s="33" t="s">
        <v>118</v>
      </c>
      <c r="D339" s="33" t="s">
        <v>235</v>
      </c>
      <c r="E339" s="33" t="s">
        <v>15</v>
      </c>
      <c r="F339" s="32"/>
      <c r="G339" s="46"/>
      <c r="H339" s="46"/>
      <c r="I339" s="46"/>
      <c r="J339" s="34">
        <v>1</v>
      </c>
      <c r="K339" s="34">
        <v>1</v>
      </c>
      <c r="L339" s="34">
        <v>1</v>
      </c>
      <c r="M339" s="34">
        <v>1</v>
      </c>
      <c r="N339" s="34">
        <v>1</v>
      </c>
      <c r="O339" s="34">
        <v>1</v>
      </c>
      <c r="P339" s="34">
        <v>1</v>
      </c>
      <c r="Q339" s="34">
        <v>1</v>
      </c>
      <c r="R339" s="34">
        <v>1</v>
      </c>
      <c r="S339" s="34">
        <v>1</v>
      </c>
      <c r="T339" s="34">
        <v>1</v>
      </c>
      <c r="U339" s="34">
        <v>1</v>
      </c>
      <c r="V339" s="34">
        <v>1</v>
      </c>
      <c r="W339" s="34">
        <v>1</v>
      </c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10">
        <f t="shared" si="15"/>
        <v>14</v>
      </c>
      <c r="AL339" s="11">
        <v>32000</v>
      </c>
      <c r="AM339" s="12">
        <f t="shared" si="16"/>
        <v>448000</v>
      </c>
    </row>
    <row r="340" spans="1:39" ht="13.5" customHeight="1">
      <c r="A340" s="48" t="s">
        <v>84</v>
      </c>
      <c r="B340" s="32">
        <v>102</v>
      </c>
      <c r="C340" s="33" t="s">
        <v>8</v>
      </c>
      <c r="D340" s="33" t="s">
        <v>299</v>
      </c>
      <c r="E340" s="33" t="s">
        <v>15</v>
      </c>
      <c r="F340" s="32" t="s">
        <v>306</v>
      </c>
      <c r="G340" s="46"/>
      <c r="H340" s="46"/>
      <c r="I340" s="46"/>
      <c r="J340" s="34">
        <v>1</v>
      </c>
      <c r="K340" s="34">
        <v>1</v>
      </c>
      <c r="L340" s="34">
        <v>1</v>
      </c>
      <c r="M340" s="34">
        <v>1</v>
      </c>
      <c r="N340" s="34">
        <v>1</v>
      </c>
      <c r="O340" s="34">
        <v>1</v>
      </c>
      <c r="P340" s="34">
        <v>1</v>
      </c>
      <c r="Q340" s="34">
        <v>1</v>
      </c>
      <c r="R340" s="34">
        <v>1</v>
      </c>
      <c r="S340" s="34">
        <v>1</v>
      </c>
      <c r="T340" s="34">
        <v>1</v>
      </c>
      <c r="U340" s="34">
        <v>1</v>
      </c>
      <c r="V340" s="34">
        <v>1</v>
      </c>
      <c r="W340" s="34">
        <v>1</v>
      </c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10">
        <f t="shared" si="15"/>
        <v>14</v>
      </c>
      <c r="AL340" s="11">
        <v>32000</v>
      </c>
      <c r="AM340" s="12">
        <f t="shared" si="16"/>
        <v>448000</v>
      </c>
    </row>
    <row r="341" spans="1:39" ht="13.5" customHeight="1">
      <c r="A341" s="48" t="s">
        <v>84</v>
      </c>
      <c r="B341" s="32">
        <v>103</v>
      </c>
      <c r="C341" s="33" t="s">
        <v>693</v>
      </c>
      <c r="D341" s="33" t="s">
        <v>695</v>
      </c>
      <c r="E341" s="33" t="s">
        <v>317</v>
      </c>
      <c r="F341" s="32" t="s">
        <v>703</v>
      </c>
      <c r="G341" s="46"/>
      <c r="H341" s="46"/>
      <c r="I341" s="46"/>
      <c r="J341" s="34">
        <v>1</v>
      </c>
      <c r="K341" s="34">
        <v>1</v>
      </c>
      <c r="L341" s="34">
        <v>1</v>
      </c>
      <c r="M341" s="34">
        <v>1</v>
      </c>
      <c r="N341" s="34">
        <v>1</v>
      </c>
      <c r="O341" s="34">
        <v>1</v>
      </c>
      <c r="P341" s="34">
        <v>1</v>
      </c>
      <c r="Q341" s="34">
        <v>1</v>
      </c>
      <c r="R341" s="34">
        <v>1</v>
      </c>
      <c r="S341" s="34">
        <v>1</v>
      </c>
      <c r="T341" s="34">
        <v>1</v>
      </c>
      <c r="U341" s="34">
        <v>1</v>
      </c>
      <c r="V341" s="34">
        <v>1</v>
      </c>
      <c r="W341" s="34">
        <v>1</v>
      </c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10">
        <f t="shared" si="15"/>
        <v>14</v>
      </c>
      <c r="AL341" s="11">
        <v>32000</v>
      </c>
      <c r="AM341" s="12">
        <f t="shared" si="16"/>
        <v>448000</v>
      </c>
    </row>
    <row r="342" spans="1:39" ht="13.5" customHeight="1">
      <c r="A342" s="48" t="s">
        <v>84</v>
      </c>
      <c r="B342" s="32">
        <v>103</v>
      </c>
      <c r="C342" s="33" t="s">
        <v>302</v>
      </c>
      <c r="D342" s="33" t="s">
        <v>10</v>
      </c>
      <c r="E342" s="33" t="s">
        <v>761</v>
      </c>
      <c r="F342" s="32" t="s">
        <v>702</v>
      </c>
      <c r="G342" s="46"/>
      <c r="H342" s="46"/>
      <c r="I342" s="46"/>
      <c r="J342" s="34">
        <v>1</v>
      </c>
      <c r="K342" s="34">
        <v>1</v>
      </c>
      <c r="L342" s="34">
        <v>1</v>
      </c>
      <c r="M342" s="34">
        <v>1</v>
      </c>
      <c r="N342" s="34">
        <v>1</v>
      </c>
      <c r="O342" s="34">
        <v>1</v>
      </c>
      <c r="P342" s="34">
        <v>1</v>
      </c>
      <c r="Q342" s="34">
        <v>1</v>
      </c>
      <c r="R342" s="34">
        <v>1</v>
      </c>
      <c r="S342" s="34">
        <v>1</v>
      </c>
      <c r="T342" s="34">
        <v>1</v>
      </c>
      <c r="U342" s="34">
        <v>1</v>
      </c>
      <c r="V342" s="34">
        <v>1</v>
      </c>
      <c r="W342" s="34">
        <v>1</v>
      </c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10">
        <f t="shared" si="15"/>
        <v>14</v>
      </c>
      <c r="AL342" s="11">
        <v>32000</v>
      </c>
      <c r="AM342" s="12">
        <f t="shared" si="16"/>
        <v>448000</v>
      </c>
    </row>
    <row r="343" spans="1:39" ht="13.5" customHeight="1">
      <c r="A343" s="48" t="s">
        <v>84</v>
      </c>
      <c r="B343" s="32">
        <v>103</v>
      </c>
      <c r="C343" s="33" t="s">
        <v>959</v>
      </c>
      <c r="D343" s="33" t="s">
        <v>89</v>
      </c>
      <c r="E343" s="33" t="s">
        <v>347</v>
      </c>
      <c r="F343" s="32" t="s">
        <v>960</v>
      </c>
      <c r="G343" s="46"/>
      <c r="H343" s="46"/>
      <c r="I343" s="46"/>
      <c r="J343" s="34">
        <v>1</v>
      </c>
      <c r="K343" s="34">
        <v>1</v>
      </c>
      <c r="L343" s="34">
        <v>1</v>
      </c>
      <c r="M343" s="34">
        <v>1</v>
      </c>
      <c r="N343" s="34">
        <v>1</v>
      </c>
      <c r="O343" s="34">
        <v>1</v>
      </c>
      <c r="P343" s="34">
        <v>1</v>
      </c>
      <c r="Q343" s="34">
        <v>1</v>
      </c>
      <c r="R343" s="34">
        <v>1</v>
      </c>
      <c r="S343" s="34">
        <v>1</v>
      </c>
      <c r="T343" s="34">
        <v>1</v>
      </c>
      <c r="U343" s="34">
        <v>1</v>
      </c>
      <c r="V343" s="34">
        <v>1</v>
      </c>
      <c r="W343" s="34">
        <v>1</v>
      </c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10">
        <f t="shared" si="15"/>
        <v>14</v>
      </c>
      <c r="AL343" s="11">
        <v>32000</v>
      </c>
      <c r="AM343" s="12">
        <f t="shared" si="16"/>
        <v>448000</v>
      </c>
    </row>
    <row r="344" spans="1:39" ht="13.5" customHeight="1">
      <c r="A344" s="48" t="s">
        <v>84</v>
      </c>
      <c r="B344" s="32">
        <v>104</v>
      </c>
      <c r="C344" s="33" t="s">
        <v>587</v>
      </c>
      <c r="D344" s="33" t="s">
        <v>696</v>
      </c>
      <c r="E344" s="33" t="s">
        <v>697</v>
      </c>
      <c r="F344" s="32" t="s">
        <v>701</v>
      </c>
      <c r="G344" s="46"/>
      <c r="H344" s="46"/>
      <c r="I344" s="46"/>
      <c r="J344" s="34">
        <v>1</v>
      </c>
      <c r="K344" s="34">
        <v>1</v>
      </c>
      <c r="L344" s="34">
        <v>1</v>
      </c>
      <c r="M344" s="34">
        <v>1</v>
      </c>
      <c r="N344" s="34">
        <v>1</v>
      </c>
      <c r="O344" s="34">
        <v>1</v>
      </c>
      <c r="P344" s="34">
        <v>1</v>
      </c>
      <c r="Q344" s="34">
        <v>1</v>
      </c>
      <c r="R344" s="34">
        <v>1</v>
      </c>
      <c r="S344" s="34">
        <v>1</v>
      </c>
      <c r="T344" s="34">
        <v>1</v>
      </c>
      <c r="U344" s="34">
        <v>1</v>
      </c>
      <c r="V344" s="34">
        <v>1</v>
      </c>
      <c r="W344" s="34">
        <v>1</v>
      </c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10">
        <f t="shared" si="15"/>
        <v>14</v>
      </c>
      <c r="AL344" s="11">
        <v>32000</v>
      </c>
      <c r="AM344" s="12">
        <f t="shared" si="16"/>
        <v>448000</v>
      </c>
    </row>
    <row r="345" spans="1:39" ht="13.5" customHeight="1">
      <c r="A345" s="48" t="s">
        <v>84</v>
      </c>
      <c r="B345" s="32">
        <v>104</v>
      </c>
      <c r="C345" s="33" t="s">
        <v>63</v>
      </c>
      <c r="D345" s="33" t="s">
        <v>629</v>
      </c>
      <c r="E345" s="33" t="s">
        <v>29</v>
      </c>
      <c r="F345" s="32" t="s">
        <v>700</v>
      </c>
      <c r="G345" s="46"/>
      <c r="H345" s="46"/>
      <c r="I345" s="46"/>
      <c r="J345" s="34">
        <v>1</v>
      </c>
      <c r="K345" s="34">
        <v>1</v>
      </c>
      <c r="L345" s="34">
        <v>1</v>
      </c>
      <c r="M345" s="34">
        <v>1</v>
      </c>
      <c r="N345" s="34">
        <v>1</v>
      </c>
      <c r="O345" s="34">
        <v>1</v>
      </c>
      <c r="P345" s="34">
        <v>1</v>
      </c>
      <c r="Q345" s="34">
        <v>1</v>
      </c>
      <c r="R345" s="34">
        <v>1</v>
      </c>
      <c r="S345" s="34">
        <v>1</v>
      </c>
      <c r="T345" s="34">
        <v>1</v>
      </c>
      <c r="U345" s="34">
        <v>1</v>
      </c>
      <c r="V345" s="34">
        <v>1</v>
      </c>
      <c r="W345" s="34">
        <v>1</v>
      </c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10">
        <f t="shared" si="15"/>
        <v>14</v>
      </c>
      <c r="AL345" s="11">
        <v>32000</v>
      </c>
      <c r="AM345" s="12">
        <f t="shared" si="16"/>
        <v>448000</v>
      </c>
    </row>
    <row r="346" spans="1:39" ht="13.5" customHeight="1">
      <c r="A346" s="48" t="s">
        <v>84</v>
      </c>
      <c r="B346" s="32">
        <v>105</v>
      </c>
      <c r="C346" s="33" t="s">
        <v>619</v>
      </c>
      <c r="D346" s="33" t="s">
        <v>620</v>
      </c>
      <c r="E346" s="33" t="s">
        <v>61</v>
      </c>
      <c r="F346" s="32" t="s">
        <v>621</v>
      </c>
      <c r="G346" s="46"/>
      <c r="H346" s="46"/>
      <c r="I346" s="46"/>
      <c r="J346" s="34">
        <v>1</v>
      </c>
      <c r="K346" s="34">
        <v>1</v>
      </c>
      <c r="L346" s="34">
        <v>1</v>
      </c>
      <c r="M346" s="34">
        <v>1</v>
      </c>
      <c r="N346" s="34">
        <v>1</v>
      </c>
      <c r="O346" s="34">
        <v>1</v>
      </c>
      <c r="P346" s="34">
        <v>1</v>
      </c>
      <c r="Q346" s="34">
        <v>1</v>
      </c>
      <c r="R346" s="34">
        <v>1</v>
      </c>
      <c r="S346" s="34">
        <v>1</v>
      </c>
      <c r="T346" s="34">
        <v>1</v>
      </c>
      <c r="U346" s="34">
        <v>1</v>
      </c>
      <c r="V346" s="34">
        <v>1</v>
      </c>
      <c r="W346" s="34">
        <v>1</v>
      </c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10">
        <f t="shared" si="15"/>
        <v>14</v>
      </c>
      <c r="AL346" s="11">
        <v>32000</v>
      </c>
      <c r="AM346" s="12">
        <f t="shared" si="16"/>
        <v>448000</v>
      </c>
    </row>
    <row r="347" spans="1:39" ht="13.5" customHeight="1">
      <c r="A347" s="48" t="s">
        <v>84</v>
      </c>
      <c r="B347" s="32">
        <v>105</v>
      </c>
      <c r="C347" s="33" t="s">
        <v>274</v>
      </c>
      <c r="D347" s="33" t="s">
        <v>678</v>
      </c>
      <c r="E347" s="33" t="s">
        <v>679</v>
      </c>
      <c r="F347" s="32" t="s">
        <v>686</v>
      </c>
      <c r="G347" s="46"/>
      <c r="H347" s="46"/>
      <c r="I347" s="46"/>
      <c r="J347" s="34">
        <v>1</v>
      </c>
      <c r="K347" s="34">
        <v>1</v>
      </c>
      <c r="L347" s="34">
        <v>1</v>
      </c>
      <c r="M347" s="34">
        <v>1</v>
      </c>
      <c r="N347" s="34">
        <v>1</v>
      </c>
      <c r="O347" s="34">
        <v>1</v>
      </c>
      <c r="P347" s="34">
        <v>1</v>
      </c>
      <c r="Q347" s="34">
        <v>1</v>
      </c>
      <c r="R347" s="34">
        <v>1</v>
      </c>
      <c r="S347" s="34">
        <v>1</v>
      </c>
      <c r="T347" s="34">
        <v>1</v>
      </c>
      <c r="U347" s="34">
        <v>1</v>
      </c>
      <c r="V347" s="34">
        <v>1</v>
      </c>
      <c r="W347" s="34">
        <v>1</v>
      </c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10">
        <f t="shared" si="15"/>
        <v>14</v>
      </c>
      <c r="AL347" s="11">
        <v>32000</v>
      </c>
      <c r="AM347" s="12">
        <f t="shared" si="16"/>
        <v>448000</v>
      </c>
    </row>
    <row r="348" spans="1:39" ht="13.5" customHeight="1">
      <c r="A348" s="48" t="s">
        <v>84</v>
      </c>
      <c r="B348" s="32">
        <v>107</v>
      </c>
      <c r="C348" s="33" t="s">
        <v>691</v>
      </c>
      <c r="D348" s="33" t="s">
        <v>227</v>
      </c>
      <c r="E348" s="33" t="s">
        <v>192</v>
      </c>
      <c r="F348" s="32" t="s">
        <v>706</v>
      </c>
      <c r="G348" s="46"/>
      <c r="H348" s="46"/>
      <c r="I348" s="46"/>
      <c r="J348" s="34">
        <v>1</v>
      </c>
      <c r="K348" s="34">
        <v>1</v>
      </c>
      <c r="L348" s="34">
        <v>1</v>
      </c>
      <c r="M348" s="34">
        <v>1</v>
      </c>
      <c r="N348" s="34">
        <v>1</v>
      </c>
      <c r="O348" s="34">
        <v>1</v>
      </c>
      <c r="P348" s="34">
        <v>1</v>
      </c>
      <c r="Q348" s="34">
        <v>1</v>
      </c>
      <c r="R348" s="34">
        <v>1</v>
      </c>
      <c r="S348" s="34">
        <v>1</v>
      </c>
      <c r="T348" s="34">
        <v>1</v>
      </c>
      <c r="U348" s="34">
        <v>1</v>
      </c>
      <c r="V348" s="34">
        <v>1</v>
      </c>
      <c r="W348" s="34">
        <v>1</v>
      </c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10">
        <f t="shared" si="15"/>
        <v>14</v>
      </c>
      <c r="AL348" s="11">
        <v>32000</v>
      </c>
      <c r="AM348" s="12">
        <f t="shared" si="16"/>
        <v>448000</v>
      </c>
    </row>
    <row r="349" spans="1:39" ht="13.5" customHeight="1">
      <c r="A349" s="48" t="s">
        <v>84</v>
      </c>
      <c r="B349" s="32">
        <v>107</v>
      </c>
      <c r="C349" s="33" t="s">
        <v>315</v>
      </c>
      <c r="D349" s="33" t="s">
        <v>89</v>
      </c>
      <c r="E349" s="33" t="s">
        <v>708</v>
      </c>
      <c r="F349" s="32" t="s">
        <v>715</v>
      </c>
      <c r="G349" s="46"/>
      <c r="H349" s="46"/>
      <c r="I349" s="46"/>
      <c r="J349" s="34">
        <v>1</v>
      </c>
      <c r="K349" s="34">
        <v>1</v>
      </c>
      <c r="L349" s="34">
        <v>1</v>
      </c>
      <c r="M349" s="34">
        <v>1</v>
      </c>
      <c r="N349" s="34">
        <v>1</v>
      </c>
      <c r="O349" s="34">
        <v>1</v>
      </c>
      <c r="P349" s="34">
        <v>1</v>
      </c>
      <c r="Q349" s="34">
        <v>1</v>
      </c>
      <c r="R349" s="34">
        <v>1</v>
      </c>
      <c r="S349" s="34">
        <v>1</v>
      </c>
      <c r="T349" s="34">
        <v>1</v>
      </c>
      <c r="U349" s="34">
        <v>1</v>
      </c>
      <c r="V349" s="34">
        <v>1</v>
      </c>
      <c r="W349" s="34">
        <v>1</v>
      </c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10">
        <f t="shared" si="15"/>
        <v>14</v>
      </c>
      <c r="AL349" s="11">
        <v>32000</v>
      </c>
      <c r="AM349" s="12">
        <f t="shared" si="16"/>
        <v>448000</v>
      </c>
    </row>
    <row r="350" spans="1:39" ht="13.5" customHeight="1">
      <c r="A350" s="48" t="s">
        <v>84</v>
      </c>
      <c r="B350" s="32">
        <v>108</v>
      </c>
      <c r="C350" s="33" t="s">
        <v>213</v>
      </c>
      <c r="D350" s="33" t="s">
        <v>214</v>
      </c>
      <c r="E350" s="33" t="s">
        <v>29</v>
      </c>
      <c r="F350" s="32"/>
      <c r="G350" s="46"/>
      <c r="H350" s="46"/>
      <c r="I350" s="46"/>
      <c r="J350" s="34">
        <v>1</v>
      </c>
      <c r="K350" s="34">
        <v>1</v>
      </c>
      <c r="L350" s="34">
        <v>1</v>
      </c>
      <c r="M350" s="34">
        <v>1</v>
      </c>
      <c r="N350" s="34">
        <v>1</v>
      </c>
      <c r="O350" s="34">
        <v>1</v>
      </c>
      <c r="P350" s="34">
        <v>1</v>
      </c>
      <c r="Q350" s="34">
        <v>1</v>
      </c>
      <c r="R350" s="34">
        <v>1</v>
      </c>
      <c r="S350" s="34">
        <v>1</v>
      </c>
      <c r="T350" s="34">
        <v>1</v>
      </c>
      <c r="U350" s="34">
        <v>1</v>
      </c>
      <c r="V350" s="34">
        <v>1</v>
      </c>
      <c r="W350" s="34">
        <v>1</v>
      </c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10">
        <f t="shared" si="15"/>
        <v>14</v>
      </c>
      <c r="AL350" s="11">
        <v>32000</v>
      </c>
      <c r="AM350" s="12">
        <f t="shared" si="16"/>
        <v>448000</v>
      </c>
    </row>
    <row r="351" spans="1:39" ht="13.5" customHeight="1">
      <c r="A351" s="48" t="s">
        <v>84</v>
      </c>
      <c r="B351" s="32">
        <v>108</v>
      </c>
      <c r="C351" s="33" t="s">
        <v>20</v>
      </c>
      <c r="D351" s="33" t="s">
        <v>121</v>
      </c>
      <c r="E351" s="33" t="s">
        <v>21</v>
      </c>
      <c r="F351" s="32"/>
      <c r="G351" s="46"/>
      <c r="H351" s="46"/>
      <c r="I351" s="46"/>
      <c r="J351" s="34">
        <v>1</v>
      </c>
      <c r="K351" s="34">
        <v>1</v>
      </c>
      <c r="L351" s="34">
        <v>1</v>
      </c>
      <c r="M351" s="34">
        <v>1</v>
      </c>
      <c r="N351" s="34">
        <v>1</v>
      </c>
      <c r="O351" s="34">
        <v>1</v>
      </c>
      <c r="P351" s="34">
        <v>1</v>
      </c>
      <c r="Q351" s="34">
        <v>1</v>
      </c>
      <c r="R351" s="34">
        <v>1</v>
      </c>
      <c r="S351" s="34">
        <v>1</v>
      </c>
      <c r="T351" s="34">
        <v>1</v>
      </c>
      <c r="U351" s="34">
        <v>1</v>
      </c>
      <c r="V351" s="34">
        <v>1</v>
      </c>
      <c r="W351" s="34">
        <v>1</v>
      </c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10">
        <f t="shared" si="15"/>
        <v>14</v>
      </c>
      <c r="AL351" s="11">
        <v>32000</v>
      </c>
      <c r="AM351" s="12">
        <f t="shared" si="16"/>
        <v>448000</v>
      </c>
    </row>
    <row r="352" spans="1:39" ht="13.5" customHeight="1">
      <c r="A352" s="48" t="s">
        <v>84</v>
      </c>
      <c r="B352" s="32">
        <v>108</v>
      </c>
      <c r="C352" s="33" t="s">
        <v>919</v>
      </c>
      <c r="D352" s="33" t="s">
        <v>920</v>
      </c>
      <c r="E352" s="33" t="s">
        <v>29</v>
      </c>
      <c r="F352" s="32" t="s">
        <v>921</v>
      </c>
      <c r="G352" s="46"/>
      <c r="H352" s="46"/>
      <c r="I352" s="46"/>
      <c r="J352" s="34">
        <v>1</v>
      </c>
      <c r="K352" s="34">
        <v>1</v>
      </c>
      <c r="L352" s="34">
        <v>1</v>
      </c>
      <c r="M352" s="34">
        <v>1</v>
      </c>
      <c r="N352" s="34">
        <v>1</v>
      </c>
      <c r="O352" s="34">
        <v>1</v>
      </c>
      <c r="P352" s="34">
        <v>1</v>
      </c>
      <c r="Q352" s="34">
        <v>1</v>
      </c>
      <c r="R352" s="34">
        <v>1</v>
      </c>
      <c r="S352" s="34">
        <v>1</v>
      </c>
      <c r="T352" s="34">
        <v>1</v>
      </c>
      <c r="U352" s="34">
        <v>1</v>
      </c>
      <c r="V352" s="34">
        <v>1</v>
      </c>
      <c r="W352" s="34">
        <v>1</v>
      </c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10">
        <f t="shared" si="15"/>
        <v>14</v>
      </c>
      <c r="AL352" s="11">
        <v>32000</v>
      </c>
      <c r="AM352" s="12">
        <f t="shared" si="16"/>
        <v>448000</v>
      </c>
    </row>
    <row r="353" spans="1:39" ht="13.5" customHeight="1">
      <c r="A353" s="48" t="s">
        <v>84</v>
      </c>
      <c r="B353" s="32">
        <v>108</v>
      </c>
      <c r="C353" s="33" t="s">
        <v>1042</v>
      </c>
      <c r="D353" s="33" t="s">
        <v>1043</v>
      </c>
      <c r="E353" s="33" t="s">
        <v>22</v>
      </c>
      <c r="F353" s="32" t="s">
        <v>1046</v>
      </c>
      <c r="G353" s="46"/>
      <c r="H353" s="46"/>
      <c r="I353" s="46"/>
      <c r="J353" s="34">
        <v>1</v>
      </c>
      <c r="K353" s="34">
        <v>1</v>
      </c>
      <c r="L353" s="34">
        <v>1</v>
      </c>
      <c r="M353" s="34">
        <v>1</v>
      </c>
      <c r="N353" s="34">
        <v>1</v>
      </c>
      <c r="O353" s="34">
        <v>1</v>
      </c>
      <c r="P353" s="34">
        <v>1</v>
      </c>
      <c r="Q353" s="34">
        <v>1</v>
      </c>
      <c r="R353" s="34">
        <v>1</v>
      </c>
      <c r="S353" s="34">
        <v>1</v>
      </c>
      <c r="T353" s="34">
        <v>1</v>
      </c>
      <c r="U353" s="34">
        <v>1</v>
      </c>
      <c r="V353" s="34">
        <v>1</v>
      </c>
      <c r="W353" s="34">
        <v>1</v>
      </c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10">
        <f t="shared" si="15"/>
        <v>14</v>
      </c>
      <c r="AL353" s="11">
        <v>32000</v>
      </c>
      <c r="AM353" s="12">
        <f t="shared" si="16"/>
        <v>448000</v>
      </c>
    </row>
    <row r="354" spans="1:39" ht="13.5" customHeight="1">
      <c r="A354" s="48" t="s">
        <v>84</v>
      </c>
      <c r="B354" s="32">
        <v>109</v>
      </c>
      <c r="C354" s="33" t="s">
        <v>857</v>
      </c>
      <c r="D354" s="33" t="s">
        <v>128</v>
      </c>
      <c r="E354" s="33" t="s">
        <v>129</v>
      </c>
      <c r="F354" s="32" t="s">
        <v>858</v>
      </c>
      <c r="G354" s="46"/>
      <c r="H354" s="46"/>
      <c r="I354" s="46"/>
      <c r="J354" s="34">
        <v>1</v>
      </c>
      <c r="K354" s="34">
        <v>1</v>
      </c>
      <c r="L354" s="34">
        <v>1</v>
      </c>
      <c r="M354" s="34">
        <v>1</v>
      </c>
      <c r="N354" s="34">
        <v>1</v>
      </c>
      <c r="O354" s="34">
        <v>1</v>
      </c>
      <c r="P354" s="34">
        <v>1</v>
      </c>
      <c r="Q354" s="34">
        <v>1</v>
      </c>
      <c r="R354" s="34">
        <v>1</v>
      </c>
      <c r="S354" s="34">
        <v>1</v>
      </c>
      <c r="T354" s="34">
        <v>1</v>
      </c>
      <c r="U354" s="34">
        <v>1</v>
      </c>
      <c r="V354" s="34">
        <v>1</v>
      </c>
      <c r="W354" s="34">
        <v>1</v>
      </c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10">
        <f t="shared" si="15"/>
        <v>14</v>
      </c>
      <c r="AL354" s="11">
        <v>32000</v>
      </c>
      <c r="AM354" s="12">
        <f t="shared" si="16"/>
        <v>448000</v>
      </c>
    </row>
    <row r="355" spans="1:39" ht="13.5" customHeight="1">
      <c r="A355" s="48" t="s">
        <v>84</v>
      </c>
      <c r="B355" s="32">
        <v>109</v>
      </c>
      <c r="C355" s="33" t="s">
        <v>456</v>
      </c>
      <c r="D355" s="33" t="s">
        <v>908</v>
      </c>
      <c r="E355" s="33" t="s">
        <v>890</v>
      </c>
      <c r="F355" s="32" t="s">
        <v>909</v>
      </c>
      <c r="G355" s="46"/>
      <c r="H355" s="46"/>
      <c r="I355" s="46"/>
      <c r="J355" s="34">
        <v>1</v>
      </c>
      <c r="K355" s="34">
        <v>1</v>
      </c>
      <c r="L355" s="34">
        <v>1</v>
      </c>
      <c r="M355" s="34">
        <v>1</v>
      </c>
      <c r="N355" s="34">
        <v>1</v>
      </c>
      <c r="O355" s="34">
        <v>1</v>
      </c>
      <c r="P355" s="34">
        <v>1</v>
      </c>
      <c r="Q355" s="34">
        <v>1</v>
      </c>
      <c r="R355" s="34">
        <v>1</v>
      </c>
      <c r="S355" s="34">
        <v>1</v>
      </c>
      <c r="T355" s="34">
        <v>1</v>
      </c>
      <c r="U355" s="34">
        <v>1</v>
      </c>
      <c r="V355" s="34">
        <v>1</v>
      </c>
      <c r="W355" s="34">
        <v>1</v>
      </c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10">
        <f t="shared" si="15"/>
        <v>14</v>
      </c>
      <c r="AL355" s="11">
        <v>32000</v>
      </c>
      <c r="AM355" s="12">
        <f t="shared" si="16"/>
        <v>448000</v>
      </c>
    </row>
    <row r="356" spans="1:39" ht="13.5" customHeight="1">
      <c r="A356" s="48" t="s">
        <v>84</v>
      </c>
      <c r="B356" s="32">
        <v>109</v>
      </c>
      <c r="C356" s="33" t="s">
        <v>916</v>
      </c>
      <c r="D356" s="33" t="s">
        <v>373</v>
      </c>
      <c r="E356" s="33" t="s">
        <v>25</v>
      </c>
      <c r="F356" s="32" t="s">
        <v>917</v>
      </c>
      <c r="G356" s="46"/>
      <c r="H356" s="46"/>
      <c r="I356" s="46"/>
      <c r="J356" s="34">
        <v>1</v>
      </c>
      <c r="K356" s="34">
        <v>1</v>
      </c>
      <c r="L356" s="34">
        <v>1</v>
      </c>
      <c r="M356" s="34">
        <v>1</v>
      </c>
      <c r="N356" s="34">
        <v>1</v>
      </c>
      <c r="O356" s="34">
        <v>1</v>
      </c>
      <c r="P356" s="34">
        <v>1</v>
      </c>
      <c r="Q356" s="34">
        <v>1</v>
      </c>
      <c r="R356" s="34">
        <v>1</v>
      </c>
      <c r="S356" s="34">
        <v>1</v>
      </c>
      <c r="T356" s="34">
        <v>1</v>
      </c>
      <c r="U356" s="34">
        <v>1</v>
      </c>
      <c r="V356" s="34">
        <v>1</v>
      </c>
      <c r="W356" s="34">
        <v>1</v>
      </c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10">
        <f t="shared" si="15"/>
        <v>14</v>
      </c>
      <c r="AL356" s="11">
        <v>32000</v>
      </c>
      <c r="AM356" s="12">
        <f t="shared" si="16"/>
        <v>448000</v>
      </c>
    </row>
    <row r="357" spans="1:39" ht="13.5" customHeight="1">
      <c r="A357" s="48" t="s">
        <v>84</v>
      </c>
      <c r="B357" s="32">
        <v>110</v>
      </c>
      <c r="C357" s="33" t="s">
        <v>606</v>
      </c>
      <c r="D357" s="33"/>
      <c r="E357" s="33" t="s">
        <v>764</v>
      </c>
      <c r="F357" s="32" t="s">
        <v>765</v>
      </c>
      <c r="G357" s="46"/>
      <c r="H357" s="46"/>
      <c r="I357" s="46"/>
      <c r="J357" s="34">
        <v>1</v>
      </c>
      <c r="K357" s="34">
        <v>1</v>
      </c>
      <c r="L357" s="34">
        <v>1</v>
      </c>
      <c r="M357" s="34">
        <v>1</v>
      </c>
      <c r="N357" s="34">
        <v>1</v>
      </c>
      <c r="O357" s="34">
        <v>1</v>
      </c>
      <c r="P357" s="34">
        <v>1</v>
      </c>
      <c r="Q357" s="34">
        <v>1</v>
      </c>
      <c r="R357" s="34">
        <v>1</v>
      </c>
      <c r="S357" s="34">
        <v>1</v>
      </c>
      <c r="T357" s="34">
        <v>1</v>
      </c>
      <c r="U357" s="34">
        <v>1</v>
      </c>
      <c r="V357" s="34">
        <v>1</v>
      </c>
      <c r="W357" s="34">
        <v>1</v>
      </c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10">
        <f t="shared" si="15"/>
        <v>14</v>
      </c>
      <c r="AL357" s="11">
        <v>32000</v>
      </c>
      <c r="AM357" s="12">
        <f t="shared" ref="AM357:AM371" si="17">AL357*AK357</f>
        <v>448000</v>
      </c>
    </row>
    <row r="358" spans="1:39" ht="13.5" customHeight="1">
      <c r="A358" s="48" t="s">
        <v>84</v>
      </c>
      <c r="B358" s="32">
        <v>110</v>
      </c>
      <c r="C358" s="33" t="s">
        <v>254</v>
      </c>
      <c r="D358" s="33" t="s">
        <v>153</v>
      </c>
      <c r="E358" s="33" t="s">
        <v>766</v>
      </c>
      <c r="F358" s="32" t="s">
        <v>615</v>
      </c>
      <c r="G358" s="46"/>
      <c r="H358" s="46"/>
      <c r="I358" s="46"/>
      <c r="J358" s="34">
        <v>1</v>
      </c>
      <c r="K358" s="34">
        <v>1</v>
      </c>
      <c r="L358" s="34">
        <v>1</v>
      </c>
      <c r="M358" s="34">
        <v>1</v>
      </c>
      <c r="N358" s="34">
        <v>1</v>
      </c>
      <c r="O358" s="34">
        <v>1</v>
      </c>
      <c r="P358" s="34">
        <v>1</v>
      </c>
      <c r="Q358" s="34">
        <v>1</v>
      </c>
      <c r="R358" s="34">
        <v>1</v>
      </c>
      <c r="S358" s="34">
        <v>1</v>
      </c>
      <c r="T358" s="34">
        <v>1</v>
      </c>
      <c r="U358" s="34">
        <v>1</v>
      </c>
      <c r="V358" s="34">
        <v>1</v>
      </c>
      <c r="W358" s="34">
        <v>1</v>
      </c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10">
        <f t="shared" si="15"/>
        <v>14</v>
      </c>
      <c r="AL358" s="11">
        <v>32000</v>
      </c>
      <c r="AM358" s="12">
        <f t="shared" si="17"/>
        <v>448000</v>
      </c>
    </row>
    <row r="359" spans="1:39" ht="13.5" customHeight="1">
      <c r="A359" s="48" t="s">
        <v>84</v>
      </c>
      <c r="B359" s="32">
        <v>111</v>
      </c>
      <c r="C359" s="33" t="s">
        <v>185</v>
      </c>
      <c r="D359" s="33" t="s">
        <v>186</v>
      </c>
      <c r="E359" s="33" t="s">
        <v>187</v>
      </c>
      <c r="F359" s="32" t="s">
        <v>188</v>
      </c>
      <c r="G359" s="46"/>
      <c r="H359" s="46"/>
      <c r="I359" s="46"/>
      <c r="J359" s="34">
        <v>1</v>
      </c>
      <c r="K359" s="34">
        <v>1</v>
      </c>
      <c r="L359" s="34">
        <v>1</v>
      </c>
      <c r="M359" s="34">
        <v>1</v>
      </c>
      <c r="N359" s="34">
        <v>1</v>
      </c>
      <c r="O359" s="34">
        <v>1</v>
      </c>
      <c r="P359" s="34">
        <v>1</v>
      </c>
      <c r="Q359" s="34">
        <v>1</v>
      </c>
      <c r="R359" s="34">
        <v>1</v>
      </c>
      <c r="S359" s="34">
        <v>1</v>
      </c>
      <c r="T359" s="34">
        <v>1</v>
      </c>
      <c r="U359" s="34">
        <v>1</v>
      </c>
      <c r="V359" s="34">
        <v>1</v>
      </c>
      <c r="W359" s="34">
        <v>1</v>
      </c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10">
        <f t="shared" si="15"/>
        <v>14</v>
      </c>
      <c r="AL359" s="11">
        <v>32000</v>
      </c>
      <c r="AM359" s="12">
        <f t="shared" si="17"/>
        <v>448000</v>
      </c>
    </row>
    <row r="360" spans="1:39" ht="13.5" customHeight="1">
      <c r="A360" s="48" t="s">
        <v>84</v>
      </c>
      <c r="B360" s="32">
        <v>111</v>
      </c>
      <c r="C360" s="33" t="s">
        <v>210</v>
      </c>
      <c r="D360" s="33" t="s">
        <v>194</v>
      </c>
      <c r="E360" s="33" t="s">
        <v>21</v>
      </c>
      <c r="F360" s="32"/>
      <c r="G360" s="46"/>
      <c r="H360" s="46"/>
      <c r="I360" s="46"/>
      <c r="J360" s="34">
        <v>1</v>
      </c>
      <c r="K360" s="34">
        <v>1</v>
      </c>
      <c r="L360" s="34">
        <v>1</v>
      </c>
      <c r="M360" s="34">
        <v>1</v>
      </c>
      <c r="N360" s="34">
        <v>1</v>
      </c>
      <c r="O360" s="34">
        <v>1</v>
      </c>
      <c r="P360" s="34">
        <v>1</v>
      </c>
      <c r="Q360" s="34">
        <v>1</v>
      </c>
      <c r="R360" s="34">
        <v>1</v>
      </c>
      <c r="S360" s="34">
        <v>1</v>
      </c>
      <c r="T360" s="34">
        <v>1</v>
      </c>
      <c r="U360" s="34">
        <v>1</v>
      </c>
      <c r="V360" s="34">
        <v>1</v>
      </c>
      <c r="W360" s="34">
        <v>1</v>
      </c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10">
        <f t="shared" si="15"/>
        <v>14</v>
      </c>
      <c r="AL360" s="11">
        <v>32000</v>
      </c>
      <c r="AM360" s="12">
        <f t="shared" si="17"/>
        <v>448000</v>
      </c>
    </row>
    <row r="361" spans="1:39" ht="13.5" customHeight="1">
      <c r="A361" s="48" t="s">
        <v>84</v>
      </c>
      <c r="B361" s="32">
        <v>112</v>
      </c>
      <c r="C361" s="33" t="s">
        <v>20</v>
      </c>
      <c r="D361" s="33" t="s">
        <v>709</v>
      </c>
      <c r="E361" s="33" t="s">
        <v>86</v>
      </c>
      <c r="F361" s="32" t="s">
        <v>714</v>
      </c>
      <c r="G361" s="46"/>
      <c r="H361" s="46"/>
      <c r="I361" s="46"/>
      <c r="J361" s="34">
        <v>1</v>
      </c>
      <c r="K361" s="34">
        <v>1</v>
      </c>
      <c r="L361" s="34">
        <v>1</v>
      </c>
      <c r="M361" s="34">
        <v>1</v>
      </c>
      <c r="N361" s="34">
        <v>1</v>
      </c>
      <c r="O361" s="34">
        <v>1</v>
      </c>
      <c r="P361" s="34">
        <v>1</v>
      </c>
      <c r="Q361" s="34">
        <v>1</v>
      </c>
      <c r="R361" s="34">
        <v>1</v>
      </c>
      <c r="S361" s="34">
        <v>1</v>
      </c>
      <c r="T361" s="34">
        <v>1</v>
      </c>
      <c r="U361" s="34">
        <v>1</v>
      </c>
      <c r="V361" s="34">
        <v>1</v>
      </c>
      <c r="W361" s="34">
        <v>1</v>
      </c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10">
        <f t="shared" si="15"/>
        <v>14</v>
      </c>
      <c r="AL361" s="11">
        <v>32000</v>
      </c>
      <c r="AM361" s="12">
        <f t="shared" si="17"/>
        <v>448000</v>
      </c>
    </row>
    <row r="362" spans="1:39" ht="13.5" customHeight="1">
      <c r="A362" s="48" t="s">
        <v>84</v>
      </c>
      <c r="B362" s="32">
        <v>112</v>
      </c>
      <c r="C362" s="33" t="s">
        <v>286</v>
      </c>
      <c r="D362" s="33" t="s">
        <v>364</v>
      </c>
      <c r="E362" s="33" t="s">
        <v>23</v>
      </c>
      <c r="F362" s="32" t="s">
        <v>713</v>
      </c>
      <c r="G362" s="46"/>
      <c r="H362" s="46"/>
      <c r="I362" s="46"/>
      <c r="J362" s="34">
        <v>1</v>
      </c>
      <c r="K362" s="34">
        <v>1</v>
      </c>
      <c r="L362" s="34">
        <v>1</v>
      </c>
      <c r="M362" s="34">
        <v>1</v>
      </c>
      <c r="N362" s="34">
        <v>1</v>
      </c>
      <c r="O362" s="34">
        <v>1</v>
      </c>
      <c r="P362" s="34">
        <v>1</v>
      </c>
      <c r="Q362" s="34">
        <v>1</v>
      </c>
      <c r="R362" s="34">
        <v>1</v>
      </c>
      <c r="S362" s="34">
        <v>1</v>
      </c>
      <c r="T362" s="34">
        <v>1</v>
      </c>
      <c r="U362" s="34">
        <v>1</v>
      </c>
      <c r="V362" s="34">
        <v>1</v>
      </c>
      <c r="W362" s="34">
        <v>1</v>
      </c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10">
        <f t="shared" si="15"/>
        <v>14</v>
      </c>
      <c r="AL362" s="11">
        <v>32000</v>
      </c>
      <c r="AM362" s="12">
        <f t="shared" si="17"/>
        <v>448000</v>
      </c>
    </row>
    <row r="363" spans="1:39" ht="13.5" customHeight="1">
      <c r="A363" s="48" t="s">
        <v>84</v>
      </c>
      <c r="B363" s="32">
        <v>113</v>
      </c>
      <c r="C363" s="33" t="s">
        <v>698</v>
      </c>
      <c r="D363" s="33" t="s">
        <v>227</v>
      </c>
      <c r="E363" s="33" t="s">
        <v>261</v>
      </c>
      <c r="F363" s="32" t="s">
        <v>699</v>
      </c>
      <c r="G363" s="46"/>
      <c r="H363" s="46"/>
      <c r="I363" s="46"/>
      <c r="J363" s="34">
        <v>1</v>
      </c>
      <c r="K363" s="34">
        <v>1</v>
      </c>
      <c r="L363" s="34">
        <v>1</v>
      </c>
      <c r="M363" s="34">
        <v>1</v>
      </c>
      <c r="N363" s="34">
        <v>1</v>
      </c>
      <c r="O363" s="34">
        <v>1</v>
      </c>
      <c r="P363" s="34">
        <v>1</v>
      </c>
      <c r="Q363" s="34">
        <v>1</v>
      </c>
      <c r="R363" s="34">
        <v>1</v>
      </c>
      <c r="S363" s="34">
        <v>1</v>
      </c>
      <c r="T363" s="34">
        <v>1</v>
      </c>
      <c r="U363" s="34">
        <v>1</v>
      </c>
      <c r="V363" s="34">
        <v>1</v>
      </c>
      <c r="W363" s="34">
        <v>1</v>
      </c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10">
        <f t="shared" si="15"/>
        <v>14</v>
      </c>
      <c r="AL363" s="11">
        <v>32000</v>
      </c>
      <c r="AM363" s="12">
        <f t="shared" si="17"/>
        <v>448000</v>
      </c>
    </row>
    <row r="364" spans="1:39" ht="13.5" customHeight="1">
      <c r="A364" s="48" t="s">
        <v>84</v>
      </c>
      <c r="B364" s="32">
        <v>113</v>
      </c>
      <c r="C364" s="33" t="s">
        <v>167</v>
      </c>
      <c r="D364" s="33" t="s">
        <v>601</v>
      </c>
      <c r="E364" s="33" t="s">
        <v>707</v>
      </c>
      <c r="F364" s="32" t="s">
        <v>716</v>
      </c>
      <c r="G364" s="46"/>
      <c r="H364" s="46"/>
      <c r="I364" s="46"/>
      <c r="J364" s="34">
        <v>1</v>
      </c>
      <c r="K364" s="34">
        <v>1</v>
      </c>
      <c r="L364" s="34">
        <v>1</v>
      </c>
      <c r="M364" s="34">
        <v>1</v>
      </c>
      <c r="N364" s="34">
        <v>1</v>
      </c>
      <c r="O364" s="34">
        <v>1</v>
      </c>
      <c r="P364" s="34">
        <v>1</v>
      </c>
      <c r="Q364" s="34">
        <v>1</v>
      </c>
      <c r="R364" s="34">
        <v>1</v>
      </c>
      <c r="S364" s="34">
        <v>1</v>
      </c>
      <c r="T364" s="34">
        <v>1</v>
      </c>
      <c r="U364" s="34">
        <v>1</v>
      </c>
      <c r="V364" s="34">
        <v>1</v>
      </c>
      <c r="W364" s="34">
        <v>1</v>
      </c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10">
        <f t="shared" si="15"/>
        <v>14</v>
      </c>
      <c r="AL364" s="11">
        <v>32000</v>
      </c>
      <c r="AM364" s="12">
        <f t="shared" si="17"/>
        <v>448000</v>
      </c>
    </row>
    <row r="365" spans="1:39" ht="13.5" customHeight="1">
      <c r="A365" s="48" t="s">
        <v>84</v>
      </c>
      <c r="B365" s="32">
        <v>114</v>
      </c>
      <c r="C365" s="33" t="s">
        <v>538</v>
      </c>
      <c r="D365" s="33" t="s">
        <v>538</v>
      </c>
      <c r="E365" s="33" t="s">
        <v>239</v>
      </c>
      <c r="F365" s="32" t="s">
        <v>712</v>
      </c>
      <c r="G365" s="46"/>
      <c r="H365" s="46"/>
      <c r="I365" s="46"/>
      <c r="J365" s="34">
        <v>1</v>
      </c>
      <c r="K365" s="34">
        <v>1</v>
      </c>
      <c r="L365" s="34">
        <v>1</v>
      </c>
      <c r="M365" s="34">
        <v>1</v>
      </c>
      <c r="N365" s="34">
        <v>1</v>
      </c>
      <c r="O365" s="34">
        <v>1</v>
      </c>
      <c r="P365" s="34">
        <v>1</v>
      </c>
      <c r="Q365" s="34">
        <v>1</v>
      </c>
      <c r="R365" s="34">
        <v>1</v>
      </c>
      <c r="S365" s="34">
        <v>1</v>
      </c>
      <c r="T365" s="34">
        <v>1</v>
      </c>
      <c r="U365" s="34">
        <v>1</v>
      </c>
      <c r="V365" s="34">
        <v>1</v>
      </c>
      <c r="W365" s="34">
        <v>1</v>
      </c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10">
        <f t="shared" si="15"/>
        <v>14</v>
      </c>
      <c r="AL365" s="11">
        <v>32000</v>
      </c>
      <c r="AM365" s="12">
        <f t="shared" si="17"/>
        <v>448000</v>
      </c>
    </row>
    <row r="366" spans="1:39" ht="13.5" customHeight="1">
      <c r="A366" s="48" t="s">
        <v>84</v>
      </c>
      <c r="B366" s="32">
        <v>114</v>
      </c>
      <c r="C366" s="33" t="s">
        <v>710</v>
      </c>
      <c r="D366" s="33" t="s">
        <v>343</v>
      </c>
      <c r="E366" s="33" t="s">
        <v>419</v>
      </c>
      <c r="F366" s="32" t="s">
        <v>711</v>
      </c>
      <c r="G366" s="46"/>
      <c r="H366" s="46"/>
      <c r="I366" s="46"/>
      <c r="J366" s="34">
        <v>1</v>
      </c>
      <c r="K366" s="34">
        <v>1</v>
      </c>
      <c r="L366" s="34">
        <v>1</v>
      </c>
      <c r="M366" s="34">
        <v>1</v>
      </c>
      <c r="N366" s="34">
        <v>1</v>
      </c>
      <c r="O366" s="34">
        <v>1</v>
      </c>
      <c r="P366" s="34">
        <v>1</v>
      </c>
      <c r="Q366" s="34">
        <v>1</v>
      </c>
      <c r="R366" s="34">
        <v>1</v>
      </c>
      <c r="S366" s="34">
        <v>1</v>
      </c>
      <c r="T366" s="34">
        <v>1</v>
      </c>
      <c r="U366" s="34">
        <v>1</v>
      </c>
      <c r="V366" s="34">
        <v>1</v>
      </c>
      <c r="W366" s="34">
        <v>1</v>
      </c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10">
        <f t="shared" si="15"/>
        <v>14</v>
      </c>
      <c r="AL366" s="11">
        <v>32000</v>
      </c>
      <c r="AM366" s="12">
        <f t="shared" si="17"/>
        <v>448000</v>
      </c>
    </row>
    <row r="367" spans="1:39" ht="13.5" customHeight="1">
      <c r="A367" s="48" t="s">
        <v>84</v>
      </c>
      <c r="B367" s="32">
        <v>117</v>
      </c>
      <c r="C367" s="33" t="s">
        <v>207</v>
      </c>
      <c r="D367" s="33" t="s">
        <v>208</v>
      </c>
      <c r="E367" s="33" t="s">
        <v>22</v>
      </c>
      <c r="F367" s="32"/>
      <c r="G367" s="46"/>
      <c r="H367" s="46"/>
      <c r="I367" s="46"/>
      <c r="J367" s="34">
        <v>1</v>
      </c>
      <c r="K367" s="34">
        <v>1</v>
      </c>
      <c r="L367" s="34">
        <v>1</v>
      </c>
      <c r="M367" s="34">
        <v>1</v>
      </c>
      <c r="N367" s="34">
        <v>1</v>
      </c>
      <c r="O367" s="34">
        <v>1</v>
      </c>
      <c r="P367" s="34">
        <v>1</v>
      </c>
      <c r="Q367" s="34">
        <v>1</v>
      </c>
      <c r="R367" s="34">
        <v>1</v>
      </c>
      <c r="S367" s="34">
        <v>1</v>
      </c>
      <c r="T367" s="34">
        <v>1</v>
      </c>
      <c r="U367" s="34">
        <v>1</v>
      </c>
      <c r="V367" s="34">
        <v>1</v>
      </c>
      <c r="W367" s="34">
        <v>1</v>
      </c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10">
        <f t="shared" si="15"/>
        <v>14</v>
      </c>
      <c r="AL367" s="11">
        <v>32000</v>
      </c>
      <c r="AM367" s="12">
        <f t="shared" si="17"/>
        <v>448000</v>
      </c>
    </row>
    <row r="368" spans="1:39" ht="13.5" customHeight="1">
      <c r="A368" s="48" t="s">
        <v>84</v>
      </c>
      <c r="B368" s="32">
        <v>117</v>
      </c>
      <c r="C368" s="33" t="s">
        <v>316</v>
      </c>
      <c r="D368" s="33" t="s">
        <v>46</v>
      </c>
      <c r="E368" s="33" t="s">
        <v>217</v>
      </c>
      <c r="F368" s="32" t="s">
        <v>218</v>
      </c>
      <c r="G368" s="46"/>
      <c r="H368" s="46"/>
      <c r="I368" s="46"/>
      <c r="J368" s="34">
        <v>1</v>
      </c>
      <c r="K368" s="34">
        <v>1</v>
      </c>
      <c r="L368" s="34">
        <v>1</v>
      </c>
      <c r="M368" s="34">
        <v>1</v>
      </c>
      <c r="N368" s="34">
        <v>1</v>
      </c>
      <c r="O368" s="34">
        <v>1</v>
      </c>
      <c r="P368" s="34">
        <v>1</v>
      </c>
      <c r="Q368" s="34">
        <v>1</v>
      </c>
      <c r="R368" s="34">
        <v>1</v>
      </c>
      <c r="S368" s="34">
        <v>1</v>
      </c>
      <c r="T368" s="34">
        <v>1</v>
      </c>
      <c r="U368" s="34">
        <v>1</v>
      </c>
      <c r="V368" s="34">
        <v>1</v>
      </c>
      <c r="W368" s="34">
        <v>1</v>
      </c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10">
        <f t="shared" si="15"/>
        <v>14</v>
      </c>
      <c r="AL368" s="11">
        <v>32000</v>
      </c>
      <c r="AM368" s="12">
        <f t="shared" si="17"/>
        <v>448000</v>
      </c>
    </row>
    <row r="369" spans="1:39" ht="13.5" customHeight="1">
      <c r="A369" s="48" t="s">
        <v>84</v>
      </c>
      <c r="B369" s="32">
        <v>120</v>
      </c>
      <c r="C369" s="33" t="s">
        <v>290</v>
      </c>
      <c r="D369" s="33" t="s">
        <v>213</v>
      </c>
      <c r="E369" s="33" t="s">
        <v>239</v>
      </c>
      <c r="F369" s="32" t="s">
        <v>297</v>
      </c>
      <c r="G369" s="46"/>
      <c r="H369" s="46"/>
      <c r="I369" s="46"/>
      <c r="J369" s="34">
        <v>1</v>
      </c>
      <c r="K369" s="34">
        <v>1</v>
      </c>
      <c r="L369" s="34">
        <v>1</v>
      </c>
      <c r="M369" s="34">
        <v>1</v>
      </c>
      <c r="N369" s="34">
        <v>1</v>
      </c>
      <c r="O369" s="34">
        <v>1</v>
      </c>
      <c r="P369" s="34">
        <v>1</v>
      </c>
      <c r="Q369" s="34">
        <v>1</v>
      </c>
      <c r="R369" s="34">
        <v>1</v>
      </c>
      <c r="S369" s="34">
        <v>1</v>
      </c>
      <c r="T369" s="34">
        <v>1</v>
      </c>
      <c r="U369" s="34">
        <v>1</v>
      </c>
      <c r="V369" s="34">
        <v>1</v>
      </c>
      <c r="W369" s="34">
        <v>1</v>
      </c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10">
        <f t="shared" si="15"/>
        <v>14</v>
      </c>
      <c r="AL369" s="11">
        <v>32000</v>
      </c>
      <c r="AM369" s="12">
        <f t="shared" si="17"/>
        <v>448000</v>
      </c>
    </row>
    <row r="370" spans="1:39" ht="13.5" customHeight="1">
      <c r="A370" s="48" t="s">
        <v>84</v>
      </c>
      <c r="B370" s="32">
        <v>120</v>
      </c>
      <c r="C370" s="33" t="s">
        <v>291</v>
      </c>
      <c r="D370" s="33" t="s">
        <v>66</v>
      </c>
      <c r="E370" s="33" t="s">
        <v>93</v>
      </c>
      <c r="F370" s="32" t="s">
        <v>296</v>
      </c>
      <c r="G370" s="46"/>
      <c r="H370" s="46"/>
      <c r="I370" s="46"/>
      <c r="J370" s="34">
        <v>1</v>
      </c>
      <c r="K370" s="34">
        <v>1</v>
      </c>
      <c r="L370" s="34">
        <v>1</v>
      </c>
      <c r="M370" s="34">
        <v>1</v>
      </c>
      <c r="N370" s="34">
        <v>1</v>
      </c>
      <c r="O370" s="34">
        <v>1</v>
      </c>
      <c r="P370" s="34">
        <v>1</v>
      </c>
      <c r="Q370" s="34">
        <v>1</v>
      </c>
      <c r="R370" s="34">
        <v>1</v>
      </c>
      <c r="S370" s="34">
        <v>1</v>
      </c>
      <c r="T370" s="34">
        <v>1</v>
      </c>
      <c r="U370" s="34">
        <v>1</v>
      </c>
      <c r="V370" s="34">
        <v>1</v>
      </c>
      <c r="W370" s="34">
        <v>1</v>
      </c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10">
        <f t="shared" si="15"/>
        <v>14</v>
      </c>
      <c r="AL370" s="11">
        <v>32000</v>
      </c>
      <c r="AM370" s="12">
        <f t="shared" si="17"/>
        <v>448000</v>
      </c>
    </row>
    <row r="371" spans="1:39" ht="13.5" customHeight="1">
      <c r="A371" s="48" t="s">
        <v>84</v>
      </c>
      <c r="B371" s="32">
        <v>120</v>
      </c>
      <c r="C371" s="33" t="s">
        <v>13</v>
      </c>
      <c r="D371" s="33" t="s">
        <v>950</v>
      </c>
      <c r="E371" s="33" t="s">
        <v>199</v>
      </c>
      <c r="F371" s="32" t="s">
        <v>951</v>
      </c>
      <c r="G371" s="46"/>
      <c r="H371" s="46"/>
      <c r="I371" s="46"/>
      <c r="J371" s="34">
        <v>1</v>
      </c>
      <c r="K371" s="34">
        <v>1</v>
      </c>
      <c r="L371" s="34">
        <v>1</v>
      </c>
      <c r="M371" s="34">
        <v>1</v>
      </c>
      <c r="N371" s="34">
        <v>1</v>
      </c>
      <c r="O371" s="34">
        <v>1</v>
      </c>
      <c r="P371" s="34">
        <v>1</v>
      </c>
      <c r="Q371" s="34">
        <v>1</v>
      </c>
      <c r="R371" s="34">
        <v>1</v>
      </c>
      <c r="S371" s="34">
        <v>1</v>
      </c>
      <c r="T371" s="34">
        <v>1</v>
      </c>
      <c r="U371" s="34">
        <v>1</v>
      </c>
      <c r="V371" s="34">
        <v>1</v>
      </c>
      <c r="W371" s="34">
        <v>1</v>
      </c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10">
        <f t="shared" si="15"/>
        <v>14</v>
      </c>
      <c r="AL371" s="11">
        <v>32000</v>
      </c>
      <c r="AM371" s="12">
        <f t="shared" si="17"/>
        <v>448000</v>
      </c>
    </row>
    <row r="372" spans="1:39" ht="13.5" customHeight="1">
      <c r="A372" s="48" t="s">
        <v>84</v>
      </c>
      <c r="B372" s="32">
        <v>26</v>
      </c>
      <c r="C372" s="33" t="s">
        <v>741</v>
      </c>
      <c r="D372" s="33" t="s">
        <v>742</v>
      </c>
      <c r="E372" s="33" t="s">
        <v>590</v>
      </c>
      <c r="F372" s="32" t="s">
        <v>572</v>
      </c>
      <c r="G372" s="46"/>
      <c r="H372" s="46"/>
      <c r="I372" s="46"/>
      <c r="J372" s="34">
        <v>1</v>
      </c>
      <c r="K372" s="34">
        <v>1</v>
      </c>
      <c r="L372" s="34">
        <v>1</v>
      </c>
      <c r="M372" s="34">
        <v>1</v>
      </c>
      <c r="N372" s="34">
        <v>1</v>
      </c>
      <c r="O372" s="34">
        <v>1</v>
      </c>
      <c r="P372" s="34">
        <v>1</v>
      </c>
      <c r="Q372" s="34">
        <v>1</v>
      </c>
      <c r="R372" s="34">
        <v>1</v>
      </c>
      <c r="S372" s="34">
        <v>1</v>
      </c>
      <c r="T372" s="34">
        <v>1</v>
      </c>
      <c r="U372" s="34">
        <v>1</v>
      </c>
      <c r="V372" s="34">
        <v>1</v>
      </c>
      <c r="W372" s="34">
        <v>1</v>
      </c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10">
        <f t="shared" ref="AK372:AK397" si="18">SUM(G372:AJ372)</f>
        <v>14</v>
      </c>
      <c r="AL372" s="11">
        <v>32000</v>
      </c>
      <c r="AM372" s="12">
        <f t="shared" ref="AM372:AM397" si="19">AL372*AK372</f>
        <v>448000</v>
      </c>
    </row>
    <row r="373" spans="1:39" ht="13.5" customHeight="1">
      <c r="A373" s="48" t="s">
        <v>84</v>
      </c>
      <c r="B373" s="32">
        <v>27</v>
      </c>
      <c r="C373" s="33" t="s">
        <v>394</v>
      </c>
      <c r="D373" s="33" t="s">
        <v>394</v>
      </c>
      <c r="E373" s="33" t="s">
        <v>738</v>
      </c>
      <c r="F373" s="32" t="s">
        <v>568</v>
      </c>
      <c r="G373" s="46"/>
      <c r="H373" s="46"/>
      <c r="I373" s="46"/>
      <c r="J373" s="34">
        <v>1</v>
      </c>
      <c r="K373" s="34">
        <v>1</v>
      </c>
      <c r="L373" s="34">
        <v>1</v>
      </c>
      <c r="M373" s="34">
        <v>1</v>
      </c>
      <c r="N373" s="34">
        <v>1</v>
      </c>
      <c r="O373" s="34">
        <v>1</v>
      </c>
      <c r="P373" s="34">
        <v>1</v>
      </c>
      <c r="Q373" s="34">
        <v>1</v>
      </c>
      <c r="R373" s="34">
        <v>1</v>
      </c>
      <c r="S373" s="34">
        <v>1</v>
      </c>
      <c r="T373" s="34">
        <v>1</v>
      </c>
      <c r="U373" s="34">
        <v>1</v>
      </c>
      <c r="V373" s="34">
        <v>1</v>
      </c>
      <c r="W373" s="34">
        <v>1</v>
      </c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10">
        <f t="shared" si="18"/>
        <v>14</v>
      </c>
      <c r="AL373" s="11">
        <v>32000</v>
      </c>
      <c r="AM373" s="12">
        <f t="shared" si="19"/>
        <v>448000</v>
      </c>
    </row>
    <row r="374" spans="1:39" ht="13.5" customHeight="1">
      <c r="A374" s="48" t="s">
        <v>84</v>
      </c>
      <c r="B374" s="32">
        <v>27</v>
      </c>
      <c r="C374" s="33" t="s">
        <v>394</v>
      </c>
      <c r="D374" s="33" t="s">
        <v>27</v>
      </c>
      <c r="E374" s="33" t="s">
        <v>168</v>
      </c>
      <c r="F374" s="32" t="s">
        <v>582</v>
      </c>
      <c r="G374" s="46"/>
      <c r="H374" s="46"/>
      <c r="I374" s="46"/>
      <c r="J374" s="34">
        <v>1</v>
      </c>
      <c r="K374" s="34">
        <v>1</v>
      </c>
      <c r="L374" s="34">
        <v>1</v>
      </c>
      <c r="M374" s="34">
        <v>1</v>
      </c>
      <c r="N374" s="34">
        <v>1</v>
      </c>
      <c r="O374" s="34">
        <v>1</v>
      </c>
      <c r="P374" s="34">
        <v>1</v>
      </c>
      <c r="Q374" s="34">
        <v>1</v>
      </c>
      <c r="R374" s="34">
        <v>1</v>
      </c>
      <c r="S374" s="34">
        <v>1</v>
      </c>
      <c r="T374" s="34">
        <v>1</v>
      </c>
      <c r="U374" s="34">
        <v>1</v>
      </c>
      <c r="V374" s="34">
        <v>1</v>
      </c>
      <c r="W374" s="34">
        <v>1</v>
      </c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10">
        <f t="shared" si="18"/>
        <v>14</v>
      </c>
      <c r="AL374" s="11">
        <v>32000</v>
      </c>
      <c r="AM374" s="12">
        <f t="shared" si="19"/>
        <v>448000</v>
      </c>
    </row>
    <row r="375" spans="1:39" ht="13.5" customHeight="1">
      <c r="A375" s="48" t="s">
        <v>84</v>
      </c>
      <c r="B375" s="32">
        <v>28</v>
      </c>
      <c r="C375" s="33" t="s">
        <v>677</v>
      </c>
      <c r="D375" s="33" t="s">
        <v>89</v>
      </c>
      <c r="E375" s="33" t="s">
        <v>100</v>
      </c>
      <c r="F375" s="32" t="s">
        <v>687</v>
      </c>
      <c r="G375" s="46"/>
      <c r="H375" s="46"/>
      <c r="I375" s="46"/>
      <c r="J375" s="34">
        <v>1</v>
      </c>
      <c r="K375" s="34">
        <v>1</v>
      </c>
      <c r="L375" s="34">
        <v>1</v>
      </c>
      <c r="M375" s="34">
        <v>1</v>
      </c>
      <c r="N375" s="34">
        <v>1</v>
      </c>
      <c r="O375" s="34">
        <v>1</v>
      </c>
      <c r="P375" s="34">
        <v>1</v>
      </c>
      <c r="Q375" s="34">
        <v>1</v>
      </c>
      <c r="R375" s="34">
        <v>1</v>
      </c>
      <c r="S375" s="34">
        <v>1</v>
      </c>
      <c r="T375" s="34">
        <v>1</v>
      </c>
      <c r="U375" s="34">
        <v>1</v>
      </c>
      <c r="V375" s="34">
        <v>1</v>
      </c>
      <c r="W375" s="34">
        <v>1</v>
      </c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10">
        <f t="shared" si="18"/>
        <v>14</v>
      </c>
      <c r="AL375" s="11">
        <v>32000</v>
      </c>
      <c r="AM375" s="12">
        <f t="shared" si="19"/>
        <v>448000</v>
      </c>
    </row>
    <row r="376" spans="1:39" ht="13.5" customHeight="1">
      <c r="A376" s="48" t="s">
        <v>84</v>
      </c>
      <c r="B376" s="32">
        <v>28</v>
      </c>
      <c r="C376" s="33" t="s">
        <v>204</v>
      </c>
      <c r="D376" s="33" t="s">
        <v>680</v>
      </c>
      <c r="E376" s="33" t="s">
        <v>593</v>
      </c>
      <c r="F376" s="32" t="s">
        <v>685</v>
      </c>
      <c r="G376" s="46"/>
      <c r="H376" s="46"/>
      <c r="I376" s="46"/>
      <c r="J376" s="34">
        <v>1</v>
      </c>
      <c r="K376" s="34">
        <v>1</v>
      </c>
      <c r="L376" s="34">
        <v>1</v>
      </c>
      <c r="M376" s="34">
        <v>1</v>
      </c>
      <c r="N376" s="34">
        <v>1</v>
      </c>
      <c r="O376" s="34">
        <v>1</v>
      </c>
      <c r="P376" s="34">
        <v>1</v>
      </c>
      <c r="Q376" s="34">
        <v>1</v>
      </c>
      <c r="R376" s="34">
        <v>1</v>
      </c>
      <c r="S376" s="34">
        <v>1</v>
      </c>
      <c r="T376" s="34">
        <v>1</v>
      </c>
      <c r="U376" s="34">
        <v>1</v>
      </c>
      <c r="V376" s="34">
        <v>1</v>
      </c>
      <c r="W376" s="34">
        <v>1</v>
      </c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10">
        <f t="shared" si="18"/>
        <v>14</v>
      </c>
      <c r="AL376" s="11">
        <v>32000</v>
      </c>
      <c r="AM376" s="12">
        <f t="shared" si="19"/>
        <v>448000</v>
      </c>
    </row>
    <row r="377" spans="1:39" ht="13.5" customHeight="1">
      <c r="A377" s="48" t="s">
        <v>84</v>
      </c>
      <c r="B377" s="32">
        <v>29</v>
      </c>
      <c r="C377" s="33" t="s">
        <v>339</v>
      </c>
      <c r="D377" s="33" t="s">
        <v>340</v>
      </c>
      <c r="E377" s="33" t="s">
        <v>215</v>
      </c>
      <c r="F377" s="32" t="s">
        <v>216</v>
      </c>
      <c r="G377" s="46"/>
      <c r="H377" s="46"/>
      <c r="I377" s="46"/>
      <c r="J377" s="34">
        <v>1</v>
      </c>
      <c r="K377" s="34">
        <v>1</v>
      </c>
      <c r="L377" s="34">
        <v>1</v>
      </c>
      <c r="M377" s="34">
        <v>1</v>
      </c>
      <c r="N377" s="34">
        <v>1</v>
      </c>
      <c r="O377" s="34">
        <v>1</v>
      </c>
      <c r="P377" s="34">
        <v>1</v>
      </c>
      <c r="Q377" s="34">
        <v>1</v>
      </c>
      <c r="R377" s="34">
        <v>1</v>
      </c>
      <c r="S377" s="34">
        <v>1</v>
      </c>
      <c r="T377" s="34">
        <v>1</v>
      </c>
      <c r="U377" s="34">
        <v>1</v>
      </c>
      <c r="V377" s="34">
        <v>1</v>
      </c>
      <c r="W377" s="34">
        <v>1</v>
      </c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10">
        <f t="shared" si="18"/>
        <v>14</v>
      </c>
      <c r="AL377" s="11">
        <v>32000</v>
      </c>
      <c r="AM377" s="12">
        <f t="shared" si="19"/>
        <v>448000</v>
      </c>
    </row>
    <row r="378" spans="1:39" ht="13.5" customHeight="1">
      <c r="A378" s="48" t="s">
        <v>84</v>
      </c>
      <c r="B378" s="32">
        <v>29</v>
      </c>
      <c r="C378" s="33" t="s">
        <v>341</v>
      </c>
      <c r="D378" s="33" t="s">
        <v>251</v>
      </c>
      <c r="E378" s="33" t="s">
        <v>252</v>
      </c>
      <c r="F378" s="32" t="s">
        <v>253</v>
      </c>
      <c r="G378" s="46"/>
      <c r="H378" s="46"/>
      <c r="I378" s="46"/>
      <c r="J378" s="34">
        <v>1</v>
      </c>
      <c r="K378" s="34">
        <v>1</v>
      </c>
      <c r="L378" s="34">
        <v>1</v>
      </c>
      <c r="M378" s="34">
        <v>1</v>
      </c>
      <c r="N378" s="34">
        <v>1</v>
      </c>
      <c r="O378" s="34">
        <v>1</v>
      </c>
      <c r="P378" s="34">
        <v>1</v>
      </c>
      <c r="Q378" s="34">
        <v>1</v>
      </c>
      <c r="R378" s="34">
        <v>1</v>
      </c>
      <c r="S378" s="34">
        <v>1</v>
      </c>
      <c r="T378" s="34">
        <v>1</v>
      </c>
      <c r="U378" s="34">
        <v>1</v>
      </c>
      <c r="V378" s="34">
        <v>1</v>
      </c>
      <c r="W378" s="34">
        <v>1</v>
      </c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10">
        <f t="shared" si="18"/>
        <v>14</v>
      </c>
      <c r="AL378" s="11">
        <v>32000</v>
      </c>
      <c r="AM378" s="12">
        <f t="shared" si="19"/>
        <v>448000</v>
      </c>
    </row>
    <row r="379" spans="1:39" ht="13.5" customHeight="1">
      <c r="A379" s="48" t="s">
        <v>84</v>
      </c>
      <c r="B379" s="32">
        <v>30</v>
      </c>
      <c r="C379" s="33" t="s">
        <v>449</v>
      </c>
      <c r="D379" s="33" t="s">
        <v>450</v>
      </c>
      <c r="E379" s="33" t="s">
        <v>93</v>
      </c>
      <c r="F379" s="32" t="s">
        <v>451</v>
      </c>
      <c r="G379" s="46"/>
      <c r="H379" s="46"/>
      <c r="I379" s="46"/>
      <c r="J379" s="34">
        <v>1</v>
      </c>
      <c r="K379" s="34">
        <v>1</v>
      </c>
      <c r="L379" s="34">
        <v>1</v>
      </c>
      <c r="M379" s="34">
        <v>1</v>
      </c>
      <c r="N379" s="34">
        <v>1</v>
      </c>
      <c r="O379" s="34">
        <v>1</v>
      </c>
      <c r="P379" s="34">
        <v>1</v>
      </c>
      <c r="Q379" s="34">
        <v>1</v>
      </c>
      <c r="R379" s="34">
        <v>1</v>
      </c>
      <c r="S379" s="34">
        <v>1</v>
      </c>
      <c r="T379" s="34">
        <v>1</v>
      </c>
      <c r="U379" s="34">
        <v>1</v>
      </c>
      <c r="V379" s="34">
        <v>1</v>
      </c>
      <c r="W379" s="34">
        <v>1</v>
      </c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10">
        <f t="shared" si="18"/>
        <v>14</v>
      </c>
      <c r="AL379" s="11">
        <v>32000</v>
      </c>
      <c r="AM379" s="12">
        <f t="shared" si="19"/>
        <v>448000</v>
      </c>
    </row>
    <row r="380" spans="1:39" ht="13.5" customHeight="1">
      <c r="A380" s="48" t="s">
        <v>84</v>
      </c>
      <c r="B380" s="32">
        <v>30</v>
      </c>
      <c r="C380" s="33" t="s">
        <v>452</v>
      </c>
      <c r="D380" s="33" t="s">
        <v>453</v>
      </c>
      <c r="E380" s="33" t="s">
        <v>168</v>
      </c>
      <c r="F380" s="32" t="s">
        <v>454</v>
      </c>
      <c r="G380" s="46"/>
      <c r="H380" s="46"/>
      <c r="I380" s="46"/>
      <c r="J380" s="34">
        <v>1</v>
      </c>
      <c r="K380" s="34">
        <v>1</v>
      </c>
      <c r="L380" s="34">
        <v>1</v>
      </c>
      <c r="M380" s="34">
        <v>1</v>
      </c>
      <c r="N380" s="34">
        <v>1</v>
      </c>
      <c r="O380" s="34">
        <v>1</v>
      </c>
      <c r="P380" s="34">
        <v>1</v>
      </c>
      <c r="Q380" s="34">
        <v>1</v>
      </c>
      <c r="R380" s="34">
        <v>1</v>
      </c>
      <c r="S380" s="34">
        <v>1</v>
      </c>
      <c r="T380" s="34">
        <v>1</v>
      </c>
      <c r="U380" s="34">
        <v>1</v>
      </c>
      <c r="V380" s="34">
        <v>1</v>
      </c>
      <c r="W380" s="34">
        <v>1</v>
      </c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10">
        <f t="shared" si="18"/>
        <v>14</v>
      </c>
      <c r="AL380" s="11">
        <v>32000</v>
      </c>
      <c r="AM380" s="12">
        <f t="shared" si="19"/>
        <v>448000</v>
      </c>
    </row>
    <row r="381" spans="1:39" ht="13.5" customHeight="1">
      <c r="A381" s="48" t="s">
        <v>84</v>
      </c>
      <c r="B381" s="32">
        <v>33</v>
      </c>
      <c r="C381" s="33" t="s">
        <v>743</v>
      </c>
      <c r="D381" s="33" t="s">
        <v>744</v>
      </c>
      <c r="E381" s="33" t="s">
        <v>745</v>
      </c>
      <c r="F381" s="32" t="s">
        <v>566</v>
      </c>
      <c r="G381" s="46"/>
      <c r="H381" s="46"/>
      <c r="I381" s="46"/>
      <c r="J381" s="34">
        <v>1</v>
      </c>
      <c r="K381" s="34">
        <v>1</v>
      </c>
      <c r="L381" s="34">
        <v>1</v>
      </c>
      <c r="M381" s="34">
        <v>1</v>
      </c>
      <c r="N381" s="34">
        <v>1</v>
      </c>
      <c r="O381" s="34">
        <v>1</v>
      </c>
      <c r="P381" s="34">
        <v>1</v>
      </c>
      <c r="Q381" s="34">
        <v>1</v>
      </c>
      <c r="R381" s="34">
        <v>1</v>
      </c>
      <c r="S381" s="34">
        <v>1</v>
      </c>
      <c r="T381" s="34">
        <v>1</v>
      </c>
      <c r="U381" s="34">
        <v>1</v>
      </c>
      <c r="V381" s="34">
        <v>1</v>
      </c>
      <c r="W381" s="34">
        <v>1</v>
      </c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10">
        <f t="shared" si="18"/>
        <v>14</v>
      </c>
      <c r="AL381" s="11">
        <v>32000</v>
      </c>
      <c r="AM381" s="12">
        <f t="shared" si="19"/>
        <v>448000</v>
      </c>
    </row>
    <row r="382" spans="1:39" ht="13.5" customHeight="1">
      <c r="A382" s="48" t="s">
        <v>84</v>
      </c>
      <c r="B382" s="32">
        <v>33</v>
      </c>
      <c r="C382" s="33" t="s">
        <v>746</v>
      </c>
      <c r="D382" s="33" t="s">
        <v>554</v>
      </c>
      <c r="E382" s="33" t="s">
        <v>747</v>
      </c>
      <c r="F382" s="32" t="s">
        <v>570</v>
      </c>
      <c r="G382" s="46"/>
      <c r="H382" s="46"/>
      <c r="I382" s="46"/>
      <c r="J382" s="34">
        <v>1</v>
      </c>
      <c r="K382" s="34">
        <v>1</v>
      </c>
      <c r="L382" s="34">
        <v>1</v>
      </c>
      <c r="M382" s="34">
        <v>1</v>
      </c>
      <c r="N382" s="34">
        <v>1</v>
      </c>
      <c r="O382" s="34">
        <v>1</v>
      </c>
      <c r="P382" s="34">
        <v>1</v>
      </c>
      <c r="Q382" s="34">
        <v>1</v>
      </c>
      <c r="R382" s="34">
        <v>1</v>
      </c>
      <c r="S382" s="34">
        <v>1</v>
      </c>
      <c r="T382" s="34">
        <v>1</v>
      </c>
      <c r="U382" s="34">
        <v>1</v>
      </c>
      <c r="V382" s="34">
        <v>1</v>
      </c>
      <c r="W382" s="34">
        <v>1</v>
      </c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10">
        <f t="shared" si="18"/>
        <v>14</v>
      </c>
      <c r="AL382" s="11">
        <v>32000</v>
      </c>
      <c r="AM382" s="12">
        <f t="shared" si="19"/>
        <v>448000</v>
      </c>
    </row>
    <row r="383" spans="1:39" ht="13.5" customHeight="1">
      <c r="A383" s="48" t="s">
        <v>84</v>
      </c>
      <c r="B383" s="32">
        <v>35</v>
      </c>
      <c r="C383" s="33" t="s">
        <v>455</v>
      </c>
      <c r="D383" s="33" t="s">
        <v>456</v>
      </c>
      <c r="E383" s="33" t="s">
        <v>29</v>
      </c>
      <c r="F383" s="32" t="s">
        <v>457</v>
      </c>
      <c r="G383" s="46"/>
      <c r="H383" s="46"/>
      <c r="I383" s="46"/>
      <c r="J383" s="34">
        <v>1</v>
      </c>
      <c r="K383" s="34">
        <v>1</v>
      </c>
      <c r="L383" s="34">
        <v>1</v>
      </c>
      <c r="M383" s="34">
        <v>1</v>
      </c>
      <c r="N383" s="34">
        <v>1</v>
      </c>
      <c r="O383" s="34">
        <v>1</v>
      </c>
      <c r="P383" s="34">
        <v>1</v>
      </c>
      <c r="Q383" s="34">
        <v>1</v>
      </c>
      <c r="R383" s="34">
        <v>1</v>
      </c>
      <c r="S383" s="34">
        <v>1</v>
      </c>
      <c r="T383" s="34">
        <v>1</v>
      </c>
      <c r="U383" s="34">
        <v>1</v>
      </c>
      <c r="V383" s="34">
        <v>1</v>
      </c>
      <c r="W383" s="34">
        <v>1</v>
      </c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10">
        <f t="shared" si="18"/>
        <v>14</v>
      </c>
      <c r="AL383" s="11">
        <v>32000</v>
      </c>
      <c r="AM383" s="12">
        <f t="shared" si="19"/>
        <v>448000</v>
      </c>
    </row>
    <row r="384" spans="1:39" ht="13.5" customHeight="1">
      <c r="A384" s="48" t="s">
        <v>84</v>
      </c>
      <c r="B384" s="32">
        <v>35</v>
      </c>
      <c r="C384" s="33" t="s">
        <v>671</v>
      </c>
      <c r="D384" s="33" t="s">
        <v>12</v>
      </c>
      <c r="E384" s="33" t="s">
        <v>395</v>
      </c>
      <c r="F384" s="32" t="s">
        <v>674</v>
      </c>
      <c r="G384" s="46"/>
      <c r="H384" s="46"/>
      <c r="I384" s="46"/>
      <c r="J384" s="34">
        <v>1</v>
      </c>
      <c r="K384" s="34">
        <v>1</v>
      </c>
      <c r="L384" s="34">
        <v>1</v>
      </c>
      <c r="M384" s="34">
        <v>1</v>
      </c>
      <c r="N384" s="34">
        <v>1</v>
      </c>
      <c r="O384" s="34">
        <v>1</v>
      </c>
      <c r="P384" s="34">
        <v>1</v>
      </c>
      <c r="Q384" s="34">
        <v>1</v>
      </c>
      <c r="R384" s="34">
        <v>1</v>
      </c>
      <c r="S384" s="34">
        <v>1</v>
      </c>
      <c r="T384" s="34">
        <v>1</v>
      </c>
      <c r="U384" s="34">
        <v>1</v>
      </c>
      <c r="V384" s="34">
        <v>1</v>
      </c>
      <c r="W384" s="34">
        <v>1</v>
      </c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10">
        <f t="shared" si="18"/>
        <v>14</v>
      </c>
      <c r="AL384" s="11">
        <v>32000</v>
      </c>
      <c r="AM384" s="12">
        <f t="shared" si="19"/>
        <v>448000</v>
      </c>
    </row>
    <row r="385" spans="1:39" ht="13.5" customHeight="1">
      <c r="A385" s="48" t="s">
        <v>84</v>
      </c>
      <c r="B385" s="32">
        <v>37</v>
      </c>
      <c r="C385" s="33" t="s">
        <v>458</v>
      </c>
      <c r="D385" s="33" t="s">
        <v>459</v>
      </c>
      <c r="E385" s="33" t="s">
        <v>9</v>
      </c>
      <c r="F385" s="32" t="s">
        <v>460</v>
      </c>
      <c r="G385" s="46"/>
      <c r="H385" s="46"/>
      <c r="I385" s="46"/>
      <c r="J385" s="34">
        <v>1</v>
      </c>
      <c r="K385" s="34">
        <v>1</v>
      </c>
      <c r="L385" s="34">
        <v>1</v>
      </c>
      <c r="M385" s="34">
        <v>1</v>
      </c>
      <c r="N385" s="34">
        <v>1</v>
      </c>
      <c r="O385" s="34">
        <v>1</v>
      </c>
      <c r="P385" s="34">
        <v>1</v>
      </c>
      <c r="Q385" s="34">
        <v>1</v>
      </c>
      <c r="R385" s="34">
        <v>1</v>
      </c>
      <c r="S385" s="34">
        <v>1</v>
      </c>
      <c r="T385" s="34">
        <v>1</v>
      </c>
      <c r="U385" s="34">
        <v>1</v>
      </c>
      <c r="V385" s="34">
        <v>1</v>
      </c>
      <c r="W385" s="34">
        <v>1</v>
      </c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10">
        <f t="shared" si="18"/>
        <v>14</v>
      </c>
      <c r="AL385" s="11">
        <v>32000</v>
      </c>
      <c r="AM385" s="12">
        <f t="shared" si="19"/>
        <v>448000</v>
      </c>
    </row>
    <row r="386" spans="1:39" ht="13.5" customHeight="1">
      <c r="A386" s="48" t="s">
        <v>84</v>
      </c>
      <c r="B386" s="32">
        <v>37</v>
      </c>
      <c r="C386" s="33" t="s">
        <v>219</v>
      </c>
      <c r="D386" s="33" t="s">
        <v>381</v>
      </c>
      <c r="E386" s="33" t="s">
        <v>61</v>
      </c>
      <c r="F386" s="32" t="s">
        <v>461</v>
      </c>
      <c r="G386" s="46"/>
      <c r="H386" s="46"/>
      <c r="I386" s="46"/>
      <c r="J386" s="34">
        <v>1</v>
      </c>
      <c r="K386" s="34">
        <v>1</v>
      </c>
      <c r="L386" s="34">
        <v>1</v>
      </c>
      <c r="M386" s="34">
        <v>1</v>
      </c>
      <c r="N386" s="34">
        <v>1</v>
      </c>
      <c r="O386" s="34">
        <v>1</v>
      </c>
      <c r="P386" s="34">
        <v>1</v>
      </c>
      <c r="Q386" s="34">
        <v>1</v>
      </c>
      <c r="R386" s="34">
        <v>1</v>
      </c>
      <c r="S386" s="34">
        <v>1</v>
      </c>
      <c r="T386" s="34">
        <v>1</v>
      </c>
      <c r="U386" s="34">
        <v>1</v>
      </c>
      <c r="V386" s="34">
        <v>1</v>
      </c>
      <c r="W386" s="34">
        <v>1</v>
      </c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10">
        <f t="shared" si="18"/>
        <v>14</v>
      </c>
      <c r="AL386" s="11">
        <v>32000</v>
      </c>
      <c r="AM386" s="12">
        <f t="shared" si="19"/>
        <v>448000</v>
      </c>
    </row>
    <row r="387" spans="1:39" ht="13.5" customHeight="1">
      <c r="A387" s="48" t="s">
        <v>84</v>
      </c>
      <c r="B387" s="32">
        <v>38</v>
      </c>
      <c r="C387" s="33" t="s">
        <v>529</v>
      </c>
      <c r="D387" s="33" t="s">
        <v>431</v>
      </c>
      <c r="E387" s="33" t="s">
        <v>192</v>
      </c>
      <c r="F387" s="32" t="s">
        <v>565</v>
      </c>
      <c r="G387" s="46"/>
      <c r="H387" s="46"/>
      <c r="I387" s="46"/>
      <c r="J387" s="34">
        <v>1</v>
      </c>
      <c r="K387" s="34">
        <v>1</v>
      </c>
      <c r="L387" s="34">
        <v>1</v>
      </c>
      <c r="M387" s="34">
        <v>1</v>
      </c>
      <c r="N387" s="34">
        <v>1</v>
      </c>
      <c r="O387" s="34">
        <v>1</v>
      </c>
      <c r="P387" s="34">
        <v>1</v>
      </c>
      <c r="Q387" s="34">
        <v>1</v>
      </c>
      <c r="R387" s="34">
        <v>1</v>
      </c>
      <c r="S387" s="34">
        <v>1</v>
      </c>
      <c r="T387" s="34">
        <v>1</v>
      </c>
      <c r="U387" s="34">
        <v>1</v>
      </c>
      <c r="V387" s="34">
        <v>1</v>
      </c>
      <c r="W387" s="34">
        <v>1</v>
      </c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10">
        <f t="shared" si="18"/>
        <v>14</v>
      </c>
      <c r="AL387" s="11">
        <v>32000</v>
      </c>
      <c r="AM387" s="12">
        <f t="shared" si="19"/>
        <v>448000</v>
      </c>
    </row>
    <row r="388" spans="1:39" ht="13.5" customHeight="1">
      <c r="A388" s="48" t="s">
        <v>84</v>
      </c>
      <c r="B388" s="32">
        <v>38</v>
      </c>
      <c r="C388" s="33" t="s">
        <v>24</v>
      </c>
      <c r="D388" s="33" t="s">
        <v>85</v>
      </c>
      <c r="E388" s="33" t="s">
        <v>86</v>
      </c>
      <c r="F388" s="32" t="s">
        <v>87</v>
      </c>
      <c r="G388" s="46"/>
      <c r="H388" s="46"/>
      <c r="I388" s="46"/>
      <c r="J388" s="34">
        <v>1</v>
      </c>
      <c r="K388" s="34">
        <v>1</v>
      </c>
      <c r="L388" s="34">
        <v>1</v>
      </c>
      <c r="M388" s="34">
        <v>1</v>
      </c>
      <c r="N388" s="34">
        <v>1</v>
      </c>
      <c r="O388" s="34">
        <v>1</v>
      </c>
      <c r="P388" s="34">
        <v>1</v>
      </c>
      <c r="Q388" s="34">
        <v>1</v>
      </c>
      <c r="R388" s="34">
        <v>1</v>
      </c>
      <c r="S388" s="34">
        <v>1</v>
      </c>
      <c r="T388" s="34">
        <v>1</v>
      </c>
      <c r="U388" s="34">
        <v>1</v>
      </c>
      <c r="V388" s="34">
        <v>1</v>
      </c>
      <c r="W388" s="34">
        <v>1</v>
      </c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10">
        <f t="shared" si="18"/>
        <v>14</v>
      </c>
      <c r="AL388" s="11">
        <v>32000</v>
      </c>
      <c r="AM388" s="12">
        <f t="shared" si="19"/>
        <v>448000</v>
      </c>
    </row>
    <row r="389" spans="1:39" ht="13.5" customHeight="1">
      <c r="A389" s="48" t="s">
        <v>84</v>
      </c>
      <c r="B389" s="32">
        <v>40</v>
      </c>
      <c r="C389" s="33" t="s">
        <v>463</v>
      </c>
      <c r="D389" s="33" t="s">
        <v>464</v>
      </c>
      <c r="E389" s="33" t="s">
        <v>75</v>
      </c>
      <c r="F389" s="32" t="s">
        <v>465</v>
      </c>
      <c r="G389" s="46"/>
      <c r="H389" s="46"/>
      <c r="I389" s="46"/>
      <c r="J389" s="34">
        <v>1</v>
      </c>
      <c r="K389" s="34">
        <v>1</v>
      </c>
      <c r="L389" s="34">
        <v>1</v>
      </c>
      <c r="M389" s="34">
        <v>1</v>
      </c>
      <c r="N389" s="34">
        <v>1</v>
      </c>
      <c r="O389" s="34">
        <v>1</v>
      </c>
      <c r="P389" s="34">
        <v>1</v>
      </c>
      <c r="Q389" s="34">
        <v>1</v>
      </c>
      <c r="R389" s="34">
        <v>1</v>
      </c>
      <c r="S389" s="34">
        <v>1</v>
      </c>
      <c r="T389" s="34">
        <v>1</v>
      </c>
      <c r="U389" s="34">
        <v>1</v>
      </c>
      <c r="V389" s="34">
        <v>1</v>
      </c>
      <c r="W389" s="34">
        <v>1</v>
      </c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10">
        <f t="shared" si="18"/>
        <v>14</v>
      </c>
      <c r="AL389" s="11">
        <v>32000</v>
      </c>
      <c r="AM389" s="12">
        <f t="shared" si="19"/>
        <v>448000</v>
      </c>
    </row>
    <row r="390" spans="1:39" ht="13.5" customHeight="1">
      <c r="A390" s="48" t="s">
        <v>84</v>
      </c>
      <c r="B390" s="32">
        <v>40</v>
      </c>
      <c r="C390" s="33" t="s">
        <v>466</v>
      </c>
      <c r="D390" s="33" t="s">
        <v>467</v>
      </c>
      <c r="E390" s="33" t="s">
        <v>468</v>
      </c>
      <c r="F390" s="32" t="s">
        <v>469</v>
      </c>
      <c r="G390" s="46"/>
      <c r="H390" s="46"/>
      <c r="I390" s="46"/>
      <c r="J390" s="34">
        <v>1</v>
      </c>
      <c r="K390" s="34">
        <v>1</v>
      </c>
      <c r="L390" s="34">
        <v>1</v>
      </c>
      <c r="M390" s="34">
        <v>1</v>
      </c>
      <c r="N390" s="34">
        <v>1</v>
      </c>
      <c r="O390" s="34">
        <v>1</v>
      </c>
      <c r="P390" s="34">
        <v>1</v>
      </c>
      <c r="Q390" s="34">
        <v>1</v>
      </c>
      <c r="R390" s="34">
        <v>1</v>
      </c>
      <c r="S390" s="34">
        <v>1</v>
      </c>
      <c r="T390" s="34">
        <v>1</v>
      </c>
      <c r="U390" s="34">
        <v>1</v>
      </c>
      <c r="V390" s="34">
        <v>1</v>
      </c>
      <c r="W390" s="34">
        <v>1</v>
      </c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10">
        <f t="shared" si="18"/>
        <v>14</v>
      </c>
      <c r="AL390" s="11">
        <v>32000</v>
      </c>
      <c r="AM390" s="12">
        <f t="shared" si="19"/>
        <v>448000</v>
      </c>
    </row>
    <row r="391" spans="1:39" ht="13.5" customHeight="1">
      <c r="A391" s="48" t="s">
        <v>84</v>
      </c>
      <c r="B391" s="32">
        <v>41</v>
      </c>
      <c r="C391" s="33" t="s">
        <v>342</v>
      </c>
      <c r="D391" s="33" t="s">
        <v>254</v>
      </c>
      <c r="E391" s="33" t="s">
        <v>9</v>
      </c>
      <c r="F391" s="32" t="s">
        <v>255</v>
      </c>
      <c r="G391" s="46"/>
      <c r="H391" s="46"/>
      <c r="I391" s="46"/>
      <c r="J391" s="34">
        <v>1</v>
      </c>
      <c r="K391" s="34">
        <v>1</v>
      </c>
      <c r="L391" s="34">
        <v>1</v>
      </c>
      <c r="M391" s="34">
        <v>1</v>
      </c>
      <c r="N391" s="34">
        <v>1</v>
      </c>
      <c r="O391" s="34">
        <v>1</v>
      </c>
      <c r="P391" s="34">
        <v>1</v>
      </c>
      <c r="Q391" s="34">
        <v>1</v>
      </c>
      <c r="R391" s="34">
        <v>1</v>
      </c>
      <c r="S391" s="34">
        <v>1</v>
      </c>
      <c r="T391" s="34">
        <v>1</v>
      </c>
      <c r="U391" s="34">
        <v>1</v>
      </c>
      <c r="V391" s="34">
        <v>1</v>
      </c>
      <c r="W391" s="34">
        <v>1</v>
      </c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10">
        <f t="shared" si="18"/>
        <v>14</v>
      </c>
      <c r="AL391" s="11">
        <v>32000</v>
      </c>
      <c r="AM391" s="12">
        <f t="shared" si="19"/>
        <v>448000</v>
      </c>
    </row>
    <row r="392" spans="1:39" ht="13.5" customHeight="1">
      <c r="A392" s="48" t="s">
        <v>84</v>
      </c>
      <c r="B392" s="32">
        <v>41</v>
      </c>
      <c r="C392" s="33" t="s">
        <v>222</v>
      </c>
      <c r="D392" s="33" t="s">
        <v>601</v>
      </c>
      <c r="E392" s="33" t="s">
        <v>41</v>
      </c>
      <c r="F392" s="32" t="s">
        <v>581</v>
      </c>
      <c r="G392" s="46"/>
      <c r="H392" s="46"/>
      <c r="I392" s="46"/>
      <c r="J392" s="34">
        <v>1</v>
      </c>
      <c r="K392" s="34">
        <v>1</v>
      </c>
      <c r="L392" s="34">
        <v>1</v>
      </c>
      <c r="M392" s="34">
        <v>1</v>
      </c>
      <c r="N392" s="34">
        <v>1</v>
      </c>
      <c r="O392" s="34">
        <v>1</v>
      </c>
      <c r="P392" s="34">
        <v>1</v>
      </c>
      <c r="Q392" s="34">
        <v>1</v>
      </c>
      <c r="R392" s="34">
        <v>1</v>
      </c>
      <c r="S392" s="34">
        <v>1</v>
      </c>
      <c r="T392" s="34">
        <v>1</v>
      </c>
      <c r="U392" s="34">
        <v>1</v>
      </c>
      <c r="V392" s="34">
        <v>1</v>
      </c>
      <c r="W392" s="34">
        <v>1</v>
      </c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10">
        <f t="shared" si="18"/>
        <v>14</v>
      </c>
      <c r="AL392" s="11">
        <v>32000</v>
      </c>
      <c r="AM392" s="12">
        <f t="shared" si="19"/>
        <v>448000</v>
      </c>
    </row>
    <row r="393" spans="1:39" ht="13.5" customHeight="1">
      <c r="A393" s="48" t="s">
        <v>84</v>
      </c>
      <c r="B393" s="32">
        <v>42</v>
      </c>
      <c r="C393" s="33" t="s">
        <v>28</v>
      </c>
      <c r="D393" s="33" t="s">
        <v>104</v>
      </c>
      <c r="E393" s="33" t="s">
        <v>468</v>
      </c>
      <c r="F393" s="32" t="s">
        <v>470</v>
      </c>
      <c r="G393" s="46"/>
      <c r="H393" s="46"/>
      <c r="I393" s="46"/>
      <c r="J393" s="34">
        <v>1</v>
      </c>
      <c r="K393" s="34">
        <v>1</v>
      </c>
      <c r="L393" s="34">
        <v>1</v>
      </c>
      <c r="M393" s="34">
        <v>1</v>
      </c>
      <c r="N393" s="34">
        <v>1</v>
      </c>
      <c r="O393" s="34">
        <v>1</v>
      </c>
      <c r="P393" s="34">
        <v>1</v>
      </c>
      <c r="Q393" s="34">
        <v>1</v>
      </c>
      <c r="R393" s="34">
        <v>1</v>
      </c>
      <c r="S393" s="34">
        <v>1</v>
      </c>
      <c r="T393" s="34">
        <v>1</v>
      </c>
      <c r="U393" s="34">
        <v>1</v>
      </c>
      <c r="V393" s="34">
        <v>1</v>
      </c>
      <c r="W393" s="34">
        <v>1</v>
      </c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10">
        <f t="shared" si="18"/>
        <v>14</v>
      </c>
      <c r="AL393" s="11">
        <v>32000</v>
      </c>
      <c r="AM393" s="12">
        <f t="shared" si="19"/>
        <v>448000</v>
      </c>
    </row>
    <row r="394" spans="1:39" ht="13.5" customHeight="1">
      <c r="A394" s="48" t="s">
        <v>84</v>
      </c>
      <c r="B394" s="32">
        <v>42</v>
      </c>
      <c r="C394" s="33" t="s">
        <v>471</v>
      </c>
      <c r="D394" s="33" t="s">
        <v>302</v>
      </c>
      <c r="E394" s="33" t="s">
        <v>41</v>
      </c>
      <c r="F394" s="32" t="s">
        <v>472</v>
      </c>
      <c r="G394" s="46"/>
      <c r="H394" s="46"/>
      <c r="I394" s="46"/>
      <c r="J394" s="34">
        <v>1</v>
      </c>
      <c r="K394" s="34">
        <v>1</v>
      </c>
      <c r="L394" s="34">
        <v>1</v>
      </c>
      <c r="M394" s="34">
        <v>1</v>
      </c>
      <c r="N394" s="34">
        <v>1</v>
      </c>
      <c r="O394" s="34">
        <v>1</v>
      </c>
      <c r="P394" s="34">
        <v>1</v>
      </c>
      <c r="Q394" s="34">
        <v>1</v>
      </c>
      <c r="R394" s="34">
        <v>1</v>
      </c>
      <c r="S394" s="34">
        <v>1</v>
      </c>
      <c r="T394" s="34">
        <v>1</v>
      </c>
      <c r="U394" s="34">
        <v>1</v>
      </c>
      <c r="V394" s="34">
        <v>1</v>
      </c>
      <c r="W394" s="34">
        <v>1</v>
      </c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10">
        <f t="shared" si="18"/>
        <v>14</v>
      </c>
      <c r="AL394" s="11">
        <v>32000</v>
      </c>
      <c r="AM394" s="12">
        <f t="shared" si="19"/>
        <v>448000</v>
      </c>
    </row>
    <row r="395" spans="1:39" ht="13.5" customHeight="1">
      <c r="A395" s="48" t="s">
        <v>84</v>
      </c>
      <c r="B395" s="32">
        <v>45</v>
      </c>
      <c r="C395" s="33" t="s">
        <v>118</v>
      </c>
      <c r="D395" s="33" t="s">
        <v>676</v>
      </c>
      <c r="E395" s="33" t="s">
        <v>317</v>
      </c>
      <c r="F395" s="32" t="s">
        <v>689</v>
      </c>
      <c r="G395" s="46"/>
      <c r="H395" s="46"/>
      <c r="I395" s="46"/>
      <c r="J395" s="34">
        <v>1</v>
      </c>
      <c r="K395" s="34">
        <v>1</v>
      </c>
      <c r="L395" s="34">
        <v>1</v>
      </c>
      <c r="M395" s="34">
        <v>1</v>
      </c>
      <c r="N395" s="34">
        <v>1</v>
      </c>
      <c r="O395" s="34">
        <v>1</v>
      </c>
      <c r="P395" s="34">
        <v>1</v>
      </c>
      <c r="Q395" s="34">
        <v>1</v>
      </c>
      <c r="R395" s="34">
        <v>1</v>
      </c>
      <c r="S395" s="34">
        <v>1</v>
      </c>
      <c r="T395" s="34">
        <v>1</v>
      </c>
      <c r="U395" s="34">
        <v>1</v>
      </c>
      <c r="V395" s="34">
        <v>1</v>
      </c>
      <c r="W395" s="34">
        <v>1</v>
      </c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10">
        <f t="shared" si="18"/>
        <v>14</v>
      </c>
      <c r="AL395" s="11">
        <v>32000</v>
      </c>
      <c r="AM395" s="12">
        <f t="shared" si="19"/>
        <v>448000</v>
      </c>
    </row>
    <row r="396" spans="1:39" ht="13.5" customHeight="1">
      <c r="A396" s="48" t="s">
        <v>84</v>
      </c>
      <c r="B396" s="72" t="s">
        <v>120</v>
      </c>
      <c r="C396" s="33" t="s">
        <v>895</v>
      </c>
      <c r="D396" s="33" t="s">
        <v>896</v>
      </c>
      <c r="E396" s="33" t="s">
        <v>75</v>
      </c>
      <c r="F396" s="32" t="s">
        <v>897</v>
      </c>
      <c r="G396" s="46"/>
      <c r="H396" s="46"/>
      <c r="I396" s="46"/>
      <c r="J396" s="46"/>
      <c r="K396" s="34">
        <v>1</v>
      </c>
      <c r="L396" s="67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10">
        <f t="shared" si="18"/>
        <v>1</v>
      </c>
      <c r="AL396" s="11">
        <v>32000</v>
      </c>
      <c r="AM396" s="12">
        <f t="shared" si="19"/>
        <v>32000</v>
      </c>
    </row>
    <row r="397" spans="1:39" ht="13.5" customHeight="1">
      <c r="A397" s="48" t="s">
        <v>84</v>
      </c>
      <c r="B397" s="72" t="s">
        <v>120</v>
      </c>
      <c r="C397" s="33" t="s">
        <v>10</v>
      </c>
      <c r="D397" s="33" t="s">
        <v>118</v>
      </c>
      <c r="E397" s="33" t="s">
        <v>904</v>
      </c>
      <c r="F397" s="32" t="s">
        <v>905</v>
      </c>
      <c r="G397" s="46"/>
      <c r="H397" s="46"/>
      <c r="I397" s="46"/>
      <c r="J397" s="46"/>
      <c r="K397" s="34">
        <v>1</v>
      </c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10">
        <f t="shared" si="18"/>
        <v>1</v>
      </c>
      <c r="AL397" s="11">
        <v>32000</v>
      </c>
      <c r="AM397" s="12">
        <f t="shared" si="19"/>
        <v>32000</v>
      </c>
    </row>
    <row r="398" spans="1:39" ht="13.5" customHeight="1">
      <c r="A398" s="48" t="s">
        <v>84</v>
      </c>
      <c r="B398" s="72" t="s">
        <v>120</v>
      </c>
      <c r="C398" s="33" t="s">
        <v>919</v>
      </c>
      <c r="D398" s="33" t="s">
        <v>920</v>
      </c>
      <c r="E398" s="33" t="s">
        <v>29</v>
      </c>
      <c r="F398" s="32" t="s">
        <v>921</v>
      </c>
      <c r="G398" s="46"/>
      <c r="H398" s="46"/>
      <c r="I398" s="46"/>
      <c r="J398" s="46"/>
      <c r="K398" s="34">
        <v>1</v>
      </c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10">
        <f t="shared" ref="AK398:AK458" si="20">SUM(G398:AJ398)</f>
        <v>1</v>
      </c>
      <c r="AL398" s="11">
        <v>32000</v>
      </c>
      <c r="AM398" s="12">
        <f>AL398*AK398</f>
        <v>32000</v>
      </c>
    </row>
    <row r="399" spans="1:39" ht="13.5" customHeight="1">
      <c r="A399" s="48" t="s">
        <v>84</v>
      </c>
      <c r="B399" s="72" t="s">
        <v>120</v>
      </c>
      <c r="C399" s="33" t="s">
        <v>922</v>
      </c>
      <c r="D399" s="33" t="s">
        <v>923</v>
      </c>
      <c r="E399" s="33" t="s">
        <v>589</v>
      </c>
      <c r="F399" s="32" t="s">
        <v>924</v>
      </c>
      <c r="G399" s="46"/>
      <c r="H399" s="46"/>
      <c r="I399" s="46"/>
      <c r="J399" s="46"/>
      <c r="K399" s="34">
        <v>1</v>
      </c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10">
        <f t="shared" si="20"/>
        <v>1</v>
      </c>
      <c r="AL399" s="11">
        <v>32000</v>
      </c>
      <c r="AM399" s="12">
        <f>AL399*AK399</f>
        <v>32000</v>
      </c>
    </row>
    <row r="400" spans="1:39" ht="13.5" customHeight="1">
      <c r="A400" s="48" t="s">
        <v>84</v>
      </c>
      <c r="B400" s="72" t="s">
        <v>120</v>
      </c>
      <c r="C400" s="33" t="s">
        <v>156</v>
      </c>
      <c r="D400" s="33" t="s">
        <v>927</v>
      </c>
      <c r="E400" s="33" t="s">
        <v>928</v>
      </c>
      <c r="F400" s="32" t="s">
        <v>929</v>
      </c>
      <c r="G400" s="46"/>
      <c r="H400" s="46"/>
      <c r="I400" s="46"/>
      <c r="J400" s="46"/>
      <c r="K400" s="34">
        <v>1</v>
      </c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10">
        <f t="shared" si="20"/>
        <v>1</v>
      </c>
      <c r="AL400" s="11">
        <v>32000</v>
      </c>
      <c r="AM400" s="12">
        <f>AL400*AK400</f>
        <v>32000</v>
      </c>
    </row>
    <row r="401" spans="1:40" ht="13.5" customHeight="1">
      <c r="A401" s="48" t="s">
        <v>84</v>
      </c>
      <c r="B401" s="72" t="s">
        <v>120</v>
      </c>
      <c r="C401" s="33" t="s">
        <v>932</v>
      </c>
      <c r="D401" s="33" t="s">
        <v>933</v>
      </c>
      <c r="E401" s="33" t="s">
        <v>609</v>
      </c>
      <c r="F401" s="32" t="s">
        <v>934</v>
      </c>
      <c r="G401" s="46"/>
      <c r="H401" s="46"/>
      <c r="I401" s="46"/>
      <c r="J401" s="46"/>
      <c r="K401" s="34">
        <v>1</v>
      </c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10">
        <f t="shared" si="20"/>
        <v>1</v>
      </c>
      <c r="AL401" s="11">
        <v>32000</v>
      </c>
      <c r="AM401" s="12">
        <f>AL401*AK401</f>
        <v>32000</v>
      </c>
    </row>
    <row r="402" spans="1:40" ht="13.5" customHeight="1">
      <c r="A402" s="48" t="s">
        <v>84</v>
      </c>
      <c r="B402" s="32">
        <v>15</v>
      </c>
      <c r="C402" s="33" t="s">
        <v>970</v>
      </c>
      <c r="D402" s="33" t="s">
        <v>971</v>
      </c>
      <c r="E402" s="33" t="s">
        <v>972</v>
      </c>
      <c r="F402" s="32" t="s">
        <v>973</v>
      </c>
      <c r="G402" s="46"/>
      <c r="H402" s="46"/>
      <c r="I402" s="46"/>
      <c r="J402" s="46"/>
      <c r="K402" s="46"/>
      <c r="L402" s="46"/>
      <c r="M402" s="46"/>
      <c r="N402" s="46"/>
      <c r="O402" s="46"/>
      <c r="P402" s="34">
        <v>1</v>
      </c>
      <c r="Q402" s="46"/>
      <c r="R402" s="46"/>
      <c r="S402" s="46"/>
      <c r="T402" s="46"/>
      <c r="U402" s="46"/>
      <c r="V402" s="46"/>
      <c r="W402" s="46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10">
        <f t="shared" si="20"/>
        <v>1</v>
      </c>
      <c r="AL402" s="11">
        <v>32000</v>
      </c>
      <c r="AM402" s="12">
        <f t="shared" ref="AM402:AM422" si="21">AL402*AK402</f>
        <v>32000</v>
      </c>
      <c r="AN402" s="3" t="s">
        <v>969</v>
      </c>
    </row>
    <row r="403" spans="1:40" ht="13.5" customHeight="1">
      <c r="A403" s="48" t="s">
        <v>84</v>
      </c>
      <c r="B403" s="32">
        <v>9</v>
      </c>
      <c r="C403" s="33" t="s">
        <v>425</v>
      </c>
      <c r="D403" s="33" t="s">
        <v>426</v>
      </c>
      <c r="E403" s="33" t="s">
        <v>427</v>
      </c>
      <c r="F403" s="32" t="s">
        <v>428</v>
      </c>
      <c r="G403" s="46"/>
      <c r="H403" s="46"/>
      <c r="I403" s="46"/>
      <c r="J403" s="46"/>
      <c r="K403" s="46"/>
      <c r="L403" s="46"/>
      <c r="M403" s="46"/>
      <c r="N403" s="46"/>
      <c r="O403" s="46"/>
      <c r="P403" s="34">
        <v>1</v>
      </c>
      <c r="Q403" s="46"/>
      <c r="R403" s="46"/>
      <c r="S403" s="46"/>
      <c r="T403" s="46"/>
      <c r="U403" s="46"/>
      <c r="V403" s="46"/>
      <c r="W403" s="46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10">
        <f t="shared" si="20"/>
        <v>1</v>
      </c>
      <c r="AL403" s="11">
        <v>32000</v>
      </c>
      <c r="AM403" s="12">
        <f t="shared" si="21"/>
        <v>32000</v>
      </c>
      <c r="AN403" s="3" t="s">
        <v>969</v>
      </c>
    </row>
    <row r="404" spans="1:40" ht="13.5" customHeight="1">
      <c r="A404" s="48" t="s">
        <v>84</v>
      </c>
      <c r="B404" s="32">
        <v>105</v>
      </c>
      <c r="C404" s="33" t="s">
        <v>82</v>
      </c>
      <c r="D404" s="33" t="s">
        <v>17</v>
      </c>
      <c r="E404" s="33" t="s">
        <v>974</v>
      </c>
      <c r="F404" s="32" t="s">
        <v>995</v>
      </c>
      <c r="G404" s="46"/>
      <c r="H404" s="46"/>
      <c r="I404" s="46"/>
      <c r="J404" s="46"/>
      <c r="K404" s="46"/>
      <c r="L404" s="46"/>
      <c r="M404" s="46"/>
      <c r="N404" s="46"/>
      <c r="O404" s="46"/>
      <c r="P404" s="34">
        <v>1</v>
      </c>
      <c r="Q404" s="46"/>
      <c r="R404" s="46"/>
      <c r="S404" s="46"/>
      <c r="T404" s="46"/>
      <c r="U404" s="46"/>
      <c r="V404" s="46"/>
      <c r="W404" s="46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10">
        <f t="shared" si="20"/>
        <v>1</v>
      </c>
      <c r="AL404" s="11">
        <v>32000</v>
      </c>
      <c r="AM404" s="12">
        <f t="shared" si="21"/>
        <v>32000</v>
      </c>
      <c r="AN404" s="3" t="s">
        <v>969</v>
      </c>
    </row>
    <row r="405" spans="1:40" ht="13.5" customHeight="1">
      <c r="A405" s="48" t="s">
        <v>84</v>
      </c>
      <c r="B405" s="32">
        <v>105</v>
      </c>
      <c r="C405" s="33" t="s">
        <v>78</v>
      </c>
      <c r="D405" s="33" t="s">
        <v>975</v>
      </c>
      <c r="E405" s="33" t="s">
        <v>976</v>
      </c>
      <c r="F405" s="32" t="s">
        <v>80</v>
      </c>
      <c r="G405" s="46"/>
      <c r="H405" s="46"/>
      <c r="I405" s="46"/>
      <c r="J405" s="46"/>
      <c r="K405" s="46"/>
      <c r="L405" s="46"/>
      <c r="M405" s="46"/>
      <c r="N405" s="46"/>
      <c r="O405" s="46"/>
      <c r="P405" s="34">
        <v>1</v>
      </c>
      <c r="Q405" s="46"/>
      <c r="R405" s="46"/>
      <c r="S405" s="46"/>
      <c r="T405" s="46"/>
      <c r="U405" s="46"/>
      <c r="V405" s="46"/>
      <c r="W405" s="46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10">
        <f t="shared" si="20"/>
        <v>1</v>
      </c>
      <c r="AL405" s="11">
        <v>32000</v>
      </c>
      <c r="AM405" s="12">
        <f t="shared" si="21"/>
        <v>32000</v>
      </c>
      <c r="AN405" s="3" t="s">
        <v>969</v>
      </c>
    </row>
    <row r="406" spans="1:40" ht="13.5" customHeight="1">
      <c r="A406" s="48" t="s">
        <v>84</v>
      </c>
      <c r="B406" s="32">
        <v>8</v>
      </c>
      <c r="C406" s="33" t="s">
        <v>72</v>
      </c>
      <c r="D406" s="33" t="s">
        <v>209</v>
      </c>
      <c r="E406" s="33" t="s">
        <v>977</v>
      </c>
      <c r="F406" s="32" t="s">
        <v>994</v>
      </c>
      <c r="G406" s="46"/>
      <c r="H406" s="46"/>
      <c r="I406" s="46"/>
      <c r="J406" s="46"/>
      <c r="K406" s="46"/>
      <c r="L406" s="46"/>
      <c r="M406" s="46"/>
      <c r="N406" s="46"/>
      <c r="O406" s="46"/>
      <c r="P406" s="34">
        <v>1</v>
      </c>
      <c r="Q406" s="46"/>
      <c r="R406" s="46"/>
      <c r="S406" s="46"/>
      <c r="T406" s="46"/>
      <c r="U406" s="46"/>
      <c r="V406" s="46"/>
      <c r="W406" s="46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10">
        <f t="shared" si="20"/>
        <v>1</v>
      </c>
      <c r="AL406" s="11">
        <v>32000</v>
      </c>
      <c r="AM406" s="12">
        <f t="shared" si="21"/>
        <v>32000</v>
      </c>
      <c r="AN406" s="3" t="s">
        <v>969</v>
      </c>
    </row>
    <row r="407" spans="1:40" ht="13.5" customHeight="1">
      <c r="A407" s="48" t="s">
        <v>84</v>
      </c>
      <c r="B407" s="32">
        <v>8</v>
      </c>
      <c r="C407" s="33" t="s">
        <v>67</v>
      </c>
      <c r="D407" s="33" t="s">
        <v>978</v>
      </c>
      <c r="E407" s="33" t="s">
        <v>360</v>
      </c>
      <c r="F407" s="32" t="s">
        <v>68</v>
      </c>
      <c r="G407" s="46"/>
      <c r="H407" s="46"/>
      <c r="I407" s="46"/>
      <c r="J407" s="46"/>
      <c r="K407" s="46"/>
      <c r="L407" s="46"/>
      <c r="M407" s="46"/>
      <c r="N407" s="46"/>
      <c r="O407" s="46"/>
      <c r="P407" s="34">
        <v>1</v>
      </c>
      <c r="Q407" s="46"/>
      <c r="R407" s="46"/>
      <c r="S407" s="46"/>
      <c r="T407" s="46"/>
      <c r="U407" s="46"/>
      <c r="V407" s="46"/>
      <c r="W407" s="46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10">
        <f t="shared" si="20"/>
        <v>1</v>
      </c>
      <c r="AL407" s="11">
        <v>32000</v>
      </c>
      <c r="AM407" s="12">
        <f t="shared" si="21"/>
        <v>32000</v>
      </c>
      <c r="AN407" s="3" t="s">
        <v>969</v>
      </c>
    </row>
    <row r="408" spans="1:40" ht="13.5" customHeight="1">
      <c r="A408" s="48" t="s">
        <v>84</v>
      </c>
      <c r="B408" s="32">
        <v>82</v>
      </c>
      <c r="C408" s="33" t="s">
        <v>63</v>
      </c>
      <c r="D408" s="33" t="s">
        <v>195</v>
      </c>
      <c r="E408" s="33" t="s">
        <v>979</v>
      </c>
      <c r="F408" s="32" t="s">
        <v>993</v>
      </c>
      <c r="G408" s="46"/>
      <c r="H408" s="46"/>
      <c r="I408" s="46"/>
      <c r="J408" s="46"/>
      <c r="K408" s="46"/>
      <c r="L408" s="46"/>
      <c r="M408" s="46"/>
      <c r="N408" s="46"/>
      <c r="O408" s="46"/>
      <c r="P408" s="34">
        <v>1</v>
      </c>
      <c r="Q408" s="46"/>
      <c r="R408" s="46"/>
      <c r="S408" s="46"/>
      <c r="T408" s="46"/>
      <c r="U408" s="46"/>
      <c r="V408" s="46"/>
      <c r="W408" s="46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10">
        <f t="shared" si="20"/>
        <v>1</v>
      </c>
      <c r="AL408" s="11">
        <v>32000</v>
      </c>
      <c r="AM408" s="12">
        <f t="shared" si="21"/>
        <v>32000</v>
      </c>
      <c r="AN408" s="3" t="s">
        <v>969</v>
      </c>
    </row>
    <row r="409" spans="1:40" ht="13.5" customHeight="1">
      <c r="A409" s="48" t="s">
        <v>84</v>
      </c>
      <c r="B409" s="32">
        <v>82</v>
      </c>
      <c r="C409" s="33" t="s">
        <v>12</v>
      </c>
      <c r="D409" s="33" t="s">
        <v>97</v>
      </c>
      <c r="E409" s="33" t="s">
        <v>77</v>
      </c>
      <c r="F409" s="32" t="s">
        <v>992</v>
      </c>
      <c r="G409" s="46"/>
      <c r="H409" s="46"/>
      <c r="I409" s="46"/>
      <c r="J409" s="46"/>
      <c r="K409" s="46"/>
      <c r="L409" s="46"/>
      <c r="M409" s="46"/>
      <c r="N409" s="46"/>
      <c r="O409" s="46"/>
      <c r="P409" s="34">
        <v>1</v>
      </c>
      <c r="Q409" s="46"/>
      <c r="R409" s="46"/>
      <c r="S409" s="46"/>
      <c r="T409" s="46"/>
      <c r="U409" s="46"/>
      <c r="V409" s="46"/>
      <c r="W409" s="46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10">
        <f t="shared" si="20"/>
        <v>1</v>
      </c>
      <c r="AL409" s="11">
        <v>32000</v>
      </c>
      <c r="AM409" s="12">
        <f t="shared" si="21"/>
        <v>32000</v>
      </c>
      <c r="AN409" s="3" t="s">
        <v>969</v>
      </c>
    </row>
    <row r="410" spans="1:40" ht="13.5" customHeight="1">
      <c r="A410" s="48" t="s">
        <v>84</v>
      </c>
      <c r="B410" s="32">
        <v>72</v>
      </c>
      <c r="C410" s="33" t="s">
        <v>980</v>
      </c>
      <c r="D410" s="33" t="s">
        <v>121</v>
      </c>
      <c r="E410" s="33" t="s">
        <v>41</v>
      </c>
      <c r="F410" s="32" t="s">
        <v>991</v>
      </c>
      <c r="G410" s="46"/>
      <c r="H410" s="46"/>
      <c r="I410" s="46"/>
      <c r="J410" s="46"/>
      <c r="K410" s="46"/>
      <c r="L410" s="46"/>
      <c r="M410" s="46"/>
      <c r="N410" s="46"/>
      <c r="O410" s="46"/>
      <c r="P410" s="34">
        <v>1</v>
      </c>
      <c r="Q410" s="46"/>
      <c r="R410" s="46"/>
      <c r="S410" s="46"/>
      <c r="T410" s="46"/>
      <c r="U410" s="46"/>
      <c r="V410" s="46"/>
      <c r="W410" s="46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10">
        <f t="shared" si="20"/>
        <v>1</v>
      </c>
      <c r="AL410" s="11">
        <v>32000</v>
      </c>
      <c r="AM410" s="12">
        <f t="shared" si="21"/>
        <v>32000</v>
      </c>
      <c r="AN410" s="3" t="s">
        <v>969</v>
      </c>
    </row>
    <row r="411" spans="1:40" ht="13.5" customHeight="1">
      <c r="A411" s="48" t="s">
        <v>84</v>
      </c>
      <c r="B411" s="32">
        <v>72</v>
      </c>
      <c r="C411" s="33" t="s">
        <v>981</v>
      </c>
      <c r="D411" s="33" t="s">
        <v>982</v>
      </c>
      <c r="E411" s="33" t="s">
        <v>938</v>
      </c>
      <c r="F411" s="32" t="s">
        <v>81</v>
      </c>
      <c r="G411" s="46"/>
      <c r="H411" s="46"/>
      <c r="I411" s="46"/>
      <c r="J411" s="46"/>
      <c r="K411" s="46"/>
      <c r="L411" s="46"/>
      <c r="M411" s="46"/>
      <c r="N411" s="46"/>
      <c r="O411" s="46"/>
      <c r="P411" s="34">
        <v>1</v>
      </c>
      <c r="Q411" s="46"/>
      <c r="R411" s="46"/>
      <c r="S411" s="46"/>
      <c r="T411" s="46"/>
      <c r="U411" s="46"/>
      <c r="V411" s="46"/>
      <c r="W411" s="46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10">
        <f t="shared" si="20"/>
        <v>1</v>
      </c>
      <c r="AL411" s="11">
        <v>32000</v>
      </c>
      <c r="AM411" s="12">
        <f t="shared" si="21"/>
        <v>32000</v>
      </c>
      <c r="AN411" s="3" t="s">
        <v>969</v>
      </c>
    </row>
    <row r="412" spans="1:40" ht="13.5" customHeight="1">
      <c r="A412" s="48" t="s">
        <v>84</v>
      </c>
      <c r="B412" s="32">
        <v>35</v>
      </c>
      <c r="C412" s="33" t="s">
        <v>773</v>
      </c>
      <c r="D412" s="33" t="s">
        <v>983</v>
      </c>
      <c r="E412" s="33" t="s">
        <v>324</v>
      </c>
      <c r="F412" s="32" t="s">
        <v>733</v>
      </c>
      <c r="G412" s="46"/>
      <c r="H412" s="46"/>
      <c r="I412" s="46"/>
      <c r="J412" s="46"/>
      <c r="K412" s="46"/>
      <c r="L412" s="46"/>
      <c r="M412" s="46"/>
      <c r="N412" s="46"/>
      <c r="O412" s="46"/>
      <c r="P412" s="34">
        <v>1</v>
      </c>
      <c r="Q412" s="46"/>
      <c r="R412" s="46"/>
      <c r="S412" s="46"/>
      <c r="T412" s="46"/>
      <c r="U412" s="46"/>
      <c r="V412" s="46"/>
      <c r="W412" s="46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10">
        <f t="shared" si="20"/>
        <v>1</v>
      </c>
      <c r="AL412" s="11">
        <v>32000</v>
      </c>
      <c r="AM412" s="12">
        <f t="shared" si="21"/>
        <v>32000</v>
      </c>
      <c r="AN412" s="3" t="s">
        <v>969</v>
      </c>
    </row>
    <row r="413" spans="1:40" ht="13.5" customHeight="1">
      <c r="A413" s="48" t="s">
        <v>84</v>
      </c>
      <c r="B413" s="32">
        <v>94</v>
      </c>
      <c r="C413" s="33" t="s">
        <v>8</v>
      </c>
      <c r="D413" s="33" t="s">
        <v>984</v>
      </c>
      <c r="E413" s="33" t="s">
        <v>59</v>
      </c>
      <c r="F413" s="32" t="s">
        <v>73</v>
      </c>
      <c r="G413" s="46"/>
      <c r="H413" s="46"/>
      <c r="I413" s="46"/>
      <c r="J413" s="46"/>
      <c r="K413" s="46"/>
      <c r="L413" s="46"/>
      <c r="M413" s="46"/>
      <c r="N413" s="46"/>
      <c r="O413" s="46"/>
      <c r="P413" s="34">
        <v>1</v>
      </c>
      <c r="Q413" s="46"/>
      <c r="R413" s="46"/>
      <c r="S413" s="46"/>
      <c r="T413" s="46"/>
      <c r="U413" s="46"/>
      <c r="V413" s="46"/>
      <c r="W413" s="46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10">
        <f t="shared" si="20"/>
        <v>1</v>
      </c>
      <c r="AL413" s="11">
        <v>32000</v>
      </c>
      <c r="AM413" s="12">
        <f t="shared" si="21"/>
        <v>32000</v>
      </c>
      <c r="AN413" s="3" t="s">
        <v>969</v>
      </c>
    </row>
    <row r="414" spans="1:40" ht="13.5" customHeight="1">
      <c r="A414" s="48" t="s">
        <v>84</v>
      </c>
      <c r="B414" s="32">
        <v>95</v>
      </c>
      <c r="C414" s="33" t="s">
        <v>424</v>
      </c>
      <c r="D414" s="33" t="s">
        <v>985</v>
      </c>
      <c r="E414" s="33" t="s">
        <v>986</v>
      </c>
      <c r="F414" s="32" t="s">
        <v>990</v>
      </c>
      <c r="G414" s="46"/>
      <c r="H414" s="46"/>
      <c r="I414" s="46"/>
      <c r="J414" s="46"/>
      <c r="K414" s="46"/>
      <c r="L414" s="46"/>
      <c r="M414" s="46"/>
      <c r="N414" s="46"/>
      <c r="O414" s="46"/>
      <c r="P414" s="34">
        <v>1</v>
      </c>
      <c r="Q414" s="46"/>
      <c r="R414" s="46"/>
      <c r="S414" s="46"/>
      <c r="T414" s="46"/>
      <c r="U414" s="46"/>
      <c r="V414" s="46"/>
      <c r="W414" s="46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10">
        <f t="shared" si="20"/>
        <v>1</v>
      </c>
      <c r="AL414" s="11">
        <v>32000</v>
      </c>
      <c r="AM414" s="12">
        <f t="shared" si="21"/>
        <v>32000</v>
      </c>
      <c r="AN414" s="3" t="s">
        <v>969</v>
      </c>
    </row>
    <row r="415" spans="1:40" ht="13.5" customHeight="1">
      <c r="A415" s="48" t="s">
        <v>84</v>
      </c>
      <c r="B415" s="32">
        <v>95</v>
      </c>
      <c r="C415" s="33" t="s">
        <v>987</v>
      </c>
      <c r="D415" s="33" t="s">
        <v>415</v>
      </c>
      <c r="E415" s="33" t="s">
        <v>200</v>
      </c>
      <c r="F415" s="32" t="s">
        <v>989</v>
      </c>
      <c r="G415" s="46"/>
      <c r="H415" s="46"/>
      <c r="I415" s="46"/>
      <c r="J415" s="46"/>
      <c r="K415" s="46"/>
      <c r="L415" s="46"/>
      <c r="M415" s="46"/>
      <c r="N415" s="46"/>
      <c r="O415" s="46"/>
      <c r="P415" s="34">
        <v>1</v>
      </c>
      <c r="Q415" s="46"/>
      <c r="R415" s="46"/>
      <c r="S415" s="46"/>
      <c r="T415" s="46"/>
      <c r="U415" s="46"/>
      <c r="V415" s="46"/>
      <c r="W415" s="46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10">
        <f t="shared" si="20"/>
        <v>1</v>
      </c>
      <c r="AL415" s="11">
        <v>32000</v>
      </c>
      <c r="AM415" s="12">
        <f t="shared" si="21"/>
        <v>32000</v>
      </c>
      <c r="AN415" s="3" t="s">
        <v>969</v>
      </c>
    </row>
    <row r="416" spans="1:40" ht="13.5" customHeight="1">
      <c r="A416" s="48" t="s">
        <v>84</v>
      </c>
      <c r="B416" s="32">
        <v>35</v>
      </c>
      <c r="C416" s="33" t="s">
        <v>46</v>
      </c>
      <c r="D416" s="33" t="s">
        <v>629</v>
      </c>
      <c r="E416" s="33" t="s">
        <v>590</v>
      </c>
      <c r="F416" s="32" t="s">
        <v>988</v>
      </c>
      <c r="G416" s="46"/>
      <c r="H416" s="46"/>
      <c r="I416" s="46"/>
      <c r="J416" s="46"/>
      <c r="K416" s="46"/>
      <c r="L416" s="46"/>
      <c r="M416" s="46"/>
      <c r="N416" s="46"/>
      <c r="O416" s="46"/>
      <c r="P416" s="34">
        <v>1</v>
      </c>
      <c r="Q416" s="46"/>
      <c r="R416" s="46"/>
      <c r="S416" s="46"/>
      <c r="T416" s="46"/>
      <c r="U416" s="46"/>
      <c r="V416" s="46"/>
      <c r="W416" s="46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10">
        <f t="shared" si="20"/>
        <v>1</v>
      </c>
      <c r="AL416" s="11">
        <v>32000</v>
      </c>
      <c r="AM416" s="12">
        <f t="shared" si="21"/>
        <v>32000</v>
      </c>
      <c r="AN416" s="3" t="s">
        <v>969</v>
      </c>
    </row>
    <row r="417" spans="1:40" ht="13.5" customHeight="1">
      <c r="A417" s="45" t="s">
        <v>556</v>
      </c>
      <c r="B417" s="32">
        <v>200</v>
      </c>
      <c r="C417" s="33" t="s">
        <v>14</v>
      </c>
      <c r="D417" s="33"/>
      <c r="E417" s="33" t="s">
        <v>38</v>
      </c>
      <c r="F417" s="32" t="s">
        <v>39</v>
      </c>
      <c r="G417" s="46"/>
      <c r="H417" s="46"/>
      <c r="I417" s="34">
        <v>1</v>
      </c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10">
        <f t="shared" si="20"/>
        <v>1</v>
      </c>
      <c r="AL417" s="11">
        <v>32000</v>
      </c>
      <c r="AM417" s="12">
        <f t="shared" si="21"/>
        <v>32000</v>
      </c>
      <c r="AN417" s="3" t="s">
        <v>969</v>
      </c>
    </row>
    <row r="418" spans="1:40" ht="13.5" customHeight="1">
      <c r="A418" s="45" t="s">
        <v>556</v>
      </c>
      <c r="B418" s="32">
        <v>304</v>
      </c>
      <c r="C418" s="33" t="s">
        <v>46</v>
      </c>
      <c r="D418" s="33"/>
      <c r="E418" s="33" t="s">
        <v>47</v>
      </c>
      <c r="F418" s="32" t="s">
        <v>48</v>
      </c>
      <c r="G418" s="46"/>
      <c r="H418" s="46"/>
      <c r="I418" s="34">
        <v>1</v>
      </c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10">
        <f t="shared" si="20"/>
        <v>1</v>
      </c>
      <c r="AL418" s="11">
        <v>32000</v>
      </c>
      <c r="AM418" s="12">
        <f t="shared" si="21"/>
        <v>32000</v>
      </c>
      <c r="AN418" s="3" t="s">
        <v>969</v>
      </c>
    </row>
    <row r="419" spans="1:40" ht="13.5" customHeight="1">
      <c r="A419" s="45" t="s">
        <v>556</v>
      </c>
      <c r="B419" s="32">
        <v>304</v>
      </c>
      <c r="C419" s="33" t="s">
        <v>43</v>
      </c>
      <c r="D419" s="33"/>
      <c r="E419" s="33" t="s">
        <v>44</v>
      </c>
      <c r="F419" s="32" t="s">
        <v>45</v>
      </c>
      <c r="G419" s="46"/>
      <c r="H419" s="46"/>
      <c r="I419" s="34">
        <v>1</v>
      </c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10">
        <f t="shared" si="20"/>
        <v>1</v>
      </c>
      <c r="AL419" s="11">
        <v>32000</v>
      </c>
      <c r="AM419" s="12">
        <f t="shared" si="21"/>
        <v>32000</v>
      </c>
      <c r="AN419" s="3" t="s">
        <v>969</v>
      </c>
    </row>
    <row r="420" spans="1:40" ht="13.5" customHeight="1">
      <c r="A420" s="45" t="s">
        <v>556</v>
      </c>
      <c r="B420" s="32">
        <v>402</v>
      </c>
      <c r="C420" s="33" t="s">
        <v>63</v>
      </c>
      <c r="D420" s="33"/>
      <c r="E420" s="33" t="s">
        <v>64</v>
      </c>
      <c r="F420" s="32" t="s">
        <v>65</v>
      </c>
      <c r="G420" s="46"/>
      <c r="H420" s="46"/>
      <c r="I420" s="34">
        <v>1</v>
      </c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10">
        <f t="shared" si="20"/>
        <v>1</v>
      </c>
      <c r="AL420" s="11">
        <v>32000</v>
      </c>
      <c r="AM420" s="12">
        <f t="shared" si="21"/>
        <v>32000</v>
      </c>
      <c r="AN420" s="3" t="s">
        <v>969</v>
      </c>
    </row>
    <row r="421" spans="1:40" ht="13.5" customHeight="1">
      <c r="A421" s="45" t="s">
        <v>556</v>
      </c>
      <c r="B421" s="32">
        <v>505</v>
      </c>
      <c r="C421" s="33" t="s">
        <v>56</v>
      </c>
      <c r="D421" s="33"/>
      <c r="E421" s="33" t="s">
        <v>57</v>
      </c>
      <c r="F421" s="32" t="s">
        <v>58</v>
      </c>
      <c r="G421" s="46"/>
      <c r="H421" s="46"/>
      <c r="I421" s="34">
        <v>1</v>
      </c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10">
        <f t="shared" si="20"/>
        <v>1</v>
      </c>
      <c r="AL421" s="11">
        <v>32000</v>
      </c>
      <c r="AM421" s="12">
        <f t="shared" si="21"/>
        <v>32000</v>
      </c>
      <c r="AN421" s="3" t="s">
        <v>969</v>
      </c>
    </row>
    <row r="422" spans="1:40" ht="13.5" customHeight="1">
      <c r="A422" s="45" t="s">
        <v>556</v>
      </c>
      <c r="B422" s="32">
        <v>505</v>
      </c>
      <c r="C422" s="33" t="s">
        <v>27</v>
      </c>
      <c r="D422" s="33"/>
      <c r="E422" s="33" t="s">
        <v>59</v>
      </c>
      <c r="F422" s="32" t="s">
        <v>60</v>
      </c>
      <c r="G422" s="46"/>
      <c r="H422" s="46"/>
      <c r="I422" s="34">
        <v>1</v>
      </c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10">
        <f t="shared" si="20"/>
        <v>1</v>
      </c>
      <c r="AL422" s="11">
        <v>32000</v>
      </c>
      <c r="AM422" s="12">
        <f t="shared" si="21"/>
        <v>32000</v>
      </c>
      <c r="AN422" s="3" t="s">
        <v>969</v>
      </c>
    </row>
    <row r="423" spans="1:40" ht="13.5" customHeight="1">
      <c r="A423" s="45" t="s">
        <v>556</v>
      </c>
      <c r="B423" s="32">
        <v>201</v>
      </c>
      <c r="C423" s="33" t="s">
        <v>69</v>
      </c>
      <c r="D423" s="33"/>
      <c r="E423" s="33" t="s">
        <v>70</v>
      </c>
      <c r="F423" s="32" t="s">
        <v>71</v>
      </c>
      <c r="G423" s="46"/>
      <c r="H423" s="46"/>
      <c r="I423" s="34">
        <v>1</v>
      </c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10">
        <f t="shared" si="20"/>
        <v>1</v>
      </c>
      <c r="AL423" s="11">
        <v>32000</v>
      </c>
      <c r="AM423" s="12">
        <f t="shared" ref="AM423:AM429" si="22">AL423*AK423</f>
        <v>32000</v>
      </c>
      <c r="AN423" s="3" t="s">
        <v>969</v>
      </c>
    </row>
    <row r="424" spans="1:40" ht="13.5" customHeight="1">
      <c r="A424" s="45" t="s">
        <v>556</v>
      </c>
      <c r="B424" s="32">
        <v>205</v>
      </c>
      <c r="C424" s="33" t="s">
        <v>869</v>
      </c>
      <c r="D424" s="33"/>
      <c r="E424" s="33" t="s">
        <v>61</v>
      </c>
      <c r="F424" s="32" t="s">
        <v>308</v>
      </c>
      <c r="G424" s="46"/>
      <c r="H424" s="46"/>
      <c r="I424" s="34">
        <v>1</v>
      </c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10">
        <f t="shared" si="20"/>
        <v>1</v>
      </c>
      <c r="AL424" s="11">
        <v>32000</v>
      </c>
      <c r="AM424" s="12">
        <f t="shared" si="22"/>
        <v>32000</v>
      </c>
      <c r="AN424" s="3" t="s">
        <v>969</v>
      </c>
    </row>
    <row r="425" spans="1:40" ht="13.5" customHeight="1">
      <c r="A425" s="45" t="s">
        <v>556</v>
      </c>
      <c r="B425" s="32">
        <v>402</v>
      </c>
      <c r="C425" s="33" t="s">
        <v>311</v>
      </c>
      <c r="D425" s="33"/>
      <c r="E425" s="33" t="s">
        <v>25</v>
      </c>
      <c r="F425" s="32" t="s">
        <v>309</v>
      </c>
      <c r="G425" s="46"/>
      <c r="H425" s="46"/>
      <c r="I425" s="34">
        <v>1</v>
      </c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10">
        <f t="shared" si="20"/>
        <v>1</v>
      </c>
      <c r="AL425" s="11">
        <v>32000</v>
      </c>
      <c r="AM425" s="12">
        <f t="shared" si="22"/>
        <v>32000</v>
      </c>
      <c r="AN425" s="3" t="s">
        <v>969</v>
      </c>
    </row>
    <row r="426" spans="1:40" ht="13.5" customHeight="1">
      <c r="A426" s="45" t="s">
        <v>556</v>
      </c>
      <c r="B426" s="32">
        <v>205</v>
      </c>
      <c r="C426" s="33" t="s">
        <v>313</v>
      </c>
      <c r="D426" s="33"/>
      <c r="E426" s="33" t="s">
        <v>312</v>
      </c>
      <c r="F426" s="32" t="s">
        <v>310</v>
      </c>
      <c r="G426" s="46"/>
      <c r="H426" s="46"/>
      <c r="I426" s="34">
        <v>1</v>
      </c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10">
        <f t="shared" si="20"/>
        <v>1</v>
      </c>
      <c r="AL426" s="11">
        <v>32000</v>
      </c>
      <c r="AM426" s="12">
        <f t="shared" si="22"/>
        <v>32000</v>
      </c>
      <c r="AN426" s="3" t="s">
        <v>969</v>
      </c>
    </row>
    <row r="427" spans="1:40" ht="13.5" customHeight="1">
      <c r="A427" s="45" t="s">
        <v>556</v>
      </c>
      <c r="B427" s="32">
        <v>503</v>
      </c>
      <c r="C427" s="33" t="s">
        <v>49</v>
      </c>
      <c r="D427" s="33"/>
      <c r="E427" s="33" t="s">
        <v>51</v>
      </c>
      <c r="F427" s="32" t="s">
        <v>52</v>
      </c>
      <c r="G427" s="46"/>
      <c r="H427" s="46"/>
      <c r="I427" s="34">
        <v>1</v>
      </c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10">
        <f t="shared" si="20"/>
        <v>1</v>
      </c>
      <c r="AL427" s="11">
        <v>32000</v>
      </c>
      <c r="AM427" s="12">
        <f t="shared" si="22"/>
        <v>32000</v>
      </c>
      <c r="AN427" s="3" t="s">
        <v>969</v>
      </c>
    </row>
    <row r="428" spans="1:40" ht="13.5" customHeight="1">
      <c r="A428" s="45" t="s">
        <v>556</v>
      </c>
      <c r="B428" s="32">
        <v>306</v>
      </c>
      <c r="C428" s="33" t="s">
        <v>50</v>
      </c>
      <c r="D428" s="33"/>
      <c r="E428" s="33" t="s">
        <v>53</v>
      </c>
      <c r="F428" s="32" t="s">
        <v>54</v>
      </c>
      <c r="G428" s="46"/>
      <c r="H428" s="46"/>
      <c r="I428" s="34">
        <v>1</v>
      </c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10">
        <f t="shared" si="20"/>
        <v>1</v>
      </c>
      <c r="AL428" s="11">
        <v>32000</v>
      </c>
      <c r="AM428" s="12">
        <f t="shared" si="22"/>
        <v>32000</v>
      </c>
      <c r="AN428" s="3" t="s">
        <v>969</v>
      </c>
    </row>
    <row r="429" spans="1:40" ht="13.5" customHeight="1">
      <c r="A429" s="52" t="s">
        <v>556</v>
      </c>
      <c r="B429" s="35">
        <v>306</v>
      </c>
      <c r="C429" s="36" t="s">
        <v>40</v>
      </c>
      <c r="D429" s="36"/>
      <c r="E429" s="36" t="s">
        <v>41</v>
      </c>
      <c r="F429" s="35" t="s">
        <v>870</v>
      </c>
      <c r="G429" s="53"/>
      <c r="H429" s="53"/>
      <c r="I429" s="37">
        <v>1</v>
      </c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10">
        <f t="shared" si="20"/>
        <v>1</v>
      </c>
      <c r="AL429" s="12">
        <v>32000</v>
      </c>
      <c r="AM429" s="12">
        <f t="shared" si="22"/>
        <v>32000</v>
      </c>
      <c r="AN429" s="3" t="s">
        <v>969</v>
      </c>
    </row>
    <row r="430" spans="1:40" ht="13.5" customHeight="1" thickBot="1">
      <c r="A430" s="73" t="s">
        <v>556</v>
      </c>
      <c r="B430" s="57">
        <v>503</v>
      </c>
      <c r="C430" s="58" t="s">
        <v>55</v>
      </c>
      <c r="D430" s="58"/>
      <c r="E430" s="58" t="s">
        <v>41</v>
      </c>
      <c r="F430" s="57" t="s">
        <v>564</v>
      </c>
      <c r="G430" s="60"/>
      <c r="H430" s="60"/>
      <c r="I430" s="59">
        <v>1</v>
      </c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13">
        <f t="shared" si="20"/>
        <v>1</v>
      </c>
      <c r="AL430" s="61">
        <v>32000</v>
      </c>
      <c r="AM430" s="14">
        <f t="shared" ref="AM430:AM431" si="23">AL430*AK430</f>
        <v>32000</v>
      </c>
      <c r="AN430" s="3" t="s">
        <v>969</v>
      </c>
    </row>
    <row r="431" spans="1:40" ht="13.5" customHeight="1">
      <c r="A431" s="48" t="s">
        <v>84</v>
      </c>
      <c r="B431" s="32">
        <v>3</v>
      </c>
      <c r="C431" s="33" t="s">
        <v>109</v>
      </c>
      <c r="D431" s="33" t="s">
        <v>72</v>
      </c>
      <c r="E431" s="33" t="s">
        <v>126</v>
      </c>
      <c r="F431" s="32" t="s">
        <v>473</v>
      </c>
      <c r="G431" s="46"/>
      <c r="H431" s="67"/>
      <c r="I431" s="67"/>
      <c r="J431" s="67"/>
      <c r="K431" s="67"/>
      <c r="L431" s="67"/>
      <c r="M431" s="67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34">
        <v>1</v>
      </c>
      <c r="Y431" s="34">
        <v>1</v>
      </c>
      <c r="Z431" s="34">
        <v>1</v>
      </c>
      <c r="AA431" s="34">
        <v>1</v>
      </c>
      <c r="AB431" s="34">
        <v>1</v>
      </c>
      <c r="AC431" s="34">
        <v>1</v>
      </c>
      <c r="AD431" s="34">
        <v>1</v>
      </c>
      <c r="AE431" s="34">
        <v>1</v>
      </c>
      <c r="AF431" s="34">
        <v>1</v>
      </c>
      <c r="AG431" s="34">
        <v>1</v>
      </c>
      <c r="AH431" s="34">
        <v>1</v>
      </c>
      <c r="AI431" s="34">
        <v>1</v>
      </c>
      <c r="AJ431" s="34">
        <v>1</v>
      </c>
      <c r="AK431" s="42">
        <f t="shared" si="20"/>
        <v>13</v>
      </c>
      <c r="AL431" s="11">
        <v>32000</v>
      </c>
      <c r="AM431" s="11">
        <f t="shared" si="23"/>
        <v>416000</v>
      </c>
    </row>
    <row r="432" spans="1:40" ht="13.5" customHeight="1">
      <c r="A432" s="48" t="s">
        <v>84</v>
      </c>
      <c r="B432" s="32">
        <v>3</v>
      </c>
      <c r="C432" s="33" t="s">
        <v>514</v>
      </c>
      <c r="D432" s="33" t="s">
        <v>18</v>
      </c>
      <c r="E432" s="33" t="s">
        <v>15</v>
      </c>
      <c r="F432" s="32" t="s">
        <v>1079</v>
      </c>
      <c r="G432" s="46"/>
      <c r="H432" s="67"/>
      <c r="I432" s="67"/>
      <c r="J432" s="67"/>
      <c r="K432" s="67"/>
      <c r="L432" s="67"/>
      <c r="M432" s="67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34">
        <v>1</v>
      </c>
      <c r="Y432" s="34">
        <v>1</v>
      </c>
      <c r="Z432" s="34">
        <v>1</v>
      </c>
      <c r="AA432" s="34">
        <v>1</v>
      </c>
      <c r="AB432" s="34">
        <v>1</v>
      </c>
      <c r="AC432" s="34">
        <v>1</v>
      </c>
      <c r="AD432" s="34">
        <v>1</v>
      </c>
      <c r="AE432" s="34">
        <v>1</v>
      </c>
      <c r="AF432" s="34">
        <v>1</v>
      </c>
      <c r="AG432" s="34">
        <v>1</v>
      </c>
      <c r="AH432" s="34">
        <v>1</v>
      </c>
      <c r="AI432" s="34">
        <v>1</v>
      </c>
      <c r="AJ432" s="34">
        <v>1</v>
      </c>
      <c r="AK432" s="10">
        <f t="shared" si="20"/>
        <v>13</v>
      </c>
      <c r="AL432" s="11">
        <v>32000</v>
      </c>
      <c r="AM432" s="12">
        <f t="shared" ref="AM432:AM467" si="24">AL432*AK432</f>
        <v>416000</v>
      </c>
    </row>
    <row r="433" spans="1:39" ht="13.5" customHeight="1">
      <c r="A433" s="48" t="s">
        <v>84</v>
      </c>
      <c r="B433" s="32">
        <v>7</v>
      </c>
      <c r="C433" s="33" t="s">
        <v>466</v>
      </c>
      <c r="D433" s="33" t="s">
        <v>467</v>
      </c>
      <c r="E433" s="33" t="s">
        <v>468</v>
      </c>
      <c r="F433" s="32" t="s">
        <v>469</v>
      </c>
      <c r="G433" s="46"/>
      <c r="H433" s="67"/>
      <c r="I433" s="67"/>
      <c r="J433" s="67"/>
      <c r="K433" s="67"/>
      <c r="L433" s="67"/>
      <c r="M433" s="67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34">
        <v>1</v>
      </c>
      <c r="Y433" s="34">
        <v>1</v>
      </c>
      <c r="Z433" s="34">
        <v>1</v>
      </c>
      <c r="AA433" s="34">
        <v>1</v>
      </c>
      <c r="AB433" s="34">
        <v>1</v>
      </c>
      <c r="AC433" s="34">
        <v>1</v>
      </c>
      <c r="AD433" s="34">
        <v>1</v>
      </c>
      <c r="AE433" s="34">
        <v>1</v>
      </c>
      <c r="AF433" s="34">
        <v>1</v>
      </c>
      <c r="AG433" s="34">
        <v>1</v>
      </c>
      <c r="AH433" s="34">
        <v>1</v>
      </c>
      <c r="AI433" s="34">
        <v>1</v>
      </c>
      <c r="AJ433" s="34">
        <v>1</v>
      </c>
      <c r="AK433" s="10">
        <f t="shared" si="20"/>
        <v>13</v>
      </c>
      <c r="AL433" s="11">
        <v>32000</v>
      </c>
      <c r="AM433" s="12">
        <f t="shared" si="24"/>
        <v>416000</v>
      </c>
    </row>
    <row r="434" spans="1:39" ht="13.5" customHeight="1">
      <c r="A434" s="48" t="s">
        <v>84</v>
      </c>
      <c r="B434" s="32">
        <v>7</v>
      </c>
      <c r="C434" s="33" t="s">
        <v>463</v>
      </c>
      <c r="D434" s="33" t="s">
        <v>1052</v>
      </c>
      <c r="E434" s="33" t="s">
        <v>75</v>
      </c>
      <c r="F434" s="32" t="s">
        <v>465</v>
      </c>
      <c r="G434" s="46"/>
      <c r="H434" s="67"/>
      <c r="I434" s="67"/>
      <c r="J434" s="67"/>
      <c r="K434" s="67"/>
      <c r="L434" s="67"/>
      <c r="M434" s="67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34">
        <v>1</v>
      </c>
      <c r="Y434" s="34">
        <v>1</v>
      </c>
      <c r="Z434" s="34">
        <v>1</v>
      </c>
      <c r="AA434" s="34">
        <v>1</v>
      </c>
      <c r="AB434" s="34">
        <v>1</v>
      </c>
      <c r="AC434" s="34">
        <v>1</v>
      </c>
      <c r="AD434" s="34">
        <v>1</v>
      </c>
      <c r="AE434" s="34">
        <v>1</v>
      </c>
      <c r="AF434" s="34">
        <v>1</v>
      </c>
      <c r="AG434" s="34">
        <v>1</v>
      </c>
      <c r="AH434" s="34">
        <v>1</v>
      </c>
      <c r="AI434" s="34">
        <v>1</v>
      </c>
      <c r="AJ434" s="34">
        <v>1</v>
      </c>
      <c r="AK434" s="10">
        <f t="shared" si="20"/>
        <v>13</v>
      </c>
      <c r="AL434" s="11">
        <v>32000</v>
      </c>
      <c r="AM434" s="12">
        <f t="shared" si="24"/>
        <v>416000</v>
      </c>
    </row>
    <row r="435" spans="1:39" ht="13.5" customHeight="1">
      <c r="A435" s="48" t="s">
        <v>84</v>
      </c>
      <c r="B435" s="32">
        <v>8</v>
      </c>
      <c r="C435" s="33" t="s">
        <v>1047</v>
      </c>
      <c r="D435" s="33" t="s">
        <v>1047</v>
      </c>
      <c r="E435" s="33" t="s">
        <v>1048</v>
      </c>
      <c r="F435" s="32" t="s">
        <v>1051</v>
      </c>
      <c r="G435" s="46"/>
      <c r="H435" s="67"/>
      <c r="I435" s="67"/>
      <c r="J435" s="67"/>
      <c r="K435" s="67"/>
      <c r="L435" s="67"/>
      <c r="M435" s="67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34">
        <v>1</v>
      </c>
      <c r="Y435" s="34">
        <v>1</v>
      </c>
      <c r="Z435" s="34">
        <v>1</v>
      </c>
      <c r="AA435" s="34">
        <v>1</v>
      </c>
      <c r="AB435" s="34">
        <v>1</v>
      </c>
      <c r="AC435" s="34">
        <v>1</v>
      </c>
      <c r="AD435" s="34">
        <v>1</v>
      </c>
      <c r="AE435" s="34">
        <v>1</v>
      </c>
      <c r="AF435" s="34">
        <v>1</v>
      </c>
      <c r="AG435" s="34">
        <v>1</v>
      </c>
      <c r="AH435" s="34">
        <v>1</v>
      </c>
      <c r="AI435" s="34">
        <v>1</v>
      </c>
      <c r="AJ435" s="34">
        <v>1</v>
      </c>
      <c r="AK435" s="10">
        <f t="shared" si="20"/>
        <v>13</v>
      </c>
      <c r="AL435" s="11">
        <v>32000</v>
      </c>
      <c r="AM435" s="12">
        <f t="shared" si="24"/>
        <v>416000</v>
      </c>
    </row>
    <row r="436" spans="1:39" ht="13.5" customHeight="1">
      <c r="A436" s="48" t="s">
        <v>84</v>
      </c>
      <c r="B436" s="32">
        <v>8</v>
      </c>
      <c r="C436" s="33" t="s">
        <v>18</v>
      </c>
      <c r="D436" s="33" t="s">
        <v>24</v>
      </c>
      <c r="E436" s="33" t="s">
        <v>1053</v>
      </c>
      <c r="F436" s="32" t="s">
        <v>1054</v>
      </c>
      <c r="G436" s="46"/>
      <c r="H436" s="67"/>
      <c r="I436" s="67"/>
      <c r="J436" s="67"/>
      <c r="K436" s="67"/>
      <c r="L436" s="67"/>
      <c r="M436" s="67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34">
        <v>1</v>
      </c>
      <c r="Y436" s="34">
        <v>1</v>
      </c>
      <c r="Z436" s="34">
        <v>1</v>
      </c>
      <c r="AA436" s="34">
        <v>1</v>
      </c>
      <c r="AB436" s="34">
        <v>1</v>
      </c>
      <c r="AC436" s="34">
        <v>1</v>
      </c>
      <c r="AD436" s="34">
        <v>1</v>
      </c>
      <c r="AE436" s="34">
        <v>1</v>
      </c>
      <c r="AF436" s="34">
        <v>1</v>
      </c>
      <c r="AG436" s="34">
        <v>1</v>
      </c>
      <c r="AH436" s="34">
        <v>1</v>
      </c>
      <c r="AI436" s="34">
        <v>1</v>
      </c>
      <c r="AJ436" s="34">
        <v>1</v>
      </c>
      <c r="AK436" s="10">
        <f t="shared" si="20"/>
        <v>13</v>
      </c>
      <c r="AL436" s="11">
        <v>32000</v>
      </c>
      <c r="AM436" s="12">
        <f t="shared" ref="AM436:AM463" si="25">AL436*AK436</f>
        <v>416000</v>
      </c>
    </row>
    <row r="437" spans="1:39" ht="13.5" customHeight="1">
      <c r="A437" s="48" t="s">
        <v>84</v>
      </c>
      <c r="B437" s="32">
        <v>9</v>
      </c>
      <c r="C437" s="33" t="s">
        <v>495</v>
      </c>
      <c r="D437" s="33" t="s">
        <v>17</v>
      </c>
      <c r="E437" s="33" t="s">
        <v>199</v>
      </c>
      <c r="F437" s="32" t="s">
        <v>496</v>
      </c>
      <c r="G437" s="46"/>
      <c r="H437" s="67"/>
      <c r="I437" s="67"/>
      <c r="J437" s="67"/>
      <c r="K437" s="67"/>
      <c r="L437" s="67"/>
      <c r="M437" s="67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34">
        <v>1</v>
      </c>
      <c r="Y437" s="34">
        <v>1</v>
      </c>
      <c r="Z437" s="34">
        <v>1</v>
      </c>
      <c r="AA437" s="34">
        <v>1</v>
      </c>
      <c r="AB437" s="34">
        <v>1</v>
      </c>
      <c r="AC437" s="34">
        <v>1</v>
      </c>
      <c r="AD437" s="34">
        <v>1</v>
      </c>
      <c r="AE437" s="34">
        <v>1</v>
      </c>
      <c r="AF437" s="34">
        <v>1</v>
      </c>
      <c r="AG437" s="34">
        <v>1</v>
      </c>
      <c r="AH437" s="34">
        <v>1</v>
      </c>
      <c r="AI437" s="34">
        <v>1</v>
      </c>
      <c r="AJ437" s="34">
        <v>1</v>
      </c>
      <c r="AK437" s="10">
        <f t="shared" si="20"/>
        <v>13</v>
      </c>
      <c r="AL437" s="11">
        <v>32000</v>
      </c>
      <c r="AM437" s="12">
        <f t="shared" si="25"/>
        <v>416000</v>
      </c>
    </row>
    <row r="438" spans="1:39" ht="13.5" customHeight="1">
      <c r="A438" s="48" t="s">
        <v>84</v>
      </c>
      <c r="B438" s="32">
        <v>9</v>
      </c>
      <c r="C438" s="33" t="s">
        <v>85</v>
      </c>
      <c r="D438" s="33" t="s">
        <v>498</v>
      </c>
      <c r="E438" s="33" t="s">
        <v>9</v>
      </c>
      <c r="F438" s="32" t="s">
        <v>1055</v>
      </c>
      <c r="G438" s="46"/>
      <c r="H438" s="67"/>
      <c r="I438" s="67"/>
      <c r="J438" s="67"/>
      <c r="K438" s="67"/>
      <c r="L438" s="67"/>
      <c r="M438" s="67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34">
        <v>1</v>
      </c>
      <c r="Y438" s="34">
        <v>1</v>
      </c>
      <c r="Z438" s="34">
        <v>1</v>
      </c>
      <c r="AA438" s="34">
        <v>1</v>
      </c>
      <c r="AB438" s="34">
        <v>1</v>
      </c>
      <c r="AC438" s="34">
        <v>1</v>
      </c>
      <c r="AD438" s="34">
        <v>1</v>
      </c>
      <c r="AE438" s="34">
        <v>1</v>
      </c>
      <c r="AF438" s="34">
        <v>1</v>
      </c>
      <c r="AG438" s="34">
        <v>1</v>
      </c>
      <c r="AH438" s="34">
        <v>1</v>
      </c>
      <c r="AI438" s="34">
        <v>1</v>
      </c>
      <c r="AJ438" s="34">
        <v>1</v>
      </c>
      <c r="AK438" s="10">
        <f t="shared" si="20"/>
        <v>13</v>
      </c>
      <c r="AL438" s="11">
        <v>32000</v>
      </c>
      <c r="AM438" s="12">
        <f t="shared" si="25"/>
        <v>416000</v>
      </c>
    </row>
    <row r="439" spans="1:39" ht="13.5" customHeight="1">
      <c r="A439" s="48" t="s">
        <v>84</v>
      </c>
      <c r="B439" s="32">
        <v>10</v>
      </c>
      <c r="C439" s="33" t="s">
        <v>111</v>
      </c>
      <c r="D439" s="33" t="s">
        <v>111</v>
      </c>
      <c r="E439" s="33" t="s">
        <v>112</v>
      </c>
      <c r="F439" s="32" t="s">
        <v>113</v>
      </c>
      <c r="G439" s="46"/>
      <c r="H439" s="67"/>
      <c r="I439" s="67"/>
      <c r="J439" s="67"/>
      <c r="K439" s="67"/>
      <c r="L439" s="67"/>
      <c r="M439" s="67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34">
        <v>1</v>
      </c>
      <c r="Y439" s="34">
        <v>1</v>
      </c>
      <c r="Z439" s="34">
        <v>1</v>
      </c>
      <c r="AA439" s="34">
        <v>1</v>
      </c>
      <c r="AB439" s="34">
        <v>1</v>
      </c>
      <c r="AC439" s="34">
        <v>1</v>
      </c>
      <c r="AD439" s="34">
        <v>1</v>
      </c>
      <c r="AE439" s="34">
        <v>1</v>
      </c>
      <c r="AF439" s="34">
        <v>1</v>
      </c>
      <c r="AG439" s="34">
        <v>1</v>
      </c>
      <c r="AH439" s="34">
        <v>1</v>
      </c>
      <c r="AI439" s="34">
        <v>1</v>
      </c>
      <c r="AJ439" s="34">
        <v>1</v>
      </c>
      <c r="AK439" s="10">
        <f t="shared" si="20"/>
        <v>13</v>
      </c>
      <c r="AL439" s="11">
        <v>32000</v>
      </c>
      <c r="AM439" s="12">
        <f t="shared" si="25"/>
        <v>416000</v>
      </c>
    </row>
    <row r="440" spans="1:39" ht="13.5" customHeight="1">
      <c r="A440" s="48" t="s">
        <v>84</v>
      </c>
      <c r="B440" s="32">
        <v>10</v>
      </c>
      <c r="C440" s="33" t="s">
        <v>1056</v>
      </c>
      <c r="D440" s="33" t="s">
        <v>50</v>
      </c>
      <c r="E440" s="33" t="s">
        <v>23</v>
      </c>
      <c r="F440" s="32" t="s">
        <v>110</v>
      </c>
      <c r="G440" s="46"/>
      <c r="H440" s="67"/>
      <c r="I440" s="67"/>
      <c r="J440" s="67"/>
      <c r="K440" s="67"/>
      <c r="L440" s="67"/>
      <c r="M440" s="67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34">
        <v>1</v>
      </c>
      <c r="Y440" s="34">
        <v>1</v>
      </c>
      <c r="Z440" s="34">
        <v>1</v>
      </c>
      <c r="AA440" s="34">
        <v>1</v>
      </c>
      <c r="AB440" s="34">
        <v>1</v>
      </c>
      <c r="AC440" s="34">
        <v>1</v>
      </c>
      <c r="AD440" s="34">
        <v>1</v>
      </c>
      <c r="AE440" s="34">
        <v>1</v>
      </c>
      <c r="AF440" s="34">
        <v>1</v>
      </c>
      <c r="AG440" s="34">
        <v>1</v>
      </c>
      <c r="AH440" s="34">
        <v>1</v>
      </c>
      <c r="AI440" s="34">
        <v>1</v>
      </c>
      <c r="AJ440" s="34">
        <v>1</v>
      </c>
      <c r="AK440" s="10">
        <f t="shared" si="20"/>
        <v>13</v>
      </c>
      <c r="AL440" s="11">
        <v>32000</v>
      </c>
      <c r="AM440" s="12">
        <f t="shared" si="25"/>
        <v>416000</v>
      </c>
    </row>
    <row r="441" spans="1:39" ht="13.5" customHeight="1">
      <c r="A441" s="48" t="s">
        <v>84</v>
      </c>
      <c r="B441" s="32">
        <v>11</v>
      </c>
      <c r="C441" s="33" t="s">
        <v>123</v>
      </c>
      <c r="D441" s="33" t="s">
        <v>668</v>
      </c>
      <c r="E441" s="33" t="s">
        <v>199</v>
      </c>
      <c r="F441" s="32" t="s">
        <v>669</v>
      </c>
      <c r="G441" s="46"/>
      <c r="H441" s="67"/>
      <c r="I441" s="67"/>
      <c r="J441" s="67"/>
      <c r="K441" s="67"/>
      <c r="L441" s="67"/>
      <c r="M441" s="67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34">
        <v>1</v>
      </c>
      <c r="Y441" s="34">
        <v>1</v>
      </c>
      <c r="Z441" s="34">
        <v>1</v>
      </c>
      <c r="AA441" s="34">
        <v>1</v>
      </c>
      <c r="AB441" s="34">
        <v>1</v>
      </c>
      <c r="AC441" s="34">
        <v>1</v>
      </c>
      <c r="AD441" s="34">
        <v>1</v>
      </c>
      <c r="AE441" s="34">
        <v>1</v>
      </c>
      <c r="AF441" s="34">
        <v>1</v>
      </c>
      <c r="AG441" s="34">
        <v>1</v>
      </c>
      <c r="AH441" s="34">
        <v>1</v>
      </c>
      <c r="AI441" s="34">
        <v>1</v>
      </c>
      <c r="AJ441" s="34">
        <v>1</v>
      </c>
      <c r="AK441" s="10">
        <f t="shared" si="20"/>
        <v>13</v>
      </c>
      <c r="AL441" s="11">
        <v>32000</v>
      </c>
      <c r="AM441" s="12">
        <f t="shared" si="25"/>
        <v>416000</v>
      </c>
    </row>
    <row r="442" spans="1:39" ht="13.5" customHeight="1">
      <c r="A442" s="48" t="s">
        <v>84</v>
      </c>
      <c r="B442" s="32">
        <v>11</v>
      </c>
      <c r="C442" s="33" t="s">
        <v>671</v>
      </c>
      <c r="D442" s="33" t="s">
        <v>12</v>
      </c>
      <c r="E442" s="33" t="s">
        <v>395</v>
      </c>
      <c r="F442" s="32" t="s">
        <v>674</v>
      </c>
      <c r="G442" s="46"/>
      <c r="H442" s="67"/>
      <c r="I442" s="67"/>
      <c r="J442" s="67"/>
      <c r="K442" s="67"/>
      <c r="L442" s="67"/>
      <c r="M442" s="67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34">
        <v>1</v>
      </c>
      <c r="Y442" s="34">
        <v>1</v>
      </c>
      <c r="Z442" s="34">
        <v>1</v>
      </c>
      <c r="AA442" s="34">
        <v>1</v>
      </c>
      <c r="AB442" s="34">
        <v>1</v>
      </c>
      <c r="AC442" s="34">
        <v>1</v>
      </c>
      <c r="AD442" s="34">
        <v>1</v>
      </c>
      <c r="AE442" s="34">
        <v>1</v>
      </c>
      <c r="AF442" s="34">
        <v>1</v>
      </c>
      <c r="AG442" s="34">
        <v>1</v>
      </c>
      <c r="AH442" s="34">
        <v>1</v>
      </c>
      <c r="AI442" s="34">
        <v>1</v>
      </c>
      <c r="AJ442" s="34">
        <v>1</v>
      </c>
      <c r="AK442" s="10">
        <f t="shared" si="20"/>
        <v>13</v>
      </c>
      <c r="AL442" s="11">
        <v>32000</v>
      </c>
      <c r="AM442" s="12">
        <f t="shared" si="25"/>
        <v>416000</v>
      </c>
    </row>
    <row r="443" spans="1:39" ht="13.5" customHeight="1">
      <c r="A443" s="48" t="s">
        <v>84</v>
      </c>
      <c r="B443" s="32">
        <v>13</v>
      </c>
      <c r="C443" s="33" t="s">
        <v>481</v>
      </c>
      <c r="D443" s="33" t="s">
        <v>28</v>
      </c>
      <c r="E443" s="33" t="s">
        <v>200</v>
      </c>
      <c r="F443" s="32" t="s">
        <v>482</v>
      </c>
      <c r="G443" s="46"/>
      <c r="H443" s="67"/>
      <c r="I443" s="67"/>
      <c r="J443" s="67"/>
      <c r="K443" s="67"/>
      <c r="L443" s="67"/>
      <c r="M443" s="67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34">
        <v>1</v>
      </c>
      <c r="Y443" s="34">
        <v>1</v>
      </c>
      <c r="Z443" s="34">
        <v>1</v>
      </c>
      <c r="AA443" s="34">
        <v>1</v>
      </c>
      <c r="AB443" s="34">
        <v>1</v>
      </c>
      <c r="AC443" s="34">
        <v>1</v>
      </c>
      <c r="AD443" s="34">
        <v>1</v>
      </c>
      <c r="AE443" s="34">
        <v>1</v>
      </c>
      <c r="AF443" s="34">
        <v>1</v>
      </c>
      <c r="AG443" s="34">
        <v>1</v>
      </c>
      <c r="AH443" s="34">
        <v>1</v>
      </c>
      <c r="AI443" s="34">
        <v>1</v>
      </c>
      <c r="AJ443" s="34">
        <v>1</v>
      </c>
      <c r="AK443" s="10">
        <f t="shared" si="20"/>
        <v>13</v>
      </c>
      <c r="AL443" s="11">
        <v>32000</v>
      </c>
      <c r="AM443" s="12">
        <f t="shared" si="25"/>
        <v>416000</v>
      </c>
    </row>
    <row r="444" spans="1:39" ht="13.5" customHeight="1">
      <c r="A444" s="48" t="s">
        <v>84</v>
      </c>
      <c r="B444" s="32">
        <v>13</v>
      </c>
      <c r="C444" s="33" t="s">
        <v>220</v>
      </c>
      <c r="D444" s="33" t="s">
        <v>118</v>
      </c>
      <c r="E444" s="33" t="s">
        <v>328</v>
      </c>
      <c r="F444" s="32" t="s">
        <v>480</v>
      </c>
      <c r="G444" s="46"/>
      <c r="H444" s="67"/>
      <c r="I444" s="67"/>
      <c r="J444" s="67"/>
      <c r="K444" s="67"/>
      <c r="L444" s="67"/>
      <c r="M444" s="67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34">
        <v>1</v>
      </c>
      <c r="Y444" s="34">
        <v>1</v>
      </c>
      <c r="Z444" s="34">
        <v>1</v>
      </c>
      <c r="AA444" s="34">
        <v>1</v>
      </c>
      <c r="AB444" s="34">
        <v>1</v>
      </c>
      <c r="AC444" s="34">
        <v>1</v>
      </c>
      <c r="AD444" s="34">
        <v>1</v>
      </c>
      <c r="AE444" s="34">
        <v>1</v>
      </c>
      <c r="AF444" s="34">
        <v>1</v>
      </c>
      <c r="AG444" s="34">
        <v>1</v>
      </c>
      <c r="AH444" s="34">
        <v>1</v>
      </c>
      <c r="AI444" s="34">
        <v>1</v>
      </c>
      <c r="AJ444" s="34">
        <v>1</v>
      </c>
      <c r="AK444" s="10">
        <f t="shared" si="20"/>
        <v>13</v>
      </c>
      <c r="AL444" s="11">
        <v>32000</v>
      </c>
      <c r="AM444" s="12">
        <f t="shared" si="25"/>
        <v>416000</v>
      </c>
    </row>
    <row r="445" spans="1:39" ht="13.5" customHeight="1">
      <c r="A445" s="48" t="s">
        <v>84</v>
      </c>
      <c r="B445" s="32">
        <v>15</v>
      </c>
      <c r="C445" s="33" t="s">
        <v>66</v>
      </c>
      <c r="D445" s="33" t="s">
        <v>156</v>
      </c>
      <c r="E445" s="33" t="s">
        <v>589</v>
      </c>
      <c r="F445" s="32" t="s">
        <v>571</v>
      </c>
      <c r="G445" s="46"/>
      <c r="H445" s="67"/>
      <c r="I445" s="67"/>
      <c r="J445" s="67"/>
      <c r="K445" s="67"/>
      <c r="L445" s="67"/>
      <c r="M445" s="67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34">
        <v>1</v>
      </c>
      <c r="Y445" s="34">
        <v>1</v>
      </c>
      <c r="Z445" s="34">
        <v>1</v>
      </c>
      <c r="AA445" s="34">
        <v>1</v>
      </c>
      <c r="AB445" s="34">
        <v>1</v>
      </c>
      <c r="AC445" s="34">
        <v>1</v>
      </c>
      <c r="AD445" s="34">
        <v>1</v>
      </c>
      <c r="AE445" s="34">
        <v>1</v>
      </c>
      <c r="AF445" s="34">
        <v>1</v>
      </c>
      <c r="AG445" s="34">
        <v>1</v>
      </c>
      <c r="AH445" s="34">
        <v>1</v>
      </c>
      <c r="AI445" s="34">
        <v>1</v>
      </c>
      <c r="AJ445" s="34">
        <v>1</v>
      </c>
      <c r="AK445" s="10">
        <f t="shared" si="20"/>
        <v>13</v>
      </c>
      <c r="AL445" s="11">
        <v>32000</v>
      </c>
      <c r="AM445" s="12">
        <f t="shared" si="25"/>
        <v>416000</v>
      </c>
    </row>
    <row r="446" spans="1:39" ht="13.5" customHeight="1">
      <c r="A446" s="48" t="s">
        <v>84</v>
      </c>
      <c r="B446" s="32">
        <v>15</v>
      </c>
      <c r="C446" s="33" t="s">
        <v>130</v>
      </c>
      <c r="D446" s="33" t="s">
        <v>594</v>
      </c>
      <c r="E446" s="33" t="s">
        <v>593</v>
      </c>
      <c r="F446" s="32" t="s">
        <v>574</v>
      </c>
      <c r="G446" s="46"/>
      <c r="H446" s="67"/>
      <c r="I446" s="67"/>
      <c r="J446" s="67"/>
      <c r="K446" s="67"/>
      <c r="L446" s="67"/>
      <c r="M446" s="67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34">
        <v>1</v>
      </c>
      <c r="Y446" s="34">
        <v>1</v>
      </c>
      <c r="Z446" s="34">
        <v>1</v>
      </c>
      <c r="AA446" s="34">
        <v>1</v>
      </c>
      <c r="AB446" s="34">
        <v>1</v>
      </c>
      <c r="AC446" s="34">
        <v>1</v>
      </c>
      <c r="AD446" s="34">
        <v>1</v>
      </c>
      <c r="AE446" s="34">
        <v>1</v>
      </c>
      <c r="AF446" s="34">
        <v>1</v>
      </c>
      <c r="AG446" s="34">
        <v>1</v>
      </c>
      <c r="AH446" s="34">
        <v>1</v>
      </c>
      <c r="AI446" s="34">
        <v>1</v>
      </c>
      <c r="AJ446" s="34">
        <v>1</v>
      </c>
      <c r="AK446" s="10">
        <f t="shared" si="20"/>
        <v>13</v>
      </c>
      <c r="AL446" s="11">
        <v>32000</v>
      </c>
      <c r="AM446" s="12">
        <f t="shared" si="25"/>
        <v>416000</v>
      </c>
    </row>
    <row r="447" spans="1:39" ht="13.5" customHeight="1">
      <c r="A447" s="48" t="s">
        <v>84</v>
      </c>
      <c r="B447" s="32">
        <v>16</v>
      </c>
      <c r="C447" s="33" t="s">
        <v>520</v>
      </c>
      <c r="D447" s="33" t="s">
        <v>521</v>
      </c>
      <c r="E447" s="33" t="s">
        <v>61</v>
      </c>
      <c r="F447" s="32" t="s">
        <v>522</v>
      </c>
      <c r="G447" s="46"/>
      <c r="H447" s="67"/>
      <c r="I447" s="67"/>
      <c r="J447" s="67"/>
      <c r="K447" s="67"/>
      <c r="L447" s="67"/>
      <c r="M447" s="67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34">
        <v>1</v>
      </c>
      <c r="Y447" s="34">
        <v>1</v>
      </c>
      <c r="Z447" s="34">
        <v>1</v>
      </c>
      <c r="AA447" s="34">
        <v>1</v>
      </c>
      <c r="AB447" s="34">
        <v>1</v>
      </c>
      <c r="AC447" s="34">
        <v>1</v>
      </c>
      <c r="AD447" s="34">
        <v>1</v>
      </c>
      <c r="AE447" s="34">
        <v>1</v>
      </c>
      <c r="AF447" s="34">
        <v>1</v>
      </c>
      <c r="AG447" s="34">
        <v>1</v>
      </c>
      <c r="AH447" s="34">
        <v>1</v>
      </c>
      <c r="AI447" s="34">
        <v>1</v>
      </c>
      <c r="AJ447" s="34">
        <v>1</v>
      </c>
      <c r="AK447" s="10">
        <f t="shared" si="20"/>
        <v>13</v>
      </c>
      <c r="AL447" s="11">
        <v>32000</v>
      </c>
      <c r="AM447" s="12">
        <f t="shared" si="25"/>
        <v>416000</v>
      </c>
    </row>
    <row r="448" spans="1:39" ht="13.5" customHeight="1">
      <c r="A448" s="48" t="s">
        <v>84</v>
      </c>
      <c r="B448" s="32">
        <v>16</v>
      </c>
      <c r="C448" s="33" t="s">
        <v>201</v>
      </c>
      <c r="D448" s="33" t="s">
        <v>18</v>
      </c>
      <c r="E448" s="33" t="s">
        <v>523</v>
      </c>
      <c r="F448" s="32" t="s">
        <v>524</v>
      </c>
      <c r="G448" s="46"/>
      <c r="H448" s="67"/>
      <c r="I448" s="67"/>
      <c r="J448" s="67"/>
      <c r="K448" s="67"/>
      <c r="L448" s="67"/>
      <c r="M448" s="67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34">
        <v>1</v>
      </c>
      <c r="Y448" s="34">
        <v>1</v>
      </c>
      <c r="Z448" s="34">
        <v>1</v>
      </c>
      <c r="AA448" s="34">
        <v>1</v>
      </c>
      <c r="AB448" s="34">
        <v>1</v>
      </c>
      <c r="AC448" s="34">
        <v>1</v>
      </c>
      <c r="AD448" s="34">
        <v>1</v>
      </c>
      <c r="AE448" s="34">
        <v>1</v>
      </c>
      <c r="AF448" s="34">
        <v>1</v>
      </c>
      <c r="AG448" s="34">
        <v>1</v>
      </c>
      <c r="AH448" s="34">
        <v>1</v>
      </c>
      <c r="AI448" s="34">
        <v>1</v>
      </c>
      <c r="AJ448" s="34">
        <v>1</v>
      </c>
      <c r="AK448" s="10">
        <f t="shared" si="20"/>
        <v>13</v>
      </c>
      <c r="AL448" s="11">
        <v>32000</v>
      </c>
      <c r="AM448" s="12">
        <f t="shared" si="25"/>
        <v>416000</v>
      </c>
    </row>
    <row r="449" spans="1:39" ht="13.5" customHeight="1">
      <c r="A449" s="48" t="s">
        <v>84</v>
      </c>
      <c r="B449" s="32">
        <v>18</v>
      </c>
      <c r="C449" s="33" t="s">
        <v>555</v>
      </c>
      <c r="D449" s="33" t="s">
        <v>118</v>
      </c>
      <c r="E449" s="33" t="s">
        <v>301</v>
      </c>
      <c r="F449" s="32" t="s">
        <v>578</v>
      </c>
      <c r="G449" s="46"/>
      <c r="H449" s="67"/>
      <c r="I449" s="67"/>
      <c r="J449" s="67"/>
      <c r="K449" s="67"/>
      <c r="L449" s="67"/>
      <c r="M449" s="67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34">
        <v>1</v>
      </c>
      <c r="Y449" s="34">
        <v>1</v>
      </c>
      <c r="Z449" s="34">
        <v>1</v>
      </c>
      <c r="AA449" s="34">
        <v>1</v>
      </c>
      <c r="AB449" s="34">
        <v>1</v>
      </c>
      <c r="AC449" s="34">
        <v>1</v>
      </c>
      <c r="AD449" s="34">
        <v>1</v>
      </c>
      <c r="AE449" s="34">
        <v>1</v>
      </c>
      <c r="AF449" s="34">
        <v>1</v>
      </c>
      <c r="AG449" s="34">
        <v>1</v>
      </c>
      <c r="AH449" s="34">
        <v>1</v>
      </c>
      <c r="AI449" s="34">
        <v>1</v>
      </c>
      <c r="AJ449" s="34">
        <v>1</v>
      </c>
      <c r="AK449" s="10">
        <f t="shared" si="20"/>
        <v>13</v>
      </c>
      <c r="AL449" s="11">
        <v>32000</v>
      </c>
      <c r="AM449" s="12">
        <f t="shared" si="25"/>
        <v>416000</v>
      </c>
    </row>
    <row r="450" spans="1:39" ht="13.5" customHeight="1">
      <c r="A450" s="48" t="s">
        <v>84</v>
      </c>
      <c r="B450" s="32">
        <v>18</v>
      </c>
      <c r="C450" s="33" t="s">
        <v>27</v>
      </c>
      <c r="D450" s="33" t="s">
        <v>597</v>
      </c>
      <c r="E450" s="33" t="s">
        <v>29</v>
      </c>
      <c r="F450" s="32" t="s">
        <v>580</v>
      </c>
      <c r="G450" s="46"/>
      <c r="H450" s="67"/>
      <c r="I450" s="67"/>
      <c r="J450" s="67"/>
      <c r="K450" s="67"/>
      <c r="L450" s="67"/>
      <c r="M450" s="67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34">
        <v>1</v>
      </c>
      <c r="Y450" s="34">
        <v>1</v>
      </c>
      <c r="Z450" s="34">
        <v>1</v>
      </c>
      <c r="AA450" s="34">
        <v>1</v>
      </c>
      <c r="AB450" s="34">
        <v>1</v>
      </c>
      <c r="AC450" s="34">
        <v>1</v>
      </c>
      <c r="AD450" s="34">
        <v>1</v>
      </c>
      <c r="AE450" s="34">
        <v>1</v>
      </c>
      <c r="AF450" s="34">
        <v>1</v>
      </c>
      <c r="AG450" s="34">
        <v>1</v>
      </c>
      <c r="AH450" s="34">
        <v>1</v>
      </c>
      <c r="AI450" s="34">
        <v>1</v>
      </c>
      <c r="AJ450" s="34">
        <v>1</v>
      </c>
      <c r="AK450" s="10">
        <f t="shared" si="20"/>
        <v>13</v>
      </c>
      <c r="AL450" s="11">
        <v>32000</v>
      </c>
      <c r="AM450" s="12">
        <f t="shared" si="25"/>
        <v>416000</v>
      </c>
    </row>
    <row r="451" spans="1:39" ht="13.5" customHeight="1">
      <c r="A451" s="48" t="s">
        <v>84</v>
      </c>
      <c r="B451" s="32">
        <v>21</v>
      </c>
      <c r="C451" s="33" t="s">
        <v>1034</v>
      </c>
      <c r="D451" s="33" t="s">
        <v>1035</v>
      </c>
      <c r="E451" s="33" t="s">
        <v>75</v>
      </c>
      <c r="F451" s="32" t="s">
        <v>1041</v>
      </c>
      <c r="G451" s="46"/>
      <c r="H451" s="67"/>
      <c r="I451" s="67"/>
      <c r="J451" s="67"/>
      <c r="K451" s="67"/>
      <c r="L451" s="67"/>
      <c r="M451" s="67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34">
        <v>1</v>
      </c>
      <c r="Y451" s="34">
        <v>1</v>
      </c>
      <c r="Z451" s="34">
        <v>1</v>
      </c>
      <c r="AA451" s="34">
        <v>1</v>
      </c>
      <c r="AB451" s="34">
        <v>1</v>
      </c>
      <c r="AC451" s="34">
        <v>1</v>
      </c>
      <c r="AD451" s="34">
        <v>1</v>
      </c>
      <c r="AE451" s="34">
        <v>1</v>
      </c>
      <c r="AF451" s="34">
        <v>1</v>
      </c>
      <c r="AG451" s="34">
        <v>1</v>
      </c>
      <c r="AH451" s="34">
        <v>1</v>
      </c>
      <c r="AI451" s="34">
        <v>1</v>
      </c>
      <c r="AJ451" s="34">
        <v>1</v>
      </c>
      <c r="AK451" s="10">
        <f t="shared" si="20"/>
        <v>13</v>
      </c>
      <c r="AL451" s="11">
        <v>32000</v>
      </c>
      <c r="AM451" s="12">
        <f t="shared" ref="AM451:AM462" si="26">AL451*AK451</f>
        <v>416000</v>
      </c>
    </row>
    <row r="452" spans="1:39" ht="13.5" customHeight="1">
      <c r="A452" s="48" t="s">
        <v>84</v>
      </c>
      <c r="B452" s="32">
        <v>21</v>
      </c>
      <c r="C452" s="33" t="s">
        <v>1082</v>
      </c>
      <c r="D452" s="33" t="s">
        <v>1083</v>
      </c>
      <c r="E452" s="33" t="s">
        <v>9</v>
      </c>
      <c r="F452" s="32" t="s">
        <v>1084</v>
      </c>
      <c r="G452" s="46"/>
      <c r="H452" s="67"/>
      <c r="I452" s="67"/>
      <c r="J452" s="67"/>
      <c r="K452" s="67"/>
      <c r="L452" s="67"/>
      <c r="M452" s="67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34">
        <v>1</v>
      </c>
      <c r="Y452" s="34">
        <v>1</v>
      </c>
      <c r="Z452" s="34">
        <v>1</v>
      </c>
      <c r="AA452" s="34">
        <v>1</v>
      </c>
      <c r="AB452" s="34">
        <v>1</v>
      </c>
      <c r="AC452" s="34">
        <v>1</v>
      </c>
      <c r="AD452" s="34">
        <v>1</v>
      </c>
      <c r="AE452" s="34">
        <v>1</v>
      </c>
      <c r="AF452" s="34">
        <v>1</v>
      </c>
      <c r="AG452" s="34">
        <v>1</v>
      </c>
      <c r="AH452" s="34">
        <v>1</v>
      </c>
      <c r="AI452" s="34">
        <v>1</v>
      </c>
      <c r="AJ452" s="34">
        <v>1</v>
      </c>
      <c r="AK452" s="10">
        <f t="shared" si="20"/>
        <v>13</v>
      </c>
      <c r="AL452" s="11">
        <v>32000</v>
      </c>
      <c r="AM452" s="12">
        <f t="shared" si="26"/>
        <v>416000</v>
      </c>
    </row>
    <row r="453" spans="1:39" ht="13.5" customHeight="1">
      <c r="A453" s="48" t="s">
        <v>84</v>
      </c>
      <c r="B453" s="32">
        <v>22</v>
      </c>
      <c r="C453" s="33" t="s">
        <v>1036</v>
      </c>
      <c r="D453" s="33" t="s">
        <v>1037</v>
      </c>
      <c r="E453" s="33" t="s">
        <v>1038</v>
      </c>
      <c r="F453" s="32" t="s">
        <v>1040</v>
      </c>
      <c r="G453" s="46"/>
      <c r="H453" s="67"/>
      <c r="I453" s="67"/>
      <c r="J453" s="67"/>
      <c r="K453" s="67"/>
      <c r="L453" s="67"/>
      <c r="M453" s="67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34">
        <v>1</v>
      </c>
      <c r="Y453" s="34">
        <v>1</v>
      </c>
      <c r="Z453" s="34">
        <v>1</v>
      </c>
      <c r="AA453" s="34">
        <v>1</v>
      </c>
      <c r="AB453" s="34">
        <v>1</v>
      </c>
      <c r="AC453" s="34">
        <v>1</v>
      </c>
      <c r="AD453" s="34">
        <v>1</v>
      </c>
      <c r="AE453" s="34">
        <v>1</v>
      </c>
      <c r="AF453" s="34">
        <v>1</v>
      </c>
      <c r="AG453" s="34">
        <v>1</v>
      </c>
      <c r="AH453" s="34">
        <v>1</v>
      </c>
      <c r="AI453" s="34">
        <v>1</v>
      </c>
      <c r="AJ453" s="34">
        <v>1</v>
      </c>
      <c r="AK453" s="10">
        <f t="shared" si="20"/>
        <v>13</v>
      </c>
      <c r="AL453" s="11">
        <v>32000</v>
      </c>
      <c r="AM453" s="12">
        <f t="shared" si="26"/>
        <v>416000</v>
      </c>
    </row>
    <row r="454" spans="1:39" ht="13.5" customHeight="1">
      <c r="A454" s="48" t="s">
        <v>84</v>
      </c>
      <c r="B454" s="32">
        <v>22</v>
      </c>
      <c r="C454" s="33" t="s">
        <v>346</v>
      </c>
      <c r="D454" s="33" t="s">
        <v>20</v>
      </c>
      <c r="E454" s="33" t="s">
        <v>1085</v>
      </c>
      <c r="F454" s="32" t="s">
        <v>1086</v>
      </c>
      <c r="G454" s="46"/>
      <c r="H454" s="67"/>
      <c r="I454" s="67"/>
      <c r="J454" s="67"/>
      <c r="K454" s="67"/>
      <c r="L454" s="67"/>
      <c r="M454" s="67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34">
        <v>1</v>
      </c>
      <c r="Y454" s="34">
        <v>1</v>
      </c>
      <c r="Z454" s="34">
        <v>1</v>
      </c>
      <c r="AA454" s="34">
        <v>1</v>
      </c>
      <c r="AB454" s="34">
        <v>1</v>
      </c>
      <c r="AC454" s="34">
        <v>1</v>
      </c>
      <c r="AD454" s="34">
        <v>1</v>
      </c>
      <c r="AE454" s="34">
        <v>1</v>
      </c>
      <c r="AF454" s="34">
        <v>1</v>
      </c>
      <c r="AG454" s="34">
        <v>1</v>
      </c>
      <c r="AH454" s="34">
        <v>1</v>
      </c>
      <c r="AI454" s="34">
        <v>1</v>
      </c>
      <c r="AJ454" s="34">
        <v>1</v>
      </c>
      <c r="AK454" s="10">
        <f t="shared" si="20"/>
        <v>13</v>
      </c>
      <c r="AL454" s="11">
        <v>32000</v>
      </c>
      <c r="AM454" s="12">
        <f t="shared" si="26"/>
        <v>416000</v>
      </c>
    </row>
    <row r="455" spans="1:39" ht="13.5" customHeight="1">
      <c r="A455" s="48" t="s">
        <v>84</v>
      </c>
      <c r="B455" s="32">
        <v>24</v>
      </c>
      <c r="C455" s="33" t="s">
        <v>20</v>
      </c>
      <c r="D455" s="33" t="s">
        <v>899</v>
      </c>
      <c r="E455" s="33" t="s">
        <v>41</v>
      </c>
      <c r="F455" s="32" t="s">
        <v>1057</v>
      </c>
      <c r="G455" s="46"/>
      <c r="H455" s="67"/>
      <c r="I455" s="67"/>
      <c r="J455" s="67"/>
      <c r="K455" s="67"/>
      <c r="L455" s="67"/>
      <c r="M455" s="67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34">
        <v>1</v>
      </c>
      <c r="Y455" s="34">
        <v>1</v>
      </c>
      <c r="Z455" s="34">
        <v>1</v>
      </c>
      <c r="AA455" s="34">
        <v>1</v>
      </c>
      <c r="AB455" s="34">
        <v>1</v>
      </c>
      <c r="AC455" s="34">
        <v>1</v>
      </c>
      <c r="AD455" s="34">
        <v>1</v>
      </c>
      <c r="AE455" s="34">
        <v>1</v>
      </c>
      <c r="AF455" s="34">
        <v>1</v>
      </c>
      <c r="AG455" s="34">
        <v>1</v>
      </c>
      <c r="AH455" s="34">
        <v>1</v>
      </c>
      <c r="AI455" s="34">
        <v>1</v>
      </c>
      <c r="AJ455" s="34">
        <v>1</v>
      </c>
      <c r="AK455" s="10">
        <f t="shared" si="20"/>
        <v>13</v>
      </c>
      <c r="AL455" s="11">
        <v>32000</v>
      </c>
      <c r="AM455" s="12">
        <f t="shared" si="26"/>
        <v>416000</v>
      </c>
    </row>
    <row r="456" spans="1:39" ht="13.5" customHeight="1">
      <c r="A456" s="48" t="s">
        <v>84</v>
      </c>
      <c r="B456" s="32">
        <v>24</v>
      </c>
      <c r="C456" s="33" t="s">
        <v>20</v>
      </c>
      <c r="D456" s="33" t="s">
        <v>599</v>
      </c>
      <c r="E456" s="33" t="s">
        <v>1044</v>
      </c>
      <c r="F456" s="32" t="s">
        <v>1058</v>
      </c>
      <c r="G456" s="46"/>
      <c r="H456" s="67"/>
      <c r="I456" s="67"/>
      <c r="J456" s="67"/>
      <c r="K456" s="67"/>
      <c r="L456" s="67"/>
      <c r="M456" s="67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34">
        <v>1</v>
      </c>
      <c r="Y456" s="34">
        <v>1</v>
      </c>
      <c r="Z456" s="34">
        <v>1</v>
      </c>
      <c r="AA456" s="34">
        <v>1</v>
      </c>
      <c r="AB456" s="34">
        <v>1</v>
      </c>
      <c r="AC456" s="34">
        <v>1</v>
      </c>
      <c r="AD456" s="34">
        <v>1</v>
      </c>
      <c r="AE456" s="34">
        <v>1</v>
      </c>
      <c r="AF456" s="34">
        <v>1</v>
      </c>
      <c r="AG456" s="34">
        <v>1</v>
      </c>
      <c r="AH456" s="34">
        <v>1</v>
      </c>
      <c r="AI456" s="34">
        <v>1</v>
      </c>
      <c r="AJ456" s="34">
        <v>1</v>
      </c>
      <c r="AK456" s="10">
        <f t="shared" si="20"/>
        <v>13</v>
      </c>
      <c r="AL456" s="11">
        <v>32000</v>
      </c>
      <c r="AM456" s="12">
        <f t="shared" si="26"/>
        <v>416000</v>
      </c>
    </row>
    <row r="457" spans="1:39" ht="13.5" customHeight="1">
      <c r="A457" s="48" t="s">
        <v>84</v>
      </c>
      <c r="B457" s="32">
        <v>27</v>
      </c>
      <c r="C457" s="33" t="s">
        <v>431</v>
      </c>
      <c r="D457" s="33" t="s">
        <v>1059</v>
      </c>
      <c r="E457" s="33" t="s">
        <v>324</v>
      </c>
      <c r="F457" s="32" t="s">
        <v>485</v>
      </c>
      <c r="G457" s="46"/>
      <c r="H457" s="67"/>
      <c r="I457" s="67"/>
      <c r="J457" s="67"/>
      <c r="K457" s="67"/>
      <c r="L457" s="67"/>
      <c r="M457" s="67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34">
        <v>1</v>
      </c>
      <c r="Y457" s="34">
        <v>1</v>
      </c>
      <c r="Z457" s="34">
        <v>1</v>
      </c>
      <c r="AA457" s="34">
        <v>1</v>
      </c>
      <c r="AB457" s="34">
        <v>1</v>
      </c>
      <c r="AC457" s="34">
        <v>1</v>
      </c>
      <c r="AD457" s="34">
        <v>1</v>
      </c>
      <c r="AE457" s="34">
        <v>1</v>
      </c>
      <c r="AF457" s="34">
        <v>1</v>
      </c>
      <c r="AG457" s="34">
        <v>1</v>
      </c>
      <c r="AH457" s="34">
        <v>1</v>
      </c>
      <c r="AI457" s="34">
        <v>1</v>
      </c>
      <c r="AJ457" s="34">
        <v>1</v>
      </c>
      <c r="AK457" s="10">
        <f t="shared" si="20"/>
        <v>13</v>
      </c>
      <c r="AL457" s="11">
        <v>32000</v>
      </c>
      <c r="AM457" s="12">
        <f t="shared" si="26"/>
        <v>416000</v>
      </c>
    </row>
    <row r="458" spans="1:39" ht="13.5" customHeight="1">
      <c r="A458" s="48" t="s">
        <v>84</v>
      </c>
      <c r="B458" s="32">
        <v>27</v>
      </c>
      <c r="C458" s="33" t="s">
        <v>103</v>
      </c>
      <c r="D458" s="33" t="s">
        <v>486</v>
      </c>
      <c r="E458" s="33" t="s">
        <v>487</v>
      </c>
      <c r="F458" s="32" t="s">
        <v>1060</v>
      </c>
      <c r="G458" s="46"/>
      <c r="H458" s="67"/>
      <c r="I458" s="67"/>
      <c r="J458" s="67"/>
      <c r="K458" s="67"/>
      <c r="L458" s="67"/>
      <c r="M458" s="67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34">
        <v>1</v>
      </c>
      <c r="Y458" s="34">
        <v>1</v>
      </c>
      <c r="Z458" s="34">
        <v>1</v>
      </c>
      <c r="AA458" s="34">
        <v>1</v>
      </c>
      <c r="AB458" s="34">
        <v>1</v>
      </c>
      <c r="AC458" s="34">
        <v>1</v>
      </c>
      <c r="AD458" s="34">
        <v>1</v>
      </c>
      <c r="AE458" s="34">
        <v>1</v>
      </c>
      <c r="AF458" s="34">
        <v>1</v>
      </c>
      <c r="AG458" s="34">
        <v>1</v>
      </c>
      <c r="AH458" s="34">
        <v>1</v>
      </c>
      <c r="AI458" s="34">
        <v>1</v>
      </c>
      <c r="AJ458" s="34">
        <v>1</v>
      </c>
      <c r="AK458" s="10">
        <f t="shared" si="20"/>
        <v>13</v>
      </c>
      <c r="AL458" s="11">
        <v>32000</v>
      </c>
      <c r="AM458" s="12">
        <f t="shared" si="26"/>
        <v>416000</v>
      </c>
    </row>
    <row r="459" spans="1:39" ht="13.5" customHeight="1">
      <c r="A459" s="48" t="s">
        <v>84</v>
      </c>
      <c r="B459" s="32">
        <v>29</v>
      </c>
      <c r="C459" s="33" t="s">
        <v>394</v>
      </c>
      <c r="D459" s="33" t="s">
        <v>394</v>
      </c>
      <c r="E459" s="33" t="s">
        <v>904</v>
      </c>
      <c r="F459" s="32" t="s">
        <v>568</v>
      </c>
      <c r="G459" s="46"/>
      <c r="H459" s="67"/>
      <c r="I459" s="67"/>
      <c r="J459" s="67"/>
      <c r="K459" s="67"/>
      <c r="L459" s="67"/>
      <c r="M459" s="67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34">
        <v>1</v>
      </c>
      <c r="Y459" s="34">
        <v>1</v>
      </c>
      <c r="Z459" s="34">
        <v>1</v>
      </c>
      <c r="AA459" s="34">
        <v>1</v>
      </c>
      <c r="AB459" s="34">
        <v>1</v>
      </c>
      <c r="AC459" s="34">
        <v>1</v>
      </c>
      <c r="AD459" s="34">
        <v>1</v>
      </c>
      <c r="AE459" s="34">
        <v>1</v>
      </c>
      <c r="AF459" s="34">
        <v>1</v>
      </c>
      <c r="AG459" s="34">
        <v>1</v>
      </c>
      <c r="AH459" s="34">
        <v>1</v>
      </c>
      <c r="AI459" s="34">
        <v>1</v>
      </c>
      <c r="AJ459" s="34">
        <v>1</v>
      </c>
      <c r="AK459" s="10">
        <f t="shared" ref="AK459:AK522" si="27">SUM(G459:AJ459)</f>
        <v>13</v>
      </c>
      <c r="AL459" s="11">
        <v>32000</v>
      </c>
      <c r="AM459" s="12">
        <f t="shared" si="26"/>
        <v>416000</v>
      </c>
    </row>
    <row r="460" spans="1:39" ht="13.5" customHeight="1">
      <c r="A460" s="48" t="s">
        <v>84</v>
      </c>
      <c r="B460" s="32">
        <v>29</v>
      </c>
      <c r="C460" s="33" t="s">
        <v>394</v>
      </c>
      <c r="D460" s="33" t="s">
        <v>27</v>
      </c>
      <c r="E460" s="33" t="s">
        <v>168</v>
      </c>
      <c r="F460" s="32" t="s">
        <v>582</v>
      </c>
      <c r="G460" s="46"/>
      <c r="H460" s="67"/>
      <c r="I460" s="67"/>
      <c r="J460" s="67"/>
      <c r="K460" s="67"/>
      <c r="L460" s="67"/>
      <c r="M460" s="67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34">
        <v>1</v>
      </c>
      <c r="Y460" s="34">
        <v>1</v>
      </c>
      <c r="Z460" s="34">
        <v>1</v>
      </c>
      <c r="AA460" s="34">
        <v>1</v>
      </c>
      <c r="AB460" s="34">
        <v>1</v>
      </c>
      <c r="AC460" s="34">
        <v>1</v>
      </c>
      <c r="AD460" s="34">
        <v>1</v>
      </c>
      <c r="AE460" s="34">
        <v>1</v>
      </c>
      <c r="AF460" s="34">
        <v>1</v>
      </c>
      <c r="AG460" s="34">
        <v>1</v>
      </c>
      <c r="AH460" s="34">
        <v>1</v>
      </c>
      <c r="AI460" s="34">
        <v>1</v>
      </c>
      <c r="AJ460" s="34">
        <v>1</v>
      </c>
      <c r="AK460" s="10">
        <f t="shared" si="27"/>
        <v>13</v>
      </c>
      <c r="AL460" s="11">
        <v>32000</v>
      </c>
      <c r="AM460" s="12">
        <f t="shared" si="26"/>
        <v>416000</v>
      </c>
    </row>
    <row r="461" spans="1:39" ht="13.5" customHeight="1">
      <c r="A461" s="48" t="s">
        <v>84</v>
      </c>
      <c r="B461" s="32">
        <v>30</v>
      </c>
      <c r="C461" s="33" t="s">
        <v>1061</v>
      </c>
      <c r="D461" s="33" t="s">
        <v>10</v>
      </c>
      <c r="E461" s="33" t="s">
        <v>41</v>
      </c>
      <c r="F461" s="32" t="s">
        <v>673</v>
      </c>
      <c r="G461" s="46"/>
      <c r="H461" s="67"/>
      <c r="I461" s="67"/>
      <c r="J461" s="67"/>
      <c r="K461" s="67"/>
      <c r="L461" s="67"/>
      <c r="M461" s="67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34">
        <v>1</v>
      </c>
      <c r="Y461" s="34">
        <v>1</v>
      </c>
      <c r="Z461" s="34">
        <v>1</v>
      </c>
      <c r="AA461" s="34">
        <v>1</v>
      </c>
      <c r="AB461" s="34">
        <v>1</v>
      </c>
      <c r="AC461" s="34">
        <v>1</v>
      </c>
      <c r="AD461" s="34">
        <v>1</v>
      </c>
      <c r="AE461" s="34">
        <v>1</v>
      </c>
      <c r="AF461" s="34">
        <v>1</v>
      </c>
      <c r="AG461" s="34">
        <v>1</v>
      </c>
      <c r="AH461" s="34">
        <v>1</v>
      </c>
      <c r="AI461" s="34">
        <v>1</v>
      </c>
      <c r="AJ461" s="34">
        <v>1</v>
      </c>
      <c r="AK461" s="10">
        <f t="shared" si="27"/>
        <v>13</v>
      </c>
      <c r="AL461" s="11">
        <v>32000</v>
      </c>
      <c r="AM461" s="12">
        <f t="shared" si="26"/>
        <v>416000</v>
      </c>
    </row>
    <row r="462" spans="1:39" ht="13.5" customHeight="1">
      <c r="A462" s="48" t="s">
        <v>84</v>
      </c>
      <c r="B462" s="32">
        <v>30</v>
      </c>
      <c r="C462" s="33" t="s">
        <v>111</v>
      </c>
      <c r="D462" s="33" t="s">
        <v>96</v>
      </c>
      <c r="E462" s="33" t="s">
        <v>423</v>
      </c>
      <c r="F462" s="32" t="s">
        <v>688</v>
      </c>
      <c r="G462" s="46"/>
      <c r="H462" s="67"/>
      <c r="I462" s="67"/>
      <c r="J462" s="67"/>
      <c r="K462" s="67"/>
      <c r="L462" s="67"/>
      <c r="M462" s="67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34">
        <v>1</v>
      </c>
      <c r="Y462" s="34">
        <v>1</v>
      </c>
      <c r="Z462" s="34">
        <v>1</v>
      </c>
      <c r="AA462" s="34">
        <v>1</v>
      </c>
      <c r="AB462" s="34">
        <v>1</v>
      </c>
      <c r="AC462" s="34">
        <v>1</v>
      </c>
      <c r="AD462" s="34">
        <v>1</v>
      </c>
      <c r="AE462" s="34">
        <v>1</v>
      </c>
      <c r="AF462" s="34">
        <v>1</v>
      </c>
      <c r="AG462" s="34">
        <v>1</v>
      </c>
      <c r="AH462" s="34">
        <v>1</v>
      </c>
      <c r="AI462" s="34">
        <v>1</v>
      </c>
      <c r="AJ462" s="34">
        <v>1</v>
      </c>
      <c r="AK462" s="10">
        <f t="shared" si="27"/>
        <v>13</v>
      </c>
      <c r="AL462" s="11">
        <v>32000</v>
      </c>
      <c r="AM462" s="12">
        <f t="shared" si="26"/>
        <v>416000</v>
      </c>
    </row>
    <row r="463" spans="1:39" ht="13.5" customHeight="1">
      <c r="A463" s="48" t="s">
        <v>84</v>
      </c>
      <c r="B463" s="32">
        <v>31</v>
      </c>
      <c r="C463" s="33" t="s">
        <v>299</v>
      </c>
      <c r="D463" s="33" t="s">
        <v>394</v>
      </c>
      <c r="E463" s="33" t="s">
        <v>675</v>
      </c>
      <c r="F463" s="32" t="s">
        <v>1062</v>
      </c>
      <c r="G463" s="46"/>
      <c r="H463" s="67"/>
      <c r="I463" s="67"/>
      <c r="J463" s="67"/>
      <c r="K463" s="67"/>
      <c r="L463" s="67"/>
      <c r="M463" s="67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34">
        <v>1</v>
      </c>
      <c r="Y463" s="34">
        <v>1</v>
      </c>
      <c r="Z463" s="34">
        <v>1</v>
      </c>
      <c r="AA463" s="34">
        <v>1</v>
      </c>
      <c r="AB463" s="34">
        <v>1</v>
      </c>
      <c r="AC463" s="34">
        <v>1</v>
      </c>
      <c r="AD463" s="34">
        <v>1</v>
      </c>
      <c r="AE463" s="34">
        <v>1</v>
      </c>
      <c r="AF463" s="34">
        <v>1</v>
      </c>
      <c r="AG463" s="34">
        <v>1</v>
      </c>
      <c r="AH463" s="34">
        <v>1</v>
      </c>
      <c r="AI463" s="34">
        <v>1</v>
      </c>
      <c r="AJ463" s="34">
        <v>1</v>
      </c>
      <c r="AK463" s="10">
        <f t="shared" si="27"/>
        <v>13</v>
      </c>
      <c r="AL463" s="11">
        <v>32000</v>
      </c>
      <c r="AM463" s="12">
        <f t="shared" si="25"/>
        <v>416000</v>
      </c>
    </row>
    <row r="464" spans="1:39" ht="13.5" customHeight="1">
      <c r="A464" s="48" t="s">
        <v>84</v>
      </c>
      <c r="B464" s="32">
        <v>31</v>
      </c>
      <c r="C464" s="33" t="s">
        <v>118</v>
      </c>
      <c r="D464" s="33" t="s">
        <v>676</v>
      </c>
      <c r="E464" s="33" t="s">
        <v>317</v>
      </c>
      <c r="F464" s="32" t="s">
        <v>1063</v>
      </c>
      <c r="G464" s="46"/>
      <c r="H464" s="67"/>
      <c r="I464" s="67"/>
      <c r="J464" s="67"/>
      <c r="K464" s="67"/>
      <c r="L464" s="67"/>
      <c r="M464" s="67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34">
        <v>1</v>
      </c>
      <c r="Y464" s="34">
        <v>1</v>
      </c>
      <c r="Z464" s="34">
        <v>1</v>
      </c>
      <c r="AA464" s="34">
        <v>1</v>
      </c>
      <c r="AB464" s="34">
        <v>1</v>
      </c>
      <c r="AC464" s="34">
        <v>1</v>
      </c>
      <c r="AD464" s="34">
        <v>1</v>
      </c>
      <c r="AE464" s="34">
        <v>1</v>
      </c>
      <c r="AF464" s="34">
        <v>1</v>
      </c>
      <c r="AG464" s="34">
        <v>1</v>
      </c>
      <c r="AH464" s="34">
        <v>1</v>
      </c>
      <c r="AI464" s="34">
        <v>1</v>
      </c>
      <c r="AJ464" s="34">
        <v>1</v>
      </c>
      <c r="AK464" s="10">
        <f t="shared" si="27"/>
        <v>13</v>
      </c>
      <c r="AL464" s="11">
        <v>32000</v>
      </c>
      <c r="AM464" s="12">
        <f t="shared" si="24"/>
        <v>416000</v>
      </c>
    </row>
    <row r="465" spans="1:39" ht="13.5" customHeight="1">
      <c r="A465" s="48" t="s">
        <v>84</v>
      </c>
      <c r="B465" s="32">
        <v>33</v>
      </c>
      <c r="C465" s="33" t="s">
        <v>274</v>
      </c>
      <c r="D465" s="33" t="s">
        <v>678</v>
      </c>
      <c r="E465" s="33" t="s">
        <v>679</v>
      </c>
      <c r="F465" s="32" t="s">
        <v>686</v>
      </c>
      <c r="G465" s="46"/>
      <c r="H465" s="67"/>
      <c r="I465" s="67"/>
      <c r="J465" s="67"/>
      <c r="K465" s="67"/>
      <c r="L465" s="67"/>
      <c r="M465" s="67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34">
        <v>1</v>
      </c>
      <c r="Y465" s="34">
        <v>1</v>
      </c>
      <c r="Z465" s="34">
        <v>1</v>
      </c>
      <c r="AA465" s="34">
        <v>1</v>
      </c>
      <c r="AB465" s="34">
        <v>1</v>
      </c>
      <c r="AC465" s="34">
        <v>1</v>
      </c>
      <c r="AD465" s="34">
        <v>1</v>
      </c>
      <c r="AE465" s="34">
        <v>1</v>
      </c>
      <c r="AF465" s="34">
        <v>1</v>
      </c>
      <c r="AG465" s="34">
        <v>1</v>
      </c>
      <c r="AH465" s="34">
        <v>1</v>
      </c>
      <c r="AI465" s="34">
        <v>1</v>
      </c>
      <c r="AJ465" s="34">
        <v>1</v>
      </c>
      <c r="AK465" s="10">
        <f t="shared" si="27"/>
        <v>13</v>
      </c>
      <c r="AL465" s="11">
        <v>32000</v>
      </c>
      <c r="AM465" s="12">
        <f t="shared" si="24"/>
        <v>416000</v>
      </c>
    </row>
    <row r="466" spans="1:39" ht="13.5" customHeight="1">
      <c r="A466" s="48" t="s">
        <v>84</v>
      </c>
      <c r="B466" s="32">
        <v>33</v>
      </c>
      <c r="C466" s="33" t="s">
        <v>619</v>
      </c>
      <c r="D466" s="33" t="s">
        <v>620</v>
      </c>
      <c r="E466" s="33" t="s">
        <v>61</v>
      </c>
      <c r="F466" s="32" t="s">
        <v>621</v>
      </c>
      <c r="G466" s="46"/>
      <c r="H466" s="67"/>
      <c r="I466" s="67"/>
      <c r="J466" s="67"/>
      <c r="K466" s="67"/>
      <c r="L466" s="67"/>
      <c r="M466" s="67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34">
        <v>1</v>
      </c>
      <c r="Y466" s="34">
        <v>1</v>
      </c>
      <c r="Z466" s="34">
        <v>1</v>
      </c>
      <c r="AA466" s="34">
        <v>1</v>
      </c>
      <c r="AB466" s="34">
        <v>1</v>
      </c>
      <c r="AC466" s="34">
        <v>1</v>
      </c>
      <c r="AD466" s="34">
        <v>1</v>
      </c>
      <c r="AE466" s="34">
        <v>1</v>
      </c>
      <c r="AF466" s="34">
        <v>1</v>
      </c>
      <c r="AG466" s="34">
        <v>1</v>
      </c>
      <c r="AH466" s="34">
        <v>1</v>
      </c>
      <c r="AI466" s="34">
        <v>1</v>
      </c>
      <c r="AJ466" s="34">
        <v>1</v>
      </c>
      <c r="AK466" s="10">
        <f t="shared" si="27"/>
        <v>13</v>
      </c>
      <c r="AL466" s="11">
        <v>32000</v>
      </c>
      <c r="AM466" s="12">
        <f t="shared" si="24"/>
        <v>416000</v>
      </c>
    </row>
    <row r="467" spans="1:39" ht="13.5" customHeight="1">
      <c r="A467" s="48" t="s">
        <v>84</v>
      </c>
      <c r="B467" s="32">
        <v>34</v>
      </c>
      <c r="C467" s="33" t="s">
        <v>587</v>
      </c>
      <c r="D467" s="33" t="s">
        <v>290</v>
      </c>
      <c r="E467" s="33" t="s">
        <v>493</v>
      </c>
      <c r="F467" s="32" t="s">
        <v>494</v>
      </c>
      <c r="G467" s="46"/>
      <c r="H467" s="67"/>
      <c r="I467" s="67"/>
      <c r="J467" s="67"/>
      <c r="K467" s="67"/>
      <c r="L467" s="67"/>
      <c r="M467" s="67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34">
        <v>1</v>
      </c>
      <c r="Y467" s="34">
        <v>1</v>
      </c>
      <c r="Z467" s="34">
        <v>1</v>
      </c>
      <c r="AA467" s="34">
        <v>1</v>
      </c>
      <c r="AB467" s="34">
        <v>1</v>
      </c>
      <c r="AC467" s="34">
        <v>1</v>
      </c>
      <c r="AD467" s="34">
        <v>1</v>
      </c>
      <c r="AE467" s="34">
        <v>1</v>
      </c>
      <c r="AF467" s="34">
        <v>1</v>
      </c>
      <c r="AG467" s="34">
        <v>1</v>
      </c>
      <c r="AH467" s="34">
        <v>1</v>
      </c>
      <c r="AI467" s="34">
        <v>1</v>
      </c>
      <c r="AJ467" s="34">
        <v>1</v>
      </c>
      <c r="AK467" s="10">
        <f t="shared" si="27"/>
        <v>13</v>
      </c>
      <c r="AL467" s="11">
        <v>32000</v>
      </c>
      <c r="AM467" s="12">
        <f t="shared" si="24"/>
        <v>416000</v>
      </c>
    </row>
    <row r="468" spans="1:39" ht="13.5" customHeight="1">
      <c r="A468" s="48" t="s">
        <v>84</v>
      </c>
      <c r="B468" s="32">
        <v>34</v>
      </c>
      <c r="C468" s="33" t="s">
        <v>118</v>
      </c>
      <c r="D468" s="33" t="s">
        <v>191</v>
      </c>
      <c r="E468" s="33" t="s">
        <v>192</v>
      </c>
      <c r="F468" s="32" t="s">
        <v>193</v>
      </c>
      <c r="G468" s="46"/>
      <c r="H468" s="67"/>
      <c r="I468" s="67"/>
      <c r="J468" s="67"/>
      <c r="K468" s="67"/>
      <c r="L468" s="67"/>
      <c r="M468" s="67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34">
        <v>1</v>
      </c>
      <c r="Y468" s="34">
        <v>1</v>
      </c>
      <c r="Z468" s="34">
        <v>1</v>
      </c>
      <c r="AA468" s="34">
        <v>1</v>
      </c>
      <c r="AB468" s="34">
        <v>1</v>
      </c>
      <c r="AC468" s="34">
        <v>1</v>
      </c>
      <c r="AD468" s="34">
        <v>1</v>
      </c>
      <c r="AE468" s="34">
        <v>1</v>
      </c>
      <c r="AF468" s="34">
        <v>1</v>
      </c>
      <c r="AG468" s="34">
        <v>1</v>
      </c>
      <c r="AH468" s="34">
        <v>1</v>
      </c>
      <c r="AI468" s="34">
        <v>1</v>
      </c>
      <c r="AJ468" s="34">
        <v>1</v>
      </c>
      <c r="AK468" s="10">
        <f t="shared" si="27"/>
        <v>13</v>
      </c>
      <c r="AL468" s="11">
        <v>32000</v>
      </c>
      <c r="AM468" s="12">
        <f>AL468*AK468</f>
        <v>416000</v>
      </c>
    </row>
    <row r="469" spans="1:39" ht="13.5" customHeight="1">
      <c r="A469" s="48" t="s">
        <v>84</v>
      </c>
      <c r="B469" s="32">
        <v>37</v>
      </c>
      <c r="C469" s="33" t="s">
        <v>10</v>
      </c>
      <c r="D469" s="33" t="s">
        <v>443</v>
      </c>
      <c r="E469" s="33" t="s">
        <v>200</v>
      </c>
      <c r="F469" s="32" t="s">
        <v>444</v>
      </c>
      <c r="G469" s="46"/>
      <c r="H469" s="67"/>
      <c r="I469" s="67"/>
      <c r="J469" s="67"/>
      <c r="K469" s="67"/>
      <c r="L469" s="67"/>
      <c r="M469" s="67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34">
        <v>1</v>
      </c>
      <c r="Y469" s="34">
        <v>1</v>
      </c>
      <c r="Z469" s="34">
        <v>1</v>
      </c>
      <c r="AA469" s="34">
        <v>1</v>
      </c>
      <c r="AB469" s="34">
        <v>1</v>
      </c>
      <c r="AC469" s="34">
        <v>1</v>
      </c>
      <c r="AD469" s="34">
        <v>1</v>
      </c>
      <c r="AE469" s="34">
        <v>1</v>
      </c>
      <c r="AF469" s="34">
        <v>1</v>
      </c>
      <c r="AG469" s="34">
        <v>1</v>
      </c>
      <c r="AH469" s="34">
        <v>1</v>
      </c>
      <c r="AI469" s="34">
        <v>1</v>
      </c>
      <c r="AJ469" s="34">
        <v>1</v>
      </c>
      <c r="AK469" s="10">
        <f t="shared" si="27"/>
        <v>13</v>
      </c>
      <c r="AL469" s="11">
        <v>32000</v>
      </c>
      <c r="AM469" s="12">
        <f>AL469*AK469</f>
        <v>416000</v>
      </c>
    </row>
    <row r="470" spans="1:39" ht="13.5" customHeight="1">
      <c r="A470" s="48" t="s">
        <v>84</v>
      </c>
      <c r="B470" s="32">
        <v>37</v>
      </c>
      <c r="C470" s="33" t="s">
        <v>445</v>
      </c>
      <c r="D470" s="33" t="s">
        <v>366</v>
      </c>
      <c r="E470" s="33" t="s">
        <v>217</v>
      </c>
      <c r="F470" s="32" t="s">
        <v>446</v>
      </c>
      <c r="G470" s="46"/>
      <c r="H470" s="67"/>
      <c r="I470" s="67"/>
      <c r="J470" s="67"/>
      <c r="K470" s="67"/>
      <c r="L470" s="67"/>
      <c r="M470" s="67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34">
        <v>1</v>
      </c>
      <c r="Y470" s="34">
        <v>1</v>
      </c>
      <c r="Z470" s="34">
        <v>1</v>
      </c>
      <c r="AA470" s="34">
        <v>1</v>
      </c>
      <c r="AB470" s="34">
        <v>1</v>
      </c>
      <c r="AC470" s="34">
        <v>1</v>
      </c>
      <c r="AD470" s="34">
        <v>1</v>
      </c>
      <c r="AE470" s="34">
        <v>1</v>
      </c>
      <c r="AF470" s="34">
        <v>1</v>
      </c>
      <c r="AG470" s="34">
        <v>1</v>
      </c>
      <c r="AH470" s="34">
        <v>1</v>
      </c>
      <c r="AI470" s="34">
        <v>1</v>
      </c>
      <c r="AJ470" s="34">
        <v>1</v>
      </c>
      <c r="AK470" s="10">
        <f t="shared" si="27"/>
        <v>13</v>
      </c>
      <c r="AL470" s="11">
        <v>32000</v>
      </c>
      <c r="AM470" s="12">
        <f>AL470*AK470</f>
        <v>416000</v>
      </c>
    </row>
    <row r="471" spans="1:39" ht="13.5" customHeight="1">
      <c r="A471" s="48" t="s">
        <v>84</v>
      </c>
      <c r="B471" s="32">
        <v>38</v>
      </c>
      <c r="C471" s="33" t="s">
        <v>1064</v>
      </c>
      <c r="D471" s="33" t="s">
        <v>898</v>
      </c>
      <c r="E471" s="33" t="s">
        <v>938</v>
      </c>
      <c r="F471" s="32" t="s">
        <v>1065</v>
      </c>
      <c r="G471" s="46"/>
      <c r="H471" s="67"/>
      <c r="I471" s="67"/>
      <c r="J471" s="67"/>
      <c r="K471" s="67"/>
      <c r="L471" s="67"/>
      <c r="M471" s="67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34">
        <v>1</v>
      </c>
      <c r="Y471" s="34">
        <v>1</v>
      </c>
      <c r="Z471" s="34">
        <v>1</v>
      </c>
      <c r="AA471" s="34">
        <v>1</v>
      </c>
      <c r="AB471" s="34">
        <v>1</v>
      </c>
      <c r="AC471" s="34">
        <v>1</v>
      </c>
      <c r="AD471" s="34">
        <v>1</v>
      </c>
      <c r="AE471" s="34">
        <v>1</v>
      </c>
      <c r="AF471" s="34">
        <v>1</v>
      </c>
      <c r="AG471" s="34">
        <v>1</v>
      </c>
      <c r="AH471" s="34">
        <v>1</v>
      </c>
      <c r="AI471" s="34">
        <v>1</v>
      </c>
      <c r="AJ471" s="34">
        <v>1</v>
      </c>
      <c r="AK471" s="10">
        <f t="shared" si="27"/>
        <v>13</v>
      </c>
      <c r="AL471" s="11">
        <v>32000</v>
      </c>
      <c r="AM471" s="12">
        <f>AL471*AK471</f>
        <v>416000</v>
      </c>
    </row>
    <row r="472" spans="1:39" ht="13.5" customHeight="1">
      <c r="A472" s="48" t="s">
        <v>84</v>
      </c>
      <c r="B472" s="32">
        <v>38</v>
      </c>
      <c r="C472" s="33" t="s">
        <v>447</v>
      </c>
      <c r="D472" s="33" t="s">
        <v>331</v>
      </c>
      <c r="E472" s="33" t="s">
        <v>90</v>
      </c>
      <c r="F472" s="32" t="s">
        <v>448</v>
      </c>
      <c r="G472" s="46"/>
      <c r="H472" s="67"/>
      <c r="I472" s="67"/>
      <c r="J472" s="67"/>
      <c r="K472" s="67"/>
      <c r="L472" s="67"/>
      <c r="M472" s="67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34">
        <v>1</v>
      </c>
      <c r="Y472" s="34">
        <v>1</v>
      </c>
      <c r="Z472" s="34">
        <v>1</v>
      </c>
      <c r="AA472" s="34">
        <v>1</v>
      </c>
      <c r="AB472" s="34">
        <v>1</v>
      </c>
      <c r="AC472" s="34">
        <v>1</v>
      </c>
      <c r="AD472" s="34">
        <v>1</v>
      </c>
      <c r="AE472" s="34">
        <v>1</v>
      </c>
      <c r="AF472" s="34">
        <v>1</v>
      </c>
      <c r="AG472" s="34">
        <v>1</v>
      </c>
      <c r="AH472" s="34">
        <v>1</v>
      </c>
      <c r="AI472" s="34">
        <v>1</v>
      </c>
      <c r="AJ472" s="34">
        <v>1</v>
      </c>
      <c r="AK472" s="10">
        <f t="shared" si="27"/>
        <v>13</v>
      </c>
      <c r="AL472" s="11">
        <v>32000</v>
      </c>
      <c r="AM472" s="12">
        <f t="shared" ref="AM472:AM535" si="28">AL472*AK472</f>
        <v>416000</v>
      </c>
    </row>
    <row r="473" spans="1:39" ht="13.5" customHeight="1">
      <c r="A473" s="48" t="s">
        <v>84</v>
      </c>
      <c r="B473" s="32">
        <v>40</v>
      </c>
      <c r="C473" s="33" t="s">
        <v>195</v>
      </c>
      <c r="D473" s="33" t="s">
        <v>282</v>
      </c>
      <c r="E473" s="33" t="s">
        <v>283</v>
      </c>
      <c r="F473" s="32" t="s">
        <v>289</v>
      </c>
      <c r="G473" s="46"/>
      <c r="H473" s="67"/>
      <c r="I473" s="67"/>
      <c r="J473" s="67"/>
      <c r="K473" s="67"/>
      <c r="L473" s="67"/>
      <c r="M473" s="67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34">
        <v>1</v>
      </c>
      <c r="Y473" s="34">
        <v>1</v>
      </c>
      <c r="Z473" s="34">
        <v>1</v>
      </c>
      <c r="AA473" s="34">
        <v>1</v>
      </c>
      <c r="AB473" s="34">
        <v>1</v>
      </c>
      <c r="AC473" s="34">
        <v>1</v>
      </c>
      <c r="AD473" s="34">
        <v>1</v>
      </c>
      <c r="AE473" s="34">
        <v>1</v>
      </c>
      <c r="AF473" s="34">
        <v>1</v>
      </c>
      <c r="AG473" s="34">
        <v>1</v>
      </c>
      <c r="AH473" s="34">
        <v>1</v>
      </c>
      <c r="AI473" s="34">
        <v>1</v>
      </c>
      <c r="AJ473" s="34">
        <v>1</v>
      </c>
      <c r="AK473" s="10">
        <f t="shared" si="27"/>
        <v>13</v>
      </c>
      <c r="AL473" s="11">
        <v>32000</v>
      </c>
      <c r="AM473" s="12">
        <f t="shared" si="28"/>
        <v>416000</v>
      </c>
    </row>
    <row r="474" spans="1:39" ht="13.5" customHeight="1">
      <c r="A474" s="48" t="s">
        <v>84</v>
      </c>
      <c r="B474" s="32">
        <v>40</v>
      </c>
      <c r="C474" s="33" t="s">
        <v>616</v>
      </c>
      <c r="D474" s="33" t="s">
        <v>617</v>
      </c>
      <c r="E474" s="33" t="s">
        <v>609</v>
      </c>
      <c r="F474" s="32" t="s">
        <v>624</v>
      </c>
      <c r="G474" s="46"/>
      <c r="H474" s="67"/>
      <c r="I474" s="67"/>
      <c r="J474" s="67"/>
      <c r="K474" s="67"/>
      <c r="L474" s="67"/>
      <c r="M474" s="67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34">
        <v>1</v>
      </c>
      <c r="Y474" s="34">
        <v>1</v>
      </c>
      <c r="Z474" s="34">
        <v>1</v>
      </c>
      <c r="AA474" s="34">
        <v>1</v>
      </c>
      <c r="AB474" s="34">
        <v>1</v>
      </c>
      <c r="AC474" s="34">
        <v>1</v>
      </c>
      <c r="AD474" s="34">
        <v>1</v>
      </c>
      <c r="AE474" s="34">
        <v>1</v>
      </c>
      <c r="AF474" s="34">
        <v>1</v>
      </c>
      <c r="AG474" s="34">
        <v>1</v>
      </c>
      <c r="AH474" s="34">
        <v>1</v>
      </c>
      <c r="AI474" s="34">
        <v>1</v>
      </c>
      <c r="AJ474" s="34">
        <v>1</v>
      </c>
      <c r="AK474" s="10">
        <f t="shared" si="27"/>
        <v>13</v>
      </c>
      <c r="AL474" s="11">
        <v>32000</v>
      </c>
      <c r="AM474" s="12">
        <f t="shared" si="28"/>
        <v>416000</v>
      </c>
    </row>
    <row r="475" spans="1:39" ht="13.5" customHeight="1">
      <c r="A475" s="48" t="s">
        <v>84</v>
      </c>
      <c r="B475" s="32">
        <v>41</v>
      </c>
      <c r="C475" s="33" t="s">
        <v>618</v>
      </c>
      <c r="D475" s="33" t="s">
        <v>618</v>
      </c>
      <c r="E475" s="33" t="s">
        <v>9</v>
      </c>
      <c r="F475" s="32" t="s">
        <v>623</v>
      </c>
      <c r="G475" s="46"/>
      <c r="H475" s="67"/>
      <c r="I475" s="67"/>
      <c r="J475" s="67"/>
      <c r="K475" s="67"/>
      <c r="L475" s="67"/>
      <c r="M475" s="67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34">
        <v>1</v>
      </c>
      <c r="Y475" s="34">
        <v>1</v>
      </c>
      <c r="Z475" s="34">
        <v>1</v>
      </c>
      <c r="AA475" s="34">
        <v>1</v>
      </c>
      <c r="AB475" s="34">
        <v>1</v>
      </c>
      <c r="AC475" s="34">
        <v>1</v>
      </c>
      <c r="AD475" s="34">
        <v>1</v>
      </c>
      <c r="AE475" s="34">
        <v>1</v>
      </c>
      <c r="AF475" s="34">
        <v>1</v>
      </c>
      <c r="AG475" s="34">
        <v>1</v>
      </c>
      <c r="AH475" s="34">
        <v>1</v>
      </c>
      <c r="AI475" s="34">
        <v>1</v>
      </c>
      <c r="AJ475" s="34">
        <v>1</v>
      </c>
      <c r="AK475" s="10">
        <f t="shared" si="27"/>
        <v>13</v>
      </c>
      <c r="AL475" s="11">
        <v>32000</v>
      </c>
      <c r="AM475" s="12">
        <f t="shared" si="28"/>
        <v>416000</v>
      </c>
    </row>
    <row r="476" spans="1:39" ht="13.5" customHeight="1">
      <c r="A476" s="48" t="s">
        <v>84</v>
      </c>
      <c r="B476" s="32">
        <v>41</v>
      </c>
      <c r="C476" s="33" t="s">
        <v>1066</v>
      </c>
      <c r="D476" s="33" t="s">
        <v>299</v>
      </c>
      <c r="E476" s="33" t="s">
        <v>317</v>
      </c>
      <c r="F476" s="32" t="s">
        <v>622</v>
      </c>
      <c r="G476" s="46"/>
      <c r="H476" s="67"/>
      <c r="I476" s="67"/>
      <c r="J476" s="67"/>
      <c r="K476" s="67"/>
      <c r="L476" s="67"/>
      <c r="M476" s="67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34">
        <v>1</v>
      </c>
      <c r="Y476" s="34">
        <v>1</v>
      </c>
      <c r="Z476" s="34">
        <v>1</v>
      </c>
      <c r="AA476" s="34">
        <v>1</v>
      </c>
      <c r="AB476" s="34">
        <v>1</v>
      </c>
      <c r="AC476" s="34">
        <v>1</v>
      </c>
      <c r="AD476" s="34">
        <v>1</v>
      </c>
      <c r="AE476" s="34">
        <v>1</v>
      </c>
      <c r="AF476" s="34">
        <v>1</v>
      </c>
      <c r="AG476" s="34">
        <v>1</v>
      </c>
      <c r="AH476" s="34">
        <v>1</v>
      </c>
      <c r="AI476" s="34">
        <v>1</v>
      </c>
      <c r="AJ476" s="34">
        <v>1</v>
      </c>
      <c r="AK476" s="10">
        <f t="shared" si="27"/>
        <v>13</v>
      </c>
      <c r="AL476" s="11">
        <v>32000</v>
      </c>
      <c r="AM476" s="12">
        <f t="shared" si="28"/>
        <v>416000</v>
      </c>
    </row>
    <row r="477" spans="1:39" ht="13.5" customHeight="1">
      <c r="A477" s="48" t="s">
        <v>84</v>
      </c>
      <c r="B477" s="32">
        <v>42</v>
      </c>
      <c r="C477" s="33" t="s">
        <v>533</v>
      </c>
      <c r="D477" s="33" t="s">
        <v>534</v>
      </c>
      <c r="E477" s="33" t="s">
        <v>535</v>
      </c>
      <c r="F477" s="32" t="s">
        <v>536</v>
      </c>
      <c r="G477" s="46"/>
      <c r="H477" s="67"/>
      <c r="I477" s="67"/>
      <c r="J477" s="67"/>
      <c r="K477" s="67"/>
      <c r="L477" s="67"/>
      <c r="M477" s="67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34">
        <v>1</v>
      </c>
      <c r="Y477" s="34">
        <v>1</v>
      </c>
      <c r="Z477" s="34">
        <v>1</v>
      </c>
      <c r="AA477" s="34">
        <v>1</v>
      </c>
      <c r="AB477" s="34">
        <v>1</v>
      </c>
      <c r="AC477" s="34">
        <v>1</v>
      </c>
      <c r="AD477" s="34">
        <v>1</v>
      </c>
      <c r="AE477" s="34">
        <v>1</v>
      </c>
      <c r="AF477" s="34">
        <v>1</v>
      </c>
      <c r="AG477" s="34">
        <v>1</v>
      </c>
      <c r="AH477" s="34">
        <v>1</v>
      </c>
      <c r="AI477" s="34">
        <v>1</v>
      </c>
      <c r="AJ477" s="34">
        <v>1</v>
      </c>
      <c r="AK477" s="10">
        <f t="shared" si="27"/>
        <v>13</v>
      </c>
      <c r="AL477" s="11">
        <v>32000</v>
      </c>
      <c r="AM477" s="12">
        <f t="shared" si="28"/>
        <v>416000</v>
      </c>
    </row>
    <row r="478" spans="1:39" ht="13.5" customHeight="1">
      <c r="A478" s="48" t="s">
        <v>84</v>
      </c>
      <c r="B478" s="32">
        <v>42</v>
      </c>
      <c r="C478" s="33" t="s">
        <v>13</v>
      </c>
      <c r="D478" s="33" t="s">
        <v>46</v>
      </c>
      <c r="E478" s="33" t="s">
        <v>23</v>
      </c>
      <c r="F478" s="32" t="s">
        <v>537</v>
      </c>
      <c r="G478" s="46"/>
      <c r="H478" s="67"/>
      <c r="I478" s="67"/>
      <c r="J478" s="67"/>
      <c r="K478" s="67"/>
      <c r="L478" s="67"/>
      <c r="M478" s="67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34">
        <v>1</v>
      </c>
      <c r="Y478" s="34">
        <v>1</v>
      </c>
      <c r="Z478" s="34">
        <v>1</v>
      </c>
      <c r="AA478" s="34">
        <v>1</v>
      </c>
      <c r="AB478" s="34">
        <v>1</v>
      </c>
      <c r="AC478" s="34">
        <v>1</v>
      </c>
      <c r="AD478" s="34">
        <v>1</v>
      </c>
      <c r="AE478" s="34">
        <v>1</v>
      </c>
      <c r="AF478" s="34">
        <v>1</v>
      </c>
      <c r="AG478" s="34">
        <v>1</v>
      </c>
      <c r="AH478" s="34">
        <v>1</v>
      </c>
      <c r="AI478" s="34">
        <v>1</v>
      </c>
      <c r="AJ478" s="34">
        <v>1</v>
      </c>
      <c r="AK478" s="10">
        <f t="shared" si="27"/>
        <v>13</v>
      </c>
      <c r="AL478" s="11">
        <v>32000</v>
      </c>
      <c r="AM478" s="12">
        <f t="shared" si="28"/>
        <v>416000</v>
      </c>
    </row>
    <row r="479" spans="1:39" ht="13.5" customHeight="1">
      <c r="A479" s="48" t="s">
        <v>84</v>
      </c>
      <c r="B479" s="32">
        <v>43</v>
      </c>
      <c r="C479" s="33" t="s">
        <v>346</v>
      </c>
      <c r="D479" s="33" t="s">
        <v>1087</v>
      </c>
      <c r="E479" s="33" t="s">
        <v>1088</v>
      </c>
      <c r="F479" s="32" t="s">
        <v>1089</v>
      </c>
      <c r="G479" s="46"/>
      <c r="H479" s="67"/>
      <c r="I479" s="67"/>
      <c r="J479" s="67"/>
      <c r="K479" s="67"/>
      <c r="L479" s="67"/>
      <c r="M479" s="67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34">
        <v>1</v>
      </c>
      <c r="Y479" s="34">
        <v>1</v>
      </c>
      <c r="Z479" s="34">
        <v>1</v>
      </c>
      <c r="AA479" s="34">
        <v>1</v>
      </c>
      <c r="AB479" s="34">
        <v>1</v>
      </c>
      <c r="AC479" s="34">
        <v>1</v>
      </c>
      <c r="AD479" s="34">
        <v>1</v>
      </c>
      <c r="AE479" s="34">
        <v>1</v>
      </c>
      <c r="AF479" s="34">
        <v>1</v>
      </c>
      <c r="AG479" s="34">
        <v>1</v>
      </c>
      <c r="AH479" s="34">
        <v>1</v>
      </c>
      <c r="AI479" s="34">
        <v>1</v>
      </c>
      <c r="AJ479" s="34">
        <v>1</v>
      </c>
      <c r="AK479" s="10">
        <f t="shared" si="27"/>
        <v>13</v>
      </c>
      <c r="AL479" s="11">
        <v>32000</v>
      </c>
      <c r="AM479" s="12">
        <f t="shared" si="28"/>
        <v>416000</v>
      </c>
    </row>
    <row r="480" spans="1:39" ht="13.5" customHeight="1">
      <c r="A480" s="48" t="s">
        <v>84</v>
      </c>
      <c r="B480" s="32">
        <v>44</v>
      </c>
      <c r="C480" s="33" t="s">
        <v>318</v>
      </c>
      <c r="D480" s="33" t="s">
        <v>318</v>
      </c>
      <c r="E480" s="33" t="s">
        <v>319</v>
      </c>
      <c r="F480" s="32" t="s">
        <v>320</v>
      </c>
      <c r="G480" s="46"/>
      <c r="H480" s="67"/>
      <c r="I480" s="67"/>
      <c r="J480" s="67"/>
      <c r="K480" s="67"/>
      <c r="L480" s="67"/>
      <c r="M480" s="67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34">
        <v>1</v>
      </c>
      <c r="Y480" s="34">
        <v>1</v>
      </c>
      <c r="Z480" s="34">
        <v>1</v>
      </c>
      <c r="AA480" s="34">
        <v>1</v>
      </c>
      <c r="AB480" s="34">
        <v>1</v>
      </c>
      <c r="AC480" s="34">
        <v>1</v>
      </c>
      <c r="AD480" s="34">
        <v>1</v>
      </c>
      <c r="AE480" s="34">
        <v>1</v>
      </c>
      <c r="AF480" s="34">
        <v>1</v>
      </c>
      <c r="AG480" s="34">
        <v>1</v>
      </c>
      <c r="AH480" s="34">
        <v>1</v>
      </c>
      <c r="AI480" s="34">
        <v>1</v>
      </c>
      <c r="AJ480" s="34">
        <v>1</v>
      </c>
      <c r="AK480" s="10">
        <f t="shared" si="27"/>
        <v>13</v>
      </c>
      <c r="AL480" s="11">
        <v>32000</v>
      </c>
      <c r="AM480" s="12">
        <f t="shared" si="28"/>
        <v>416000</v>
      </c>
    </row>
    <row r="481" spans="1:39" ht="13.5" customHeight="1">
      <c r="A481" s="48" t="s">
        <v>84</v>
      </c>
      <c r="B481" s="32">
        <v>44</v>
      </c>
      <c r="C481" s="33" t="s">
        <v>439</v>
      </c>
      <c r="D481" s="33" t="s">
        <v>440</v>
      </c>
      <c r="E481" s="33" t="s">
        <v>441</v>
      </c>
      <c r="F481" s="32" t="s">
        <v>442</v>
      </c>
      <c r="G481" s="46"/>
      <c r="H481" s="67"/>
      <c r="I481" s="67"/>
      <c r="J481" s="67"/>
      <c r="K481" s="67"/>
      <c r="L481" s="67"/>
      <c r="M481" s="67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34">
        <v>1</v>
      </c>
      <c r="Y481" s="34">
        <v>1</v>
      </c>
      <c r="Z481" s="34">
        <v>1</v>
      </c>
      <c r="AA481" s="34">
        <v>1</v>
      </c>
      <c r="AB481" s="34">
        <v>1</v>
      </c>
      <c r="AC481" s="34">
        <v>1</v>
      </c>
      <c r="AD481" s="34">
        <v>1</v>
      </c>
      <c r="AE481" s="34">
        <v>1</v>
      </c>
      <c r="AF481" s="34">
        <v>1</v>
      </c>
      <c r="AG481" s="34">
        <v>1</v>
      </c>
      <c r="AH481" s="34">
        <v>1</v>
      </c>
      <c r="AI481" s="34">
        <v>1</v>
      </c>
      <c r="AJ481" s="34">
        <v>1</v>
      </c>
      <c r="AK481" s="10">
        <f t="shared" si="27"/>
        <v>13</v>
      </c>
      <c r="AL481" s="11">
        <v>32000</v>
      </c>
      <c r="AM481" s="12">
        <f t="shared" si="28"/>
        <v>416000</v>
      </c>
    </row>
    <row r="482" spans="1:39" ht="13.5" customHeight="1">
      <c r="A482" s="48" t="s">
        <v>84</v>
      </c>
      <c r="B482" s="32">
        <v>48</v>
      </c>
      <c r="C482" s="33" t="s">
        <v>286</v>
      </c>
      <c r="D482" s="33" t="s">
        <v>286</v>
      </c>
      <c r="E482" s="33" t="s">
        <v>303</v>
      </c>
      <c r="F482" s="32" t="s">
        <v>552</v>
      </c>
      <c r="G482" s="46"/>
      <c r="H482" s="67"/>
      <c r="I482" s="67"/>
      <c r="J482" s="67"/>
      <c r="K482" s="67"/>
      <c r="L482" s="67"/>
      <c r="M482" s="67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34">
        <v>1</v>
      </c>
      <c r="Y482" s="34">
        <v>1</v>
      </c>
      <c r="Z482" s="34">
        <v>1</v>
      </c>
      <c r="AA482" s="34">
        <v>1</v>
      </c>
      <c r="AB482" s="34">
        <v>1</v>
      </c>
      <c r="AC482" s="34">
        <v>1</v>
      </c>
      <c r="AD482" s="34">
        <v>1</v>
      </c>
      <c r="AE482" s="34">
        <v>1</v>
      </c>
      <c r="AF482" s="34">
        <v>1</v>
      </c>
      <c r="AG482" s="34">
        <v>1</v>
      </c>
      <c r="AH482" s="34">
        <v>1</v>
      </c>
      <c r="AI482" s="34">
        <v>1</v>
      </c>
      <c r="AJ482" s="34">
        <v>1</v>
      </c>
      <c r="AK482" s="10">
        <f t="shared" si="27"/>
        <v>13</v>
      </c>
      <c r="AL482" s="11">
        <v>32000</v>
      </c>
      <c r="AM482" s="12">
        <f t="shared" si="28"/>
        <v>416000</v>
      </c>
    </row>
    <row r="483" spans="1:39" ht="13.5" customHeight="1">
      <c r="A483" s="48" t="s">
        <v>84</v>
      </c>
      <c r="B483" s="32">
        <v>48</v>
      </c>
      <c r="C483" s="33" t="s">
        <v>1090</v>
      </c>
      <c r="D483" s="33" t="s">
        <v>98</v>
      </c>
      <c r="E483" s="33" t="s">
        <v>93</v>
      </c>
      <c r="F483" s="32" t="s">
        <v>99</v>
      </c>
      <c r="G483" s="46"/>
      <c r="H483" s="67"/>
      <c r="I483" s="67"/>
      <c r="J483" s="67"/>
      <c r="K483" s="67"/>
      <c r="L483" s="67"/>
      <c r="M483" s="67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34">
        <v>1</v>
      </c>
      <c r="Y483" s="34">
        <v>1</v>
      </c>
      <c r="Z483" s="34">
        <v>1</v>
      </c>
      <c r="AA483" s="34">
        <v>1</v>
      </c>
      <c r="AB483" s="34">
        <v>1</v>
      </c>
      <c r="AC483" s="34">
        <v>1</v>
      </c>
      <c r="AD483" s="34">
        <v>1</v>
      </c>
      <c r="AE483" s="34">
        <v>1</v>
      </c>
      <c r="AF483" s="34">
        <v>1</v>
      </c>
      <c r="AG483" s="34">
        <v>1</v>
      </c>
      <c r="AH483" s="34">
        <v>1</v>
      </c>
      <c r="AI483" s="34">
        <v>1</v>
      </c>
      <c r="AJ483" s="34">
        <v>1</v>
      </c>
      <c r="AK483" s="10">
        <f t="shared" si="27"/>
        <v>13</v>
      </c>
      <c r="AL483" s="11">
        <v>32000</v>
      </c>
      <c r="AM483" s="12">
        <f t="shared" si="28"/>
        <v>416000</v>
      </c>
    </row>
    <row r="484" spans="1:39" ht="13.5" customHeight="1">
      <c r="A484" s="48" t="s">
        <v>84</v>
      </c>
      <c r="B484" s="32">
        <v>51</v>
      </c>
      <c r="C484" s="33" t="s">
        <v>89</v>
      </c>
      <c r="D484" s="33" t="s">
        <v>177</v>
      </c>
      <c r="E484" s="33" t="s">
        <v>1067</v>
      </c>
      <c r="F484" s="32" t="s">
        <v>586</v>
      </c>
      <c r="G484" s="46"/>
      <c r="H484" s="67"/>
      <c r="I484" s="67"/>
      <c r="J484" s="67"/>
      <c r="K484" s="67"/>
      <c r="L484" s="67"/>
      <c r="M484" s="67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34">
        <v>1</v>
      </c>
      <c r="Y484" s="34">
        <v>1</v>
      </c>
      <c r="Z484" s="34">
        <v>1</v>
      </c>
      <c r="AA484" s="34">
        <v>1</v>
      </c>
      <c r="AB484" s="34">
        <v>1</v>
      </c>
      <c r="AC484" s="34">
        <v>1</v>
      </c>
      <c r="AD484" s="34">
        <v>1</v>
      </c>
      <c r="AE484" s="34">
        <v>1</v>
      </c>
      <c r="AF484" s="34">
        <v>1</v>
      </c>
      <c r="AG484" s="34">
        <v>1</v>
      </c>
      <c r="AH484" s="34">
        <v>1</v>
      </c>
      <c r="AI484" s="34">
        <v>1</v>
      </c>
      <c r="AJ484" s="34">
        <v>1</v>
      </c>
      <c r="AK484" s="10">
        <f t="shared" si="27"/>
        <v>13</v>
      </c>
      <c r="AL484" s="11">
        <v>32000</v>
      </c>
      <c r="AM484" s="12">
        <f t="shared" si="28"/>
        <v>416000</v>
      </c>
    </row>
    <row r="485" spans="1:39" ht="13.5" customHeight="1">
      <c r="A485" s="48" t="s">
        <v>84</v>
      </c>
      <c r="B485" s="32">
        <v>51</v>
      </c>
      <c r="C485" s="33" t="s">
        <v>244</v>
      </c>
      <c r="D485" s="33" t="s">
        <v>1091</v>
      </c>
      <c r="E485" s="33" t="s">
        <v>59</v>
      </c>
      <c r="F485" s="32" t="s">
        <v>1092</v>
      </c>
      <c r="G485" s="46"/>
      <c r="H485" s="67"/>
      <c r="I485" s="67"/>
      <c r="J485" s="67"/>
      <c r="K485" s="67"/>
      <c r="L485" s="67"/>
      <c r="M485" s="67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34">
        <v>1</v>
      </c>
      <c r="Y485" s="34">
        <v>1</v>
      </c>
      <c r="Z485" s="34">
        <v>1</v>
      </c>
      <c r="AA485" s="34">
        <v>1</v>
      </c>
      <c r="AB485" s="34">
        <v>1</v>
      </c>
      <c r="AC485" s="34">
        <v>1</v>
      </c>
      <c r="AD485" s="34">
        <v>1</v>
      </c>
      <c r="AE485" s="34">
        <v>1</v>
      </c>
      <c r="AF485" s="34">
        <v>1</v>
      </c>
      <c r="AG485" s="34">
        <v>1</v>
      </c>
      <c r="AH485" s="34">
        <v>1</v>
      </c>
      <c r="AI485" s="34">
        <v>1</v>
      </c>
      <c r="AJ485" s="34">
        <v>1</v>
      </c>
      <c r="AK485" s="10">
        <f t="shared" si="27"/>
        <v>13</v>
      </c>
      <c r="AL485" s="11">
        <v>32000</v>
      </c>
      <c r="AM485" s="12">
        <f t="shared" si="28"/>
        <v>416000</v>
      </c>
    </row>
    <row r="486" spans="1:39" ht="13.5" customHeight="1">
      <c r="A486" s="48" t="s">
        <v>84</v>
      </c>
      <c r="B486" s="32">
        <v>55</v>
      </c>
      <c r="C486" s="33" t="s">
        <v>265</v>
      </c>
      <c r="D486" s="33" t="s">
        <v>214</v>
      </c>
      <c r="E486" s="33" t="s">
        <v>41</v>
      </c>
      <c r="F486" s="32" t="s">
        <v>579</v>
      </c>
      <c r="G486" s="46"/>
      <c r="H486" s="67"/>
      <c r="I486" s="67"/>
      <c r="J486" s="67"/>
      <c r="K486" s="67"/>
      <c r="L486" s="67"/>
      <c r="M486" s="67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34">
        <v>1</v>
      </c>
      <c r="Y486" s="34">
        <v>1</v>
      </c>
      <c r="Z486" s="34">
        <v>1</v>
      </c>
      <c r="AA486" s="34">
        <v>1</v>
      </c>
      <c r="AB486" s="34">
        <v>1</v>
      </c>
      <c r="AC486" s="34">
        <v>1</v>
      </c>
      <c r="AD486" s="34">
        <v>1</v>
      </c>
      <c r="AE486" s="34">
        <v>1</v>
      </c>
      <c r="AF486" s="34">
        <v>1</v>
      </c>
      <c r="AG486" s="34">
        <v>1</v>
      </c>
      <c r="AH486" s="34">
        <v>1</v>
      </c>
      <c r="AI486" s="34">
        <v>1</v>
      </c>
      <c r="AJ486" s="34">
        <v>1</v>
      </c>
      <c r="AK486" s="10">
        <f t="shared" si="27"/>
        <v>13</v>
      </c>
      <c r="AL486" s="11">
        <v>32000</v>
      </c>
      <c r="AM486" s="12">
        <f t="shared" si="28"/>
        <v>416000</v>
      </c>
    </row>
    <row r="487" spans="1:39" ht="13.5" customHeight="1">
      <c r="A487" s="48" t="s">
        <v>84</v>
      </c>
      <c r="B487" s="32">
        <v>55</v>
      </c>
      <c r="C487" s="33" t="s">
        <v>27</v>
      </c>
      <c r="D487" s="33" t="s">
        <v>20</v>
      </c>
      <c r="E487" s="33" t="s">
        <v>11</v>
      </c>
      <c r="F487" s="32" t="s">
        <v>583</v>
      </c>
      <c r="G487" s="46"/>
      <c r="H487" s="67"/>
      <c r="I487" s="67"/>
      <c r="J487" s="67"/>
      <c r="K487" s="67"/>
      <c r="L487" s="67"/>
      <c r="M487" s="67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34">
        <v>1</v>
      </c>
      <c r="Y487" s="34">
        <v>1</v>
      </c>
      <c r="Z487" s="34">
        <v>1</v>
      </c>
      <c r="AA487" s="34">
        <v>1</v>
      </c>
      <c r="AB487" s="34">
        <v>1</v>
      </c>
      <c r="AC487" s="34">
        <v>1</v>
      </c>
      <c r="AD487" s="34">
        <v>1</v>
      </c>
      <c r="AE487" s="34">
        <v>1</v>
      </c>
      <c r="AF487" s="34">
        <v>1</v>
      </c>
      <c r="AG487" s="34">
        <v>1</v>
      </c>
      <c r="AH487" s="34">
        <v>1</v>
      </c>
      <c r="AI487" s="34">
        <v>1</v>
      </c>
      <c r="AJ487" s="34">
        <v>1</v>
      </c>
      <c r="AK487" s="10">
        <f t="shared" si="27"/>
        <v>13</v>
      </c>
      <c r="AL487" s="11">
        <v>32000</v>
      </c>
      <c r="AM487" s="12">
        <f t="shared" si="28"/>
        <v>416000</v>
      </c>
    </row>
    <row r="488" spans="1:39" ht="13.5" customHeight="1">
      <c r="A488" s="48" t="s">
        <v>84</v>
      </c>
      <c r="B488" s="32">
        <v>57</v>
      </c>
      <c r="C488" s="33" t="s">
        <v>24</v>
      </c>
      <c r="D488" s="33" t="s">
        <v>85</v>
      </c>
      <c r="E488" s="33" t="s">
        <v>86</v>
      </c>
      <c r="F488" s="32" t="s">
        <v>87</v>
      </c>
      <c r="G488" s="46"/>
      <c r="H488" s="67"/>
      <c r="I488" s="67"/>
      <c r="J488" s="67"/>
      <c r="K488" s="67"/>
      <c r="L488" s="67"/>
      <c r="M488" s="67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34">
        <v>1</v>
      </c>
      <c r="Y488" s="34">
        <v>1</v>
      </c>
      <c r="Z488" s="34">
        <v>1</v>
      </c>
      <c r="AA488" s="34">
        <v>1</v>
      </c>
      <c r="AB488" s="34">
        <v>1</v>
      </c>
      <c r="AC488" s="34">
        <v>1</v>
      </c>
      <c r="AD488" s="34">
        <v>1</v>
      </c>
      <c r="AE488" s="34">
        <v>1</v>
      </c>
      <c r="AF488" s="34">
        <v>1</v>
      </c>
      <c r="AG488" s="34">
        <v>1</v>
      </c>
      <c r="AH488" s="34">
        <v>1</v>
      </c>
      <c r="AI488" s="34">
        <v>1</v>
      </c>
      <c r="AJ488" s="34">
        <v>1</v>
      </c>
      <c r="AK488" s="10">
        <f t="shared" si="27"/>
        <v>13</v>
      </c>
      <c r="AL488" s="11">
        <v>32000</v>
      </c>
      <c r="AM488" s="12">
        <f t="shared" si="28"/>
        <v>416000</v>
      </c>
    </row>
    <row r="489" spans="1:39" ht="13.5" customHeight="1">
      <c r="A489" s="48" t="s">
        <v>84</v>
      </c>
      <c r="B489" s="32">
        <v>57</v>
      </c>
      <c r="C489" s="33" t="s">
        <v>529</v>
      </c>
      <c r="D489" s="33" t="s">
        <v>431</v>
      </c>
      <c r="E489" s="33" t="s">
        <v>192</v>
      </c>
      <c r="F489" s="32" t="s">
        <v>565</v>
      </c>
      <c r="G489" s="46"/>
      <c r="H489" s="67"/>
      <c r="I489" s="67"/>
      <c r="J489" s="67"/>
      <c r="K489" s="67"/>
      <c r="L489" s="67"/>
      <c r="M489" s="67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34">
        <v>1</v>
      </c>
      <c r="Y489" s="34">
        <v>1</v>
      </c>
      <c r="Z489" s="34">
        <v>1</v>
      </c>
      <c r="AA489" s="34">
        <v>1</v>
      </c>
      <c r="AB489" s="34">
        <v>1</v>
      </c>
      <c r="AC489" s="34">
        <v>1</v>
      </c>
      <c r="AD489" s="34">
        <v>1</v>
      </c>
      <c r="AE489" s="34">
        <v>1</v>
      </c>
      <c r="AF489" s="34">
        <v>1</v>
      </c>
      <c r="AG489" s="34">
        <v>1</v>
      </c>
      <c r="AH489" s="34">
        <v>1</v>
      </c>
      <c r="AI489" s="34">
        <v>1</v>
      </c>
      <c r="AJ489" s="34">
        <v>1</v>
      </c>
      <c r="AK489" s="10">
        <f t="shared" si="27"/>
        <v>13</v>
      </c>
      <c r="AL489" s="11">
        <v>32000</v>
      </c>
      <c r="AM489" s="12">
        <f t="shared" si="28"/>
        <v>416000</v>
      </c>
    </row>
    <row r="490" spans="1:39" ht="13.5" customHeight="1">
      <c r="A490" s="48" t="s">
        <v>84</v>
      </c>
      <c r="B490" s="32">
        <v>58</v>
      </c>
      <c r="C490" s="33" t="s">
        <v>346</v>
      </c>
      <c r="D490" s="33" t="s">
        <v>346</v>
      </c>
      <c r="E490" s="33" t="s">
        <v>347</v>
      </c>
      <c r="F490" s="32" t="s">
        <v>348</v>
      </c>
      <c r="G490" s="46"/>
      <c r="H490" s="67"/>
      <c r="I490" s="67"/>
      <c r="J490" s="67"/>
      <c r="K490" s="67"/>
      <c r="L490" s="67"/>
      <c r="M490" s="67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34">
        <v>1</v>
      </c>
      <c r="Y490" s="34">
        <v>1</v>
      </c>
      <c r="Z490" s="34">
        <v>1</v>
      </c>
      <c r="AA490" s="34">
        <v>1</v>
      </c>
      <c r="AB490" s="34">
        <v>1</v>
      </c>
      <c r="AC490" s="34">
        <v>1</v>
      </c>
      <c r="AD490" s="34">
        <v>1</v>
      </c>
      <c r="AE490" s="34">
        <v>1</v>
      </c>
      <c r="AF490" s="34">
        <v>1</v>
      </c>
      <c r="AG490" s="34">
        <v>1</v>
      </c>
      <c r="AH490" s="34">
        <v>1</v>
      </c>
      <c r="AI490" s="34">
        <v>1</v>
      </c>
      <c r="AJ490" s="34">
        <v>1</v>
      </c>
      <c r="AK490" s="10">
        <f t="shared" si="27"/>
        <v>13</v>
      </c>
      <c r="AL490" s="11">
        <v>32000</v>
      </c>
      <c r="AM490" s="12">
        <f t="shared" si="28"/>
        <v>416000</v>
      </c>
    </row>
    <row r="491" spans="1:39" ht="13.5" customHeight="1">
      <c r="A491" s="48" t="s">
        <v>84</v>
      </c>
      <c r="B491" s="32">
        <v>58</v>
      </c>
      <c r="C491" s="33" t="s">
        <v>262</v>
      </c>
      <c r="D491" s="33" t="s">
        <v>12</v>
      </c>
      <c r="E491" s="33" t="s">
        <v>15</v>
      </c>
      <c r="F491" s="32" t="s">
        <v>353</v>
      </c>
      <c r="G491" s="46"/>
      <c r="H491" s="67"/>
      <c r="I491" s="67"/>
      <c r="J491" s="67"/>
      <c r="K491" s="67"/>
      <c r="L491" s="67"/>
      <c r="M491" s="67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34">
        <v>1</v>
      </c>
      <c r="Y491" s="34">
        <v>1</v>
      </c>
      <c r="Z491" s="34">
        <v>1</v>
      </c>
      <c r="AA491" s="34">
        <v>1</v>
      </c>
      <c r="AB491" s="34">
        <v>1</v>
      </c>
      <c r="AC491" s="34">
        <v>1</v>
      </c>
      <c r="AD491" s="34">
        <v>1</v>
      </c>
      <c r="AE491" s="34">
        <v>1</v>
      </c>
      <c r="AF491" s="34">
        <v>1</v>
      </c>
      <c r="AG491" s="34">
        <v>1</v>
      </c>
      <c r="AH491" s="34">
        <v>1</v>
      </c>
      <c r="AI491" s="34">
        <v>1</v>
      </c>
      <c r="AJ491" s="34">
        <v>1</v>
      </c>
      <c r="AK491" s="10">
        <f t="shared" si="27"/>
        <v>13</v>
      </c>
      <c r="AL491" s="11">
        <v>32000</v>
      </c>
      <c r="AM491" s="12">
        <f t="shared" si="28"/>
        <v>416000</v>
      </c>
    </row>
    <row r="492" spans="1:39" ht="13.5" customHeight="1">
      <c r="A492" s="48" t="s">
        <v>84</v>
      </c>
      <c r="B492" s="32">
        <v>59</v>
      </c>
      <c r="C492" s="33" t="s">
        <v>449</v>
      </c>
      <c r="D492" s="33" t="s">
        <v>450</v>
      </c>
      <c r="E492" s="33" t="s">
        <v>93</v>
      </c>
      <c r="F492" s="32" t="s">
        <v>451</v>
      </c>
      <c r="G492" s="46"/>
      <c r="H492" s="67"/>
      <c r="I492" s="67"/>
      <c r="J492" s="67"/>
      <c r="K492" s="67"/>
      <c r="L492" s="67"/>
      <c r="M492" s="67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34">
        <v>1</v>
      </c>
      <c r="Y492" s="34">
        <v>1</v>
      </c>
      <c r="Z492" s="34">
        <v>1</v>
      </c>
      <c r="AA492" s="34">
        <v>1</v>
      </c>
      <c r="AB492" s="34">
        <v>1</v>
      </c>
      <c r="AC492" s="34">
        <v>1</v>
      </c>
      <c r="AD492" s="34">
        <v>1</v>
      </c>
      <c r="AE492" s="34">
        <v>1</v>
      </c>
      <c r="AF492" s="34">
        <v>1</v>
      </c>
      <c r="AG492" s="34">
        <v>1</v>
      </c>
      <c r="AH492" s="34">
        <v>1</v>
      </c>
      <c r="AI492" s="34">
        <v>1</v>
      </c>
      <c r="AJ492" s="34">
        <v>1</v>
      </c>
      <c r="AK492" s="10">
        <f t="shared" si="27"/>
        <v>13</v>
      </c>
      <c r="AL492" s="11">
        <v>32000</v>
      </c>
      <c r="AM492" s="12">
        <f t="shared" si="28"/>
        <v>416000</v>
      </c>
    </row>
    <row r="493" spans="1:39" ht="13.5" customHeight="1">
      <c r="A493" s="48" t="s">
        <v>84</v>
      </c>
      <c r="B493" s="32">
        <v>59</v>
      </c>
      <c r="C493" s="33" t="s">
        <v>452</v>
      </c>
      <c r="D493" s="33" t="s">
        <v>453</v>
      </c>
      <c r="E493" s="33" t="s">
        <v>168</v>
      </c>
      <c r="F493" s="32" t="s">
        <v>454</v>
      </c>
      <c r="G493" s="46"/>
      <c r="H493" s="67"/>
      <c r="I493" s="67"/>
      <c r="J493" s="67"/>
      <c r="K493" s="67"/>
      <c r="L493" s="67"/>
      <c r="M493" s="67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34">
        <v>1</v>
      </c>
      <c r="Y493" s="34">
        <v>1</v>
      </c>
      <c r="Z493" s="34">
        <v>1</v>
      </c>
      <c r="AA493" s="34">
        <v>1</v>
      </c>
      <c r="AB493" s="34">
        <v>1</v>
      </c>
      <c r="AC493" s="34">
        <v>1</v>
      </c>
      <c r="AD493" s="34">
        <v>1</v>
      </c>
      <c r="AE493" s="34">
        <v>1</v>
      </c>
      <c r="AF493" s="34">
        <v>1</v>
      </c>
      <c r="AG493" s="34">
        <v>1</v>
      </c>
      <c r="AH493" s="34">
        <v>1</v>
      </c>
      <c r="AI493" s="34">
        <v>1</v>
      </c>
      <c r="AJ493" s="34">
        <v>1</v>
      </c>
      <c r="AK493" s="10">
        <f t="shared" si="27"/>
        <v>13</v>
      </c>
      <c r="AL493" s="11">
        <v>32000</v>
      </c>
      <c r="AM493" s="12">
        <f t="shared" si="28"/>
        <v>416000</v>
      </c>
    </row>
    <row r="494" spans="1:39" ht="13.5" customHeight="1">
      <c r="A494" s="48" t="s">
        <v>84</v>
      </c>
      <c r="B494" s="32">
        <v>61</v>
      </c>
      <c r="C494" s="33" t="s">
        <v>529</v>
      </c>
      <c r="D494" s="33" t="s">
        <v>431</v>
      </c>
      <c r="E494" s="33" t="s">
        <v>259</v>
      </c>
      <c r="F494" s="32" t="s">
        <v>530</v>
      </c>
      <c r="G494" s="46"/>
      <c r="H494" s="67"/>
      <c r="I494" s="67"/>
      <c r="J494" s="67"/>
      <c r="K494" s="67"/>
      <c r="L494" s="67"/>
      <c r="M494" s="67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34">
        <v>1</v>
      </c>
      <c r="Y494" s="34">
        <v>1</v>
      </c>
      <c r="Z494" s="34">
        <v>1</v>
      </c>
      <c r="AA494" s="34">
        <v>1</v>
      </c>
      <c r="AB494" s="34">
        <v>1</v>
      </c>
      <c r="AC494" s="34">
        <v>1</v>
      </c>
      <c r="AD494" s="34">
        <v>1</v>
      </c>
      <c r="AE494" s="34">
        <v>1</v>
      </c>
      <c r="AF494" s="34">
        <v>1</v>
      </c>
      <c r="AG494" s="34">
        <v>1</v>
      </c>
      <c r="AH494" s="34">
        <v>1</v>
      </c>
      <c r="AI494" s="34">
        <v>1</v>
      </c>
      <c r="AJ494" s="34">
        <v>1</v>
      </c>
      <c r="AK494" s="10">
        <f t="shared" si="27"/>
        <v>13</v>
      </c>
      <c r="AL494" s="11">
        <v>32000</v>
      </c>
      <c r="AM494" s="12">
        <f t="shared" si="28"/>
        <v>416000</v>
      </c>
    </row>
    <row r="495" spans="1:39" ht="13.5" customHeight="1">
      <c r="A495" s="48" t="s">
        <v>84</v>
      </c>
      <c r="B495" s="32">
        <v>61</v>
      </c>
      <c r="C495" s="33" t="s">
        <v>88</v>
      </c>
      <c r="D495" s="33" t="s">
        <v>89</v>
      </c>
      <c r="E495" s="33" t="s">
        <v>90</v>
      </c>
      <c r="F495" s="32" t="s">
        <v>91</v>
      </c>
      <c r="G495" s="46"/>
      <c r="H495" s="67"/>
      <c r="I495" s="67"/>
      <c r="J495" s="67"/>
      <c r="K495" s="67"/>
      <c r="L495" s="67"/>
      <c r="M495" s="67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34">
        <v>1</v>
      </c>
      <c r="Y495" s="34">
        <v>1</v>
      </c>
      <c r="Z495" s="34">
        <v>1</v>
      </c>
      <c r="AA495" s="34">
        <v>1</v>
      </c>
      <c r="AB495" s="34">
        <v>1</v>
      </c>
      <c r="AC495" s="34">
        <v>1</v>
      </c>
      <c r="AD495" s="34">
        <v>1</v>
      </c>
      <c r="AE495" s="34">
        <v>1</v>
      </c>
      <c r="AF495" s="34">
        <v>1</v>
      </c>
      <c r="AG495" s="34">
        <v>1</v>
      </c>
      <c r="AH495" s="34">
        <v>1</v>
      </c>
      <c r="AI495" s="34">
        <v>1</v>
      </c>
      <c r="AJ495" s="34">
        <v>1</v>
      </c>
      <c r="AK495" s="10">
        <f t="shared" si="27"/>
        <v>13</v>
      </c>
      <c r="AL495" s="11">
        <v>32000</v>
      </c>
      <c r="AM495" s="12">
        <f t="shared" si="28"/>
        <v>416000</v>
      </c>
    </row>
    <row r="496" spans="1:39" ht="13.5" customHeight="1">
      <c r="A496" s="48" t="s">
        <v>84</v>
      </c>
      <c r="B496" s="32">
        <v>63</v>
      </c>
      <c r="C496" s="33" t="s">
        <v>118</v>
      </c>
      <c r="D496" s="33" t="s">
        <v>18</v>
      </c>
      <c r="E496" s="33" t="s">
        <v>351</v>
      </c>
      <c r="F496" s="32" t="s">
        <v>352</v>
      </c>
      <c r="G496" s="46"/>
      <c r="H496" s="67"/>
      <c r="I496" s="67"/>
      <c r="J496" s="67"/>
      <c r="K496" s="67"/>
      <c r="L496" s="67"/>
      <c r="M496" s="67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34">
        <v>1</v>
      </c>
      <c r="Y496" s="34">
        <v>1</v>
      </c>
      <c r="Z496" s="34">
        <v>1</v>
      </c>
      <c r="AA496" s="34">
        <v>1</v>
      </c>
      <c r="AB496" s="34">
        <v>1</v>
      </c>
      <c r="AC496" s="34">
        <v>1</v>
      </c>
      <c r="AD496" s="34">
        <v>1</v>
      </c>
      <c r="AE496" s="34">
        <v>1</v>
      </c>
      <c r="AF496" s="34">
        <v>1</v>
      </c>
      <c r="AG496" s="34">
        <v>1</v>
      </c>
      <c r="AH496" s="34">
        <v>1</v>
      </c>
      <c r="AI496" s="34">
        <v>1</v>
      </c>
      <c r="AJ496" s="34">
        <v>1</v>
      </c>
      <c r="AK496" s="10">
        <f t="shared" si="27"/>
        <v>13</v>
      </c>
      <c r="AL496" s="11">
        <v>32000</v>
      </c>
      <c r="AM496" s="12">
        <f t="shared" si="28"/>
        <v>416000</v>
      </c>
    </row>
    <row r="497" spans="1:39" ht="13.5" customHeight="1">
      <c r="A497" s="48" t="s">
        <v>84</v>
      </c>
      <c r="B497" s="32">
        <v>63</v>
      </c>
      <c r="C497" s="33" t="s">
        <v>483</v>
      </c>
      <c r="D497" s="33" t="s">
        <v>12</v>
      </c>
      <c r="E497" s="33" t="s">
        <v>1068</v>
      </c>
      <c r="F497" s="32" t="s">
        <v>350</v>
      </c>
      <c r="G497" s="46"/>
      <c r="H497" s="67"/>
      <c r="I497" s="67"/>
      <c r="J497" s="67"/>
      <c r="K497" s="67"/>
      <c r="L497" s="67"/>
      <c r="M497" s="67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34">
        <v>1</v>
      </c>
      <c r="Y497" s="34">
        <v>1</v>
      </c>
      <c r="Z497" s="34">
        <v>1</v>
      </c>
      <c r="AA497" s="34">
        <v>1</v>
      </c>
      <c r="AB497" s="34">
        <v>1</v>
      </c>
      <c r="AC497" s="34">
        <v>1</v>
      </c>
      <c r="AD497" s="34">
        <v>1</v>
      </c>
      <c r="AE497" s="34">
        <v>1</v>
      </c>
      <c r="AF497" s="34">
        <v>1</v>
      </c>
      <c r="AG497" s="34">
        <v>1</v>
      </c>
      <c r="AH497" s="34">
        <v>1</v>
      </c>
      <c r="AI497" s="34">
        <v>1</v>
      </c>
      <c r="AJ497" s="34">
        <v>1</v>
      </c>
      <c r="AK497" s="10">
        <f t="shared" si="27"/>
        <v>13</v>
      </c>
      <c r="AL497" s="11">
        <v>32000</v>
      </c>
      <c r="AM497" s="12">
        <f t="shared" si="28"/>
        <v>416000</v>
      </c>
    </row>
    <row r="498" spans="1:39" ht="13.5" customHeight="1">
      <c r="A498" s="48" t="s">
        <v>84</v>
      </c>
      <c r="B498" s="32">
        <v>66</v>
      </c>
      <c r="C498" s="33" t="s">
        <v>455</v>
      </c>
      <c r="D498" s="33" t="s">
        <v>456</v>
      </c>
      <c r="E498" s="33" t="s">
        <v>29</v>
      </c>
      <c r="F498" s="32" t="s">
        <v>457</v>
      </c>
      <c r="G498" s="46"/>
      <c r="H498" s="67"/>
      <c r="I498" s="67"/>
      <c r="J498" s="67"/>
      <c r="K498" s="67"/>
      <c r="L498" s="67"/>
      <c r="M498" s="67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34">
        <v>1</v>
      </c>
      <c r="Y498" s="34">
        <v>1</v>
      </c>
      <c r="Z498" s="34">
        <v>1</v>
      </c>
      <c r="AA498" s="34">
        <v>1</v>
      </c>
      <c r="AB498" s="34">
        <v>1</v>
      </c>
      <c r="AC498" s="34">
        <v>1</v>
      </c>
      <c r="AD498" s="34">
        <v>1</v>
      </c>
      <c r="AE498" s="34">
        <v>1</v>
      </c>
      <c r="AF498" s="34">
        <v>1</v>
      </c>
      <c r="AG498" s="34">
        <v>1</v>
      </c>
      <c r="AH498" s="34">
        <v>1</v>
      </c>
      <c r="AI498" s="34">
        <v>1</v>
      </c>
      <c r="AJ498" s="34">
        <v>1</v>
      </c>
      <c r="AK498" s="10">
        <f t="shared" si="27"/>
        <v>13</v>
      </c>
      <c r="AL498" s="11">
        <v>32000</v>
      </c>
      <c r="AM498" s="12">
        <f t="shared" si="28"/>
        <v>416000</v>
      </c>
    </row>
    <row r="499" spans="1:39" ht="13.5" customHeight="1">
      <c r="A499" s="48" t="s">
        <v>84</v>
      </c>
      <c r="B499" s="32">
        <v>66</v>
      </c>
      <c r="C499" s="33" t="s">
        <v>542</v>
      </c>
      <c r="D499" s="33" t="s">
        <v>426</v>
      </c>
      <c r="E499" s="33" t="s">
        <v>199</v>
      </c>
      <c r="F499" s="32" t="s">
        <v>543</v>
      </c>
      <c r="G499" s="46"/>
      <c r="H499" s="67"/>
      <c r="I499" s="67"/>
      <c r="J499" s="67"/>
      <c r="K499" s="67"/>
      <c r="L499" s="67"/>
      <c r="M499" s="67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34">
        <v>1</v>
      </c>
      <c r="Y499" s="34">
        <v>1</v>
      </c>
      <c r="Z499" s="34">
        <v>1</v>
      </c>
      <c r="AA499" s="34">
        <v>1</v>
      </c>
      <c r="AB499" s="34">
        <v>1</v>
      </c>
      <c r="AC499" s="34">
        <v>1</v>
      </c>
      <c r="AD499" s="34">
        <v>1</v>
      </c>
      <c r="AE499" s="34">
        <v>1</v>
      </c>
      <c r="AF499" s="34">
        <v>1</v>
      </c>
      <c r="AG499" s="34">
        <v>1</v>
      </c>
      <c r="AH499" s="34">
        <v>1</v>
      </c>
      <c r="AI499" s="34">
        <v>1</v>
      </c>
      <c r="AJ499" s="34">
        <v>1</v>
      </c>
      <c r="AK499" s="10">
        <f t="shared" si="27"/>
        <v>13</v>
      </c>
      <c r="AL499" s="11">
        <v>32000</v>
      </c>
      <c r="AM499" s="12">
        <f t="shared" si="28"/>
        <v>416000</v>
      </c>
    </row>
    <row r="500" spans="1:39" ht="13.5" customHeight="1">
      <c r="A500" s="48" t="s">
        <v>84</v>
      </c>
      <c r="B500" s="32">
        <v>67</v>
      </c>
      <c r="C500" s="33" t="s">
        <v>601</v>
      </c>
      <c r="D500" s="33" t="s">
        <v>290</v>
      </c>
      <c r="E500" s="33" t="s">
        <v>168</v>
      </c>
      <c r="F500" s="32" t="s">
        <v>437</v>
      </c>
      <c r="G500" s="46"/>
      <c r="H500" s="67"/>
      <c r="I500" s="67"/>
      <c r="J500" s="67"/>
      <c r="K500" s="67"/>
      <c r="L500" s="67"/>
      <c r="M500" s="67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34">
        <v>1</v>
      </c>
      <c r="Y500" s="34">
        <v>1</v>
      </c>
      <c r="Z500" s="34">
        <v>1</v>
      </c>
      <c r="AA500" s="34">
        <v>1</v>
      </c>
      <c r="AB500" s="34">
        <v>1</v>
      </c>
      <c r="AC500" s="34">
        <v>1</v>
      </c>
      <c r="AD500" s="34">
        <v>1</v>
      </c>
      <c r="AE500" s="34">
        <v>1</v>
      </c>
      <c r="AF500" s="34">
        <v>1</v>
      </c>
      <c r="AG500" s="34">
        <v>1</v>
      </c>
      <c r="AH500" s="34">
        <v>1</v>
      </c>
      <c r="AI500" s="34">
        <v>1</v>
      </c>
      <c r="AJ500" s="34">
        <v>1</v>
      </c>
      <c r="AK500" s="10">
        <f t="shared" si="27"/>
        <v>13</v>
      </c>
      <c r="AL500" s="11">
        <v>32000</v>
      </c>
      <c r="AM500" s="12">
        <f t="shared" si="28"/>
        <v>416000</v>
      </c>
    </row>
    <row r="501" spans="1:39" ht="13.5" customHeight="1">
      <c r="A501" s="48" t="s">
        <v>84</v>
      </c>
      <c r="B501" s="32">
        <v>67</v>
      </c>
      <c r="C501" s="33" t="s">
        <v>46</v>
      </c>
      <c r="D501" s="33" t="s">
        <v>652</v>
      </c>
      <c r="E501" s="33" t="s">
        <v>653</v>
      </c>
      <c r="F501" s="32" t="s">
        <v>654</v>
      </c>
      <c r="G501" s="46"/>
      <c r="H501" s="67"/>
      <c r="I501" s="67"/>
      <c r="J501" s="67"/>
      <c r="K501" s="67"/>
      <c r="L501" s="67"/>
      <c r="M501" s="67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34">
        <v>1</v>
      </c>
      <c r="Y501" s="34">
        <v>1</v>
      </c>
      <c r="Z501" s="34">
        <v>1</v>
      </c>
      <c r="AA501" s="34">
        <v>1</v>
      </c>
      <c r="AB501" s="34">
        <v>1</v>
      </c>
      <c r="AC501" s="34">
        <v>1</v>
      </c>
      <c r="AD501" s="34">
        <v>1</v>
      </c>
      <c r="AE501" s="34">
        <v>1</v>
      </c>
      <c r="AF501" s="34">
        <v>1</v>
      </c>
      <c r="AG501" s="34">
        <v>1</v>
      </c>
      <c r="AH501" s="34">
        <v>1</v>
      </c>
      <c r="AI501" s="34">
        <v>1</v>
      </c>
      <c r="AJ501" s="34">
        <v>1</v>
      </c>
      <c r="AK501" s="10">
        <f t="shared" si="27"/>
        <v>13</v>
      </c>
      <c r="AL501" s="11">
        <v>32000</v>
      </c>
      <c r="AM501" s="12">
        <f t="shared" si="28"/>
        <v>416000</v>
      </c>
    </row>
    <row r="502" spans="1:39" ht="13.5" customHeight="1">
      <c r="A502" s="48" t="s">
        <v>84</v>
      </c>
      <c r="B502" s="32">
        <v>68</v>
      </c>
      <c r="C502" s="33" t="s">
        <v>316</v>
      </c>
      <c r="D502" s="33" t="s">
        <v>659</v>
      </c>
      <c r="E502" s="33" t="s">
        <v>100</v>
      </c>
      <c r="F502" s="32" t="s">
        <v>666</v>
      </c>
      <c r="G502" s="46"/>
      <c r="H502" s="67"/>
      <c r="I502" s="67"/>
      <c r="J502" s="67"/>
      <c r="K502" s="67"/>
      <c r="L502" s="67"/>
      <c r="M502" s="67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34">
        <v>1</v>
      </c>
      <c r="Y502" s="34">
        <v>1</v>
      </c>
      <c r="Z502" s="34">
        <v>1</v>
      </c>
      <c r="AA502" s="34">
        <v>1</v>
      </c>
      <c r="AB502" s="34">
        <v>1</v>
      </c>
      <c r="AC502" s="34">
        <v>1</v>
      </c>
      <c r="AD502" s="34">
        <v>1</v>
      </c>
      <c r="AE502" s="34">
        <v>1</v>
      </c>
      <c r="AF502" s="34">
        <v>1</v>
      </c>
      <c r="AG502" s="34">
        <v>1</v>
      </c>
      <c r="AH502" s="34">
        <v>1</v>
      </c>
      <c r="AI502" s="34">
        <v>1</v>
      </c>
      <c r="AJ502" s="34">
        <v>1</v>
      </c>
      <c r="AK502" s="10">
        <f t="shared" si="27"/>
        <v>13</v>
      </c>
      <c r="AL502" s="11">
        <v>32000</v>
      </c>
      <c r="AM502" s="12">
        <f t="shared" si="28"/>
        <v>416000</v>
      </c>
    </row>
    <row r="503" spans="1:39" ht="13.5" customHeight="1">
      <c r="A503" s="48" t="s">
        <v>84</v>
      </c>
      <c r="B503" s="32">
        <v>68</v>
      </c>
      <c r="C503" s="33" t="s">
        <v>660</v>
      </c>
      <c r="D503" s="33" t="s">
        <v>661</v>
      </c>
      <c r="E503" s="33" t="s">
        <v>419</v>
      </c>
      <c r="F503" s="32" t="s">
        <v>750</v>
      </c>
      <c r="G503" s="46"/>
      <c r="H503" s="67"/>
      <c r="I503" s="67"/>
      <c r="J503" s="67"/>
      <c r="K503" s="67"/>
      <c r="L503" s="67"/>
      <c r="M503" s="67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34">
        <v>1</v>
      </c>
      <c r="Y503" s="34">
        <v>1</v>
      </c>
      <c r="Z503" s="34">
        <v>1</v>
      </c>
      <c r="AA503" s="34">
        <v>1</v>
      </c>
      <c r="AB503" s="34">
        <v>1</v>
      </c>
      <c r="AC503" s="34">
        <v>1</v>
      </c>
      <c r="AD503" s="34">
        <v>1</v>
      </c>
      <c r="AE503" s="34">
        <v>1</v>
      </c>
      <c r="AF503" s="34">
        <v>1</v>
      </c>
      <c r="AG503" s="34">
        <v>1</v>
      </c>
      <c r="AH503" s="34">
        <v>1</v>
      </c>
      <c r="AI503" s="34">
        <v>1</v>
      </c>
      <c r="AJ503" s="34">
        <v>1</v>
      </c>
      <c r="AK503" s="10">
        <f t="shared" si="27"/>
        <v>13</v>
      </c>
      <c r="AL503" s="11">
        <v>32000</v>
      </c>
      <c r="AM503" s="12">
        <f t="shared" si="28"/>
        <v>416000</v>
      </c>
    </row>
    <row r="504" spans="1:39" ht="13.5" customHeight="1">
      <c r="A504" s="48" t="s">
        <v>84</v>
      </c>
      <c r="B504" s="32">
        <v>69</v>
      </c>
      <c r="C504" s="33" t="s">
        <v>20</v>
      </c>
      <c r="D504" s="33" t="s">
        <v>539</v>
      </c>
      <c r="E504" s="33" t="s">
        <v>540</v>
      </c>
      <c r="F504" s="32" t="s">
        <v>541</v>
      </c>
      <c r="G504" s="46"/>
      <c r="H504" s="67"/>
      <c r="I504" s="67"/>
      <c r="J504" s="67"/>
      <c r="K504" s="67"/>
      <c r="L504" s="67"/>
      <c r="M504" s="67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34">
        <v>1</v>
      </c>
      <c r="Y504" s="34">
        <v>1</v>
      </c>
      <c r="Z504" s="34">
        <v>1</v>
      </c>
      <c r="AA504" s="34">
        <v>1</v>
      </c>
      <c r="AB504" s="34">
        <v>1</v>
      </c>
      <c r="AC504" s="34">
        <v>1</v>
      </c>
      <c r="AD504" s="34">
        <v>1</v>
      </c>
      <c r="AE504" s="34">
        <v>1</v>
      </c>
      <c r="AF504" s="34">
        <v>1</v>
      </c>
      <c r="AG504" s="34">
        <v>1</v>
      </c>
      <c r="AH504" s="34">
        <v>1</v>
      </c>
      <c r="AI504" s="34">
        <v>1</v>
      </c>
      <c r="AJ504" s="34">
        <v>1</v>
      </c>
      <c r="AK504" s="10">
        <f t="shared" si="27"/>
        <v>13</v>
      </c>
      <c r="AL504" s="11">
        <v>32000</v>
      </c>
      <c r="AM504" s="12">
        <f t="shared" si="28"/>
        <v>416000</v>
      </c>
    </row>
    <row r="505" spans="1:39" ht="13.5" customHeight="1">
      <c r="A505" s="48" t="s">
        <v>84</v>
      </c>
      <c r="B505" s="32">
        <v>69</v>
      </c>
      <c r="C505" s="33" t="s">
        <v>606</v>
      </c>
      <c r="D505" s="33" t="s">
        <v>202</v>
      </c>
      <c r="E505" s="33" t="s">
        <v>26</v>
      </c>
      <c r="F505" s="32" t="s">
        <v>1078</v>
      </c>
      <c r="G505" s="46"/>
      <c r="H505" s="67"/>
      <c r="I505" s="67"/>
      <c r="J505" s="67"/>
      <c r="K505" s="67"/>
      <c r="L505" s="67"/>
      <c r="M505" s="67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34">
        <v>1</v>
      </c>
      <c r="Y505" s="34">
        <v>1</v>
      </c>
      <c r="Z505" s="34">
        <v>1</v>
      </c>
      <c r="AA505" s="34">
        <v>1</v>
      </c>
      <c r="AB505" s="34">
        <v>1</v>
      </c>
      <c r="AC505" s="34">
        <v>1</v>
      </c>
      <c r="AD505" s="34">
        <v>1</v>
      </c>
      <c r="AE505" s="34">
        <v>1</v>
      </c>
      <c r="AF505" s="34">
        <v>1</v>
      </c>
      <c r="AG505" s="34">
        <v>1</v>
      </c>
      <c r="AH505" s="34">
        <v>1</v>
      </c>
      <c r="AI505" s="34">
        <v>1</v>
      </c>
      <c r="AJ505" s="34">
        <v>1</v>
      </c>
      <c r="AK505" s="10">
        <f t="shared" si="27"/>
        <v>13</v>
      </c>
      <c r="AL505" s="11">
        <v>32000</v>
      </c>
      <c r="AM505" s="12">
        <f t="shared" si="28"/>
        <v>416000</v>
      </c>
    </row>
    <row r="506" spans="1:39" ht="13.5" customHeight="1">
      <c r="A506" s="48" t="s">
        <v>84</v>
      </c>
      <c r="B506" s="32">
        <v>71</v>
      </c>
      <c r="C506" s="33" t="s">
        <v>663</v>
      </c>
      <c r="D506" s="33" t="s">
        <v>251</v>
      </c>
      <c r="E506" s="33" t="s">
        <v>540</v>
      </c>
      <c r="F506" s="32" t="s">
        <v>664</v>
      </c>
      <c r="G506" s="46"/>
      <c r="H506" s="67"/>
      <c r="I506" s="67"/>
      <c r="J506" s="67"/>
      <c r="K506" s="67"/>
      <c r="L506" s="67"/>
      <c r="M506" s="67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34">
        <v>1</v>
      </c>
      <c r="Y506" s="34">
        <v>1</v>
      </c>
      <c r="Z506" s="34">
        <v>1</v>
      </c>
      <c r="AA506" s="34">
        <v>1</v>
      </c>
      <c r="AB506" s="34">
        <v>1</v>
      </c>
      <c r="AC506" s="34">
        <v>1</v>
      </c>
      <c r="AD506" s="34">
        <v>1</v>
      </c>
      <c r="AE506" s="34">
        <v>1</v>
      </c>
      <c r="AF506" s="34">
        <v>1</v>
      </c>
      <c r="AG506" s="34">
        <v>1</v>
      </c>
      <c r="AH506" s="34">
        <v>1</v>
      </c>
      <c r="AI506" s="34">
        <v>1</v>
      </c>
      <c r="AJ506" s="34">
        <v>1</v>
      </c>
      <c r="AK506" s="10">
        <f t="shared" si="27"/>
        <v>13</v>
      </c>
      <c r="AL506" s="11">
        <v>32000</v>
      </c>
      <c r="AM506" s="12">
        <f t="shared" si="28"/>
        <v>416000</v>
      </c>
    </row>
    <row r="507" spans="1:39" ht="13.5" customHeight="1">
      <c r="A507" s="48" t="s">
        <v>84</v>
      </c>
      <c r="B507" s="32">
        <v>71</v>
      </c>
      <c r="C507" s="33" t="s">
        <v>662</v>
      </c>
      <c r="D507" s="33" t="s">
        <v>55</v>
      </c>
      <c r="E507" s="33" t="s">
        <v>21</v>
      </c>
      <c r="F507" s="32" t="s">
        <v>665</v>
      </c>
      <c r="G507" s="46"/>
      <c r="H507" s="67"/>
      <c r="I507" s="67"/>
      <c r="J507" s="67"/>
      <c r="K507" s="67"/>
      <c r="L507" s="67"/>
      <c r="M507" s="67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34">
        <v>1</v>
      </c>
      <c r="Y507" s="34">
        <v>1</v>
      </c>
      <c r="Z507" s="34">
        <v>1</v>
      </c>
      <c r="AA507" s="34">
        <v>1</v>
      </c>
      <c r="AB507" s="34">
        <v>1</v>
      </c>
      <c r="AC507" s="34">
        <v>1</v>
      </c>
      <c r="AD507" s="34">
        <v>1</v>
      </c>
      <c r="AE507" s="34">
        <v>1</v>
      </c>
      <c r="AF507" s="34">
        <v>1</v>
      </c>
      <c r="AG507" s="34">
        <v>1</v>
      </c>
      <c r="AH507" s="34">
        <v>1</v>
      </c>
      <c r="AI507" s="34">
        <v>1</v>
      </c>
      <c r="AJ507" s="34">
        <v>1</v>
      </c>
      <c r="AK507" s="10">
        <f t="shared" si="27"/>
        <v>13</v>
      </c>
      <c r="AL507" s="11">
        <v>32000</v>
      </c>
      <c r="AM507" s="12">
        <f t="shared" si="28"/>
        <v>416000</v>
      </c>
    </row>
    <row r="508" spans="1:39" ht="13.5" customHeight="1">
      <c r="A508" s="48" t="s">
        <v>84</v>
      </c>
      <c r="B508" s="32">
        <v>72</v>
      </c>
      <c r="C508" s="33" t="s">
        <v>509</v>
      </c>
      <c r="D508" s="33" t="s">
        <v>510</v>
      </c>
      <c r="E508" s="33" t="s">
        <v>64</v>
      </c>
      <c r="F508" s="32" t="s">
        <v>511</v>
      </c>
      <c r="G508" s="46"/>
      <c r="H508" s="67"/>
      <c r="I508" s="67"/>
      <c r="J508" s="67"/>
      <c r="K508" s="67"/>
      <c r="L508" s="67"/>
      <c r="M508" s="67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34">
        <v>1</v>
      </c>
      <c r="Y508" s="34">
        <v>1</v>
      </c>
      <c r="Z508" s="34">
        <v>1</v>
      </c>
      <c r="AA508" s="34">
        <v>1</v>
      </c>
      <c r="AB508" s="34">
        <v>1</v>
      </c>
      <c r="AC508" s="34">
        <v>1</v>
      </c>
      <c r="AD508" s="34">
        <v>1</v>
      </c>
      <c r="AE508" s="34">
        <v>1</v>
      </c>
      <c r="AF508" s="34">
        <v>1</v>
      </c>
      <c r="AG508" s="34">
        <v>1</v>
      </c>
      <c r="AH508" s="34">
        <v>1</v>
      </c>
      <c r="AI508" s="34">
        <v>1</v>
      </c>
      <c r="AJ508" s="34">
        <v>1</v>
      </c>
      <c r="AK508" s="10">
        <f t="shared" si="27"/>
        <v>13</v>
      </c>
      <c r="AL508" s="11">
        <v>32000</v>
      </c>
      <c r="AM508" s="12">
        <f t="shared" si="28"/>
        <v>416000</v>
      </c>
    </row>
    <row r="509" spans="1:39" ht="13.5" customHeight="1">
      <c r="A509" s="48" t="s">
        <v>84</v>
      </c>
      <c r="B509" s="32">
        <v>72</v>
      </c>
      <c r="C509" s="33" t="s">
        <v>257</v>
      </c>
      <c r="D509" s="33" t="s">
        <v>512</v>
      </c>
      <c r="E509" s="33" t="s">
        <v>259</v>
      </c>
      <c r="F509" s="32" t="s">
        <v>513</v>
      </c>
      <c r="G509" s="46"/>
      <c r="H509" s="67"/>
      <c r="I509" s="67"/>
      <c r="J509" s="67"/>
      <c r="K509" s="67"/>
      <c r="L509" s="67"/>
      <c r="M509" s="67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34">
        <v>1</v>
      </c>
      <c r="Y509" s="34">
        <v>1</v>
      </c>
      <c r="Z509" s="34">
        <v>1</v>
      </c>
      <c r="AA509" s="34">
        <v>1</v>
      </c>
      <c r="AB509" s="34">
        <v>1</v>
      </c>
      <c r="AC509" s="34">
        <v>1</v>
      </c>
      <c r="AD509" s="34">
        <v>1</v>
      </c>
      <c r="AE509" s="34">
        <v>1</v>
      </c>
      <c r="AF509" s="34">
        <v>1</v>
      </c>
      <c r="AG509" s="34">
        <v>1</v>
      </c>
      <c r="AH509" s="34">
        <v>1</v>
      </c>
      <c r="AI509" s="34">
        <v>1</v>
      </c>
      <c r="AJ509" s="34">
        <v>1</v>
      </c>
      <c r="AK509" s="10">
        <f t="shared" si="27"/>
        <v>13</v>
      </c>
      <c r="AL509" s="11">
        <v>32000</v>
      </c>
      <c r="AM509" s="12">
        <f t="shared" si="28"/>
        <v>416000</v>
      </c>
    </row>
    <row r="510" spans="1:39" ht="13.5" customHeight="1">
      <c r="A510" s="48" t="s">
        <v>84</v>
      </c>
      <c r="B510" s="32">
        <v>74</v>
      </c>
      <c r="C510" s="33" t="s">
        <v>603</v>
      </c>
      <c r="D510" s="33" t="s">
        <v>604</v>
      </c>
      <c r="E510" s="33" t="s">
        <v>1069</v>
      </c>
      <c r="F510" s="32" t="s">
        <v>585</v>
      </c>
      <c r="G510" s="46"/>
      <c r="H510" s="67"/>
      <c r="I510" s="67"/>
      <c r="J510" s="67"/>
      <c r="K510" s="67"/>
      <c r="L510" s="67"/>
      <c r="M510" s="67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34">
        <v>1</v>
      </c>
      <c r="Y510" s="34">
        <v>1</v>
      </c>
      <c r="Z510" s="34">
        <v>1</v>
      </c>
      <c r="AA510" s="34">
        <v>1</v>
      </c>
      <c r="AB510" s="34">
        <v>1</v>
      </c>
      <c r="AC510" s="34">
        <v>1</v>
      </c>
      <c r="AD510" s="34">
        <v>1</v>
      </c>
      <c r="AE510" s="34">
        <v>1</v>
      </c>
      <c r="AF510" s="34">
        <v>1</v>
      </c>
      <c r="AG510" s="34">
        <v>1</v>
      </c>
      <c r="AH510" s="34">
        <v>1</v>
      </c>
      <c r="AI510" s="34">
        <v>1</v>
      </c>
      <c r="AJ510" s="34">
        <v>1</v>
      </c>
      <c r="AK510" s="10">
        <f t="shared" si="27"/>
        <v>13</v>
      </c>
      <c r="AL510" s="11">
        <v>32000</v>
      </c>
      <c r="AM510" s="12">
        <f t="shared" si="28"/>
        <v>416000</v>
      </c>
    </row>
    <row r="511" spans="1:39" ht="13.5" customHeight="1">
      <c r="A511" s="48" t="s">
        <v>84</v>
      </c>
      <c r="B511" s="32">
        <v>74</v>
      </c>
      <c r="C511" s="33" t="s">
        <v>210</v>
      </c>
      <c r="D511" s="33" t="s">
        <v>210</v>
      </c>
      <c r="E511" s="33" t="s">
        <v>9</v>
      </c>
      <c r="F511" s="32" t="s">
        <v>435</v>
      </c>
      <c r="G511" s="46"/>
      <c r="H511" s="67"/>
      <c r="I511" s="67"/>
      <c r="J511" s="67"/>
      <c r="K511" s="67"/>
      <c r="L511" s="67"/>
      <c r="M511" s="67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34">
        <v>1</v>
      </c>
      <c r="Y511" s="34">
        <v>1</v>
      </c>
      <c r="Z511" s="34">
        <v>1</v>
      </c>
      <c r="AA511" s="34">
        <v>1</v>
      </c>
      <c r="AB511" s="34">
        <v>1</v>
      </c>
      <c r="AC511" s="34">
        <v>1</v>
      </c>
      <c r="AD511" s="34">
        <v>1</v>
      </c>
      <c r="AE511" s="34">
        <v>1</v>
      </c>
      <c r="AF511" s="34">
        <v>1</v>
      </c>
      <c r="AG511" s="34">
        <v>1</v>
      </c>
      <c r="AH511" s="34">
        <v>1</v>
      </c>
      <c r="AI511" s="34">
        <v>1</v>
      </c>
      <c r="AJ511" s="34">
        <v>1</v>
      </c>
      <c r="AK511" s="10">
        <f t="shared" si="27"/>
        <v>13</v>
      </c>
      <c r="AL511" s="11">
        <v>32000</v>
      </c>
      <c r="AM511" s="12">
        <f t="shared" si="28"/>
        <v>416000</v>
      </c>
    </row>
    <row r="512" spans="1:39" ht="13.5" customHeight="1">
      <c r="A512" s="48" t="s">
        <v>84</v>
      </c>
      <c r="B512" s="32">
        <v>79</v>
      </c>
      <c r="C512" s="33" t="s">
        <v>545</v>
      </c>
      <c r="D512" s="33" t="s">
        <v>545</v>
      </c>
      <c r="E512" s="33" t="s">
        <v>312</v>
      </c>
      <c r="F512" s="32" t="s">
        <v>546</v>
      </c>
      <c r="G512" s="46"/>
      <c r="H512" s="67"/>
      <c r="I512" s="67"/>
      <c r="J512" s="67"/>
      <c r="K512" s="67"/>
      <c r="L512" s="67"/>
      <c r="M512" s="67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34">
        <v>1</v>
      </c>
      <c r="Y512" s="34">
        <v>1</v>
      </c>
      <c r="Z512" s="34">
        <v>1</v>
      </c>
      <c r="AA512" s="34">
        <v>1</v>
      </c>
      <c r="AB512" s="34">
        <v>1</v>
      </c>
      <c r="AC512" s="34">
        <v>1</v>
      </c>
      <c r="AD512" s="34">
        <v>1</v>
      </c>
      <c r="AE512" s="34">
        <v>1</v>
      </c>
      <c r="AF512" s="34">
        <v>1</v>
      </c>
      <c r="AG512" s="34">
        <v>1</v>
      </c>
      <c r="AH512" s="34">
        <v>1</v>
      </c>
      <c r="AI512" s="34">
        <v>1</v>
      </c>
      <c r="AJ512" s="34">
        <v>1</v>
      </c>
      <c r="AK512" s="10">
        <f t="shared" si="27"/>
        <v>13</v>
      </c>
      <c r="AL512" s="11">
        <v>32000</v>
      </c>
      <c r="AM512" s="12">
        <f t="shared" si="28"/>
        <v>416000</v>
      </c>
    </row>
    <row r="513" spans="1:39" ht="13.5" customHeight="1">
      <c r="A513" s="48" t="s">
        <v>84</v>
      </c>
      <c r="B513" s="32">
        <v>79</v>
      </c>
      <c r="C513" s="33" t="s">
        <v>547</v>
      </c>
      <c r="D513" s="33" t="s">
        <v>548</v>
      </c>
      <c r="E513" s="33" t="s">
        <v>549</v>
      </c>
      <c r="F513" s="32" t="s">
        <v>550</v>
      </c>
      <c r="G513" s="46"/>
      <c r="H513" s="67"/>
      <c r="I513" s="67"/>
      <c r="J513" s="67"/>
      <c r="K513" s="67"/>
      <c r="L513" s="67"/>
      <c r="M513" s="67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34">
        <v>1</v>
      </c>
      <c r="Y513" s="34">
        <v>1</v>
      </c>
      <c r="Z513" s="34">
        <v>1</v>
      </c>
      <c r="AA513" s="34">
        <v>1</v>
      </c>
      <c r="AB513" s="34">
        <v>1</v>
      </c>
      <c r="AC513" s="34">
        <v>1</v>
      </c>
      <c r="AD513" s="34">
        <v>1</v>
      </c>
      <c r="AE513" s="34">
        <v>1</v>
      </c>
      <c r="AF513" s="34">
        <v>1</v>
      </c>
      <c r="AG513" s="34">
        <v>1</v>
      </c>
      <c r="AH513" s="34">
        <v>1</v>
      </c>
      <c r="AI513" s="34">
        <v>1</v>
      </c>
      <c r="AJ513" s="34">
        <v>1</v>
      </c>
      <c r="AK513" s="10">
        <f t="shared" si="27"/>
        <v>13</v>
      </c>
      <c r="AL513" s="11">
        <v>32000</v>
      </c>
      <c r="AM513" s="12">
        <f t="shared" si="28"/>
        <v>416000</v>
      </c>
    </row>
    <row r="514" spans="1:39" ht="13.5" customHeight="1">
      <c r="A514" s="48" t="s">
        <v>84</v>
      </c>
      <c r="B514" s="32">
        <v>80</v>
      </c>
      <c r="C514" s="33" t="s">
        <v>394</v>
      </c>
      <c r="D514" s="33" t="s">
        <v>514</v>
      </c>
      <c r="E514" s="33" t="s">
        <v>515</v>
      </c>
      <c r="F514" s="32" t="s">
        <v>516</v>
      </c>
      <c r="G514" s="46"/>
      <c r="H514" s="67"/>
      <c r="I514" s="67"/>
      <c r="J514" s="67"/>
      <c r="K514" s="67"/>
      <c r="L514" s="67"/>
      <c r="M514" s="67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34">
        <v>1</v>
      </c>
      <c r="Y514" s="34">
        <v>1</v>
      </c>
      <c r="Z514" s="34">
        <v>1</v>
      </c>
      <c r="AA514" s="34">
        <v>1</v>
      </c>
      <c r="AB514" s="34">
        <v>1</v>
      </c>
      <c r="AC514" s="34">
        <v>1</v>
      </c>
      <c r="AD514" s="34">
        <v>1</v>
      </c>
      <c r="AE514" s="34">
        <v>1</v>
      </c>
      <c r="AF514" s="34">
        <v>1</v>
      </c>
      <c r="AG514" s="34">
        <v>1</v>
      </c>
      <c r="AH514" s="34">
        <v>1</v>
      </c>
      <c r="AI514" s="34">
        <v>1</v>
      </c>
      <c r="AJ514" s="34">
        <v>1</v>
      </c>
      <c r="AK514" s="10">
        <f t="shared" si="27"/>
        <v>13</v>
      </c>
      <c r="AL514" s="11">
        <v>32000</v>
      </c>
      <c r="AM514" s="12">
        <f t="shared" si="28"/>
        <v>416000</v>
      </c>
    </row>
    <row r="515" spans="1:39" ht="13.5" customHeight="1">
      <c r="A515" s="48" t="s">
        <v>84</v>
      </c>
      <c r="B515" s="32">
        <v>80</v>
      </c>
      <c r="C515" s="33" t="s">
        <v>88</v>
      </c>
      <c r="D515" s="33" t="s">
        <v>517</v>
      </c>
      <c r="E515" s="33" t="s">
        <v>9</v>
      </c>
      <c r="F515" s="32" t="s">
        <v>518</v>
      </c>
      <c r="G515" s="46"/>
      <c r="H515" s="67"/>
      <c r="I515" s="67"/>
      <c r="J515" s="67"/>
      <c r="K515" s="67"/>
      <c r="L515" s="67"/>
      <c r="M515" s="67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34">
        <v>1</v>
      </c>
      <c r="Y515" s="34">
        <v>1</v>
      </c>
      <c r="Z515" s="34">
        <v>1</v>
      </c>
      <c r="AA515" s="34">
        <v>1</v>
      </c>
      <c r="AB515" s="34">
        <v>1</v>
      </c>
      <c r="AC515" s="34">
        <v>1</v>
      </c>
      <c r="AD515" s="34">
        <v>1</v>
      </c>
      <c r="AE515" s="34">
        <v>1</v>
      </c>
      <c r="AF515" s="34">
        <v>1</v>
      </c>
      <c r="AG515" s="34">
        <v>1</v>
      </c>
      <c r="AH515" s="34">
        <v>1</v>
      </c>
      <c r="AI515" s="34">
        <v>1</v>
      </c>
      <c r="AJ515" s="34">
        <v>1</v>
      </c>
      <c r="AK515" s="10">
        <f t="shared" si="27"/>
        <v>13</v>
      </c>
      <c r="AL515" s="11">
        <v>32000</v>
      </c>
      <c r="AM515" s="12">
        <f t="shared" si="28"/>
        <v>416000</v>
      </c>
    </row>
    <row r="516" spans="1:39" ht="13.5" customHeight="1">
      <c r="A516" s="48" t="s">
        <v>84</v>
      </c>
      <c r="B516" s="32">
        <v>81</v>
      </c>
      <c r="C516" s="33" t="s">
        <v>63</v>
      </c>
      <c r="D516" s="33" t="s">
        <v>506</v>
      </c>
      <c r="E516" s="33" t="s">
        <v>22</v>
      </c>
      <c r="F516" s="32" t="s">
        <v>507</v>
      </c>
      <c r="G516" s="46"/>
      <c r="H516" s="67"/>
      <c r="I516" s="67"/>
      <c r="J516" s="67"/>
      <c r="K516" s="67"/>
      <c r="L516" s="67"/>
      <c r="M516" s="67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34">
        <v>1</v>
      </c>
      <c r="Y516" s="34">
        <v>1</v>
      </c>
      <c r="Z516" s="34">
        <v>1</v>
      </c>
      <c r="AA516" s="34">
        <v>1</v>
      </c>
      <c r="AB516" s="34">
        <v>1</v>
      </c>
      <c r="AC516" s="34">
        <v>1</v>
      </c>
      <c r="AD516" s="34">
        <v>1</v>
      </c>
      <c r="AE516" s="34">
        <v>1</v>
      </c>
      <c r="AF516" s="34">
        <v>1</v>
      </c>
      <c r="AG516" s="34">
        <v>1</v>
      </c>
      <c r="AH516" s="34">
        <v>1</v>
      </c>
      <c r="AI516" s="34">
        <v>1</v>
      </c>
      <c r="AJ516" s="34">
        <v>1</v>
      </c>
      <c r="AK516" s="10">
        <f t="shared" si="27"/>
        <v>13</v>
      </c>
      <c r="AL516" s="11">
        <v>32000</v>
      </c>
      <c r="AM516" s="12">
        <f t="shared" si="28"/>
        <v>416000</v>
      </c>
    </row>
    <row r="517" spans="1:39" ht="13.5" customHeight="1">
      <c r="A517" s="48" t="s">
        <v>84</v>
      </c>
      <c r="B517" s="32">
        <v>81</v>
      </c>
      <c r="C517" s="33" t="s">
        <v>394</v>
      </c>
      <c r="D517" s="33" t="s">
        <v>430</v>
      </c>
      <c r="E517" s="33" t="s">
        <v>25</v>
      </c>
      <c r="F517" s="32" t="s">
        <v>508</v>
      </c>
      <c r="G517" s="46"/>
      <c r="H517" s="67"/>
      <c r="I517" s="67"/>
      <c r="J517" s="67"/>
      <c r="K517" s="67"/>
      <c r="L517" s="67"/>
      <c r="M517" s="67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34">
        <v>1</v>
      </c>
      <c r="Y517" s="34">
        <v>1</v>
      </c>
      <c r="Z517" s="34">
        <v>1</v>
      </c>
      <c r="AA517" s="34">
        <v>1</v>
      </c>
      <c r="AB517" s="34">
        <v>1</v>
      </c>
      <c r="AC517" s="34">
        <v>1</v>
      </c>
      <c r="AD517" s="34">
        <v>1</v>
      </c>
      <c r="AE517" s="34">
        <v>1</v>
      </c>
      <c r="AF517" s="34">
        <v>1</v>
      </c>
      <c r="AG517" s="34">
        <v>1</v>
      </c>
      <c r="AH517" s="34">
        <v>1</v>
      </c>
      <c r="AI517" s="34">
        <v>1</v>
      </c>
      <c r="AJ517" s="34">
        <v>1</v>
      </c>
      <c r="AK517" s="10">
        <f t="shared" si="27"/>
        <v>13</v>
      </c>
      <c r="AL517" s="11">
        <v>32000</v>
      </c>
      <c r="AM517" s="12">
        <f t="shared" si="28"/>
        <v>416000</v>
      </c>
    </row>
    <row r="518" spans="1:39" ht="13.5" customHeight="1">
      <c r="A518" s="48" t="s">
        <v>84</v>
      </c>
      <c r="B518" s="32">
        <v>83</v>
      </c>
      <c r="C518" s="33" t="s">
        <v>1070</v>
      </c>
      <c r="D518" s="33" t="s">
        <v>1071</v>
      </c>
      <c r="E518" s="33" t="s">
        <v>9</v>
      </c>
      <c r="F518" s="32" t="s">
        <v>460</v>
      </c>
      <c r="G518" s="46"/>
      <c r="H518" s="67"/>
      <c r="I518" s="67"/>
      <c r="J518" s="67"/>
      <c r="K518" s="67"/>
      <c r="L518" s="67"/>
      <c r="M518" s="67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34">
        <v>1</v>
      </c>
      <c r="Y518" s="34">
        <v>1</v>
      </c>
      <c r="Z518" s="34">
        <v>1</v>
      </c>
      <c r="AA518" s="34">
        <v>1</v>
      </c>
      <c r="AB518" s="34">
        <v>1</v>
      </c>
      <c r="AC518" s="34">
        <v>1</v>
      </c>
      <c r="AD518" s="34">
        <v>1</v>
      </c>
      <c r="AE518" s="34">
        <v>1</v>
      </c>
      <c r="AF518" s="34">
        <v>1</v>
      </c>
      <c r="AG518" s="34">
        <v>1</v>
      </c>
      <c r="AH518" s="34">
        <v>1</v>
      </c>
      <c r="AI518" s="34">
        <v>1</v>
      </c>
      <c r="AJ518" s="34">
        <v>1</v>
      </c>
      <c r="AK518" s="10">
        <f t="shared" si="27"/>
        <v>13</v>
      </c>
      <c r="AL518" s="11">
        <v>32000</v>
      </c>
      <c r="AM518" s="12">
        <f t="shared" si="28"/>
        <v>416000</v>
      </c>
    </row>
    <row r="519" spans="1:39" ht="13.5" customHeight="1">
      <c r="A519" s="48" t="s">
        <v>84</v>
      </c>
      <c r="B519" s="32">
        <v>83</v>
      </c>
      <c r="C519" s="33" t="s">
        <v>219</v>
      </c>
      <c r="D519" s="33" t="s">
        <v>381</v>
      </c>
      <c r="E519" s="33" t="s">
        <v>61</v>
      </c>
      <c r="F519" s="32" t="s">
        <v>461</v>
      </c>
      <c r="G519" s="46"/>
      <c r="H519" s="67"/>
      <c r="I519" s="67"/>
      <c r="J519" s="67"/>
      <c r="K519" s="67"/>
      <c r="L519" s="67"/>
      <c r="M519" s="67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34">
        <v>1</v>
      </c>
      <c r="Y519" s="34">
        <v>1</v>
      </c>
      <c r="Z519" s="34">
        <v>1</v>
      </c>
      <c r="AA519" s="34">
        <v>1</v>
      </c>
      <c r="AB519" s="34">
        <v>1</v>
      </c>
      <c r="AC519" s="34">
        <v>1</v>
      </c>
      <c r="AD519" s="34">
        <v>1</v>
      </c>
      <c r="AE519" s="34">
        <v>1</v>
      </c>
      <c r="AF519" s="34">
        <v>1</v>
      </c>
      <c r="AG519" s="34">
        <v>1</v>
      </c>
      <c r="AH519" s="34">
        <v>1</v>
      </c>
      <c r="AI519" s="34">
        <v>1</v>
      </c>
      <c r="AJ519" s="34">
        <v>1</v>
      </c>
      <c r="AK519" s="10">
        <f t="shared" si="27"/>
        <v>13</v>
      </c>
      <c r="AL519" s="11">
        <v>32000</v>
      </c>
      <c r="AM519" s="12">
        <f t="shared" si="28"/>
        <v>416000</v>
      </c>
    </row>
    <row r="520" spans="1:39" ht="13.5" customHeight="1">
      <c r="A520" s="48" t="s">
        <v>84</v>
      </c>
      <c r="B520" s="32">
        <v>84</v>
      </c>
      <c r="C520" s="33" t="s">
        <v>600</v>
      </c>
      <c r="D520" s="33" t="s">
        <v>153</v>
      </c>
      <c r="E520" s="33" t="s">
        <v>25</v>
      </c>
      <c r="F520" s="32" t="s">
        <v>615</v>
      </c>
      <c r="G520" s="46"/>
      <c r="H520" s="67"/>
      <c r="I520" s="67"/>
      <c r="J520" s="67"/>
      <c r="K520" s="67"/>
      <c r="L520" s="67"/>
      <c r="M520" s="67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34">
        <v>1</v>
      </c>
      <c r="Y520" s="34">
        <v>1</v>
      </c>
      <c r="Z520" s="34">
        <v>1</v>
      </c>
      <c r="AA520" s="34">
        <v>1</v>
      </c>
      <c r="AB520" s="34">
        <v>1</v>
      </c>
      <c r="AC520" s="34">
        <v>1</v>
      </c>
      <c r="AD520" s="34">
        <v>1</v>
      </c>
      <c r="AE520" s="34">
        <v>1</v>
      </c>
      <c r="AF520" s="34">
        <v>1</v>
      </c>
      <c r="AG520" s="34">
        <v>1</v>
      </c>
      <c r="AH520" s="34">
        <v>1</v>
      </c>
      <c r="AI520" s="34">
        <v>1</v>
      </c>
      <c r="AJ520" s="34">
        <v>1</v>
      </c>
      <c r="AK520" s="10">
        <f t="shared" si="27"/>
        <v>13</v>
      </c>
      <c r="AL520" s="11">
        <v>32000</v>
      </c>
      <c r="AM520" s="12">
        <f t="shared" si="28"/>
        <v>416000</v>
      </c>
    </row>
    <row r="521" spans="1:39" ht="13.5" customHeight="1">
      <c r="A521" s="48" t="s">
        <v>84</v>
      </c>
      <c r="B521" s="32">
        <v>84</v>
      </c>
      <c r="C521" s="33" t="s">
        <v>118</v>
      </c>
      <c r="D521" s="33" t="s">
        <v>118</v>
      </c>
      <c r="E521" s="33" t="s">
        <v>337</v>
      </c>
      <c r="F521" s="32" t="s">
        <v>528</v>
      </c>
      <c r="G521" s="46"/>
      <c r="H521" s="67"/>
      <c r="I521" s="67"/>
      <c r="J521" s="67"/>
      <c r="K521" s="67"/>
      <c r="L521" s="67"/>
      <c r="M521" s="67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34">
        <v>1</v>
      </c>
      <c r="Y521" s="34">
        <v>1</v>
      </c>
      <c r="Z521" s="34">
        <v>1</v>
      </c>
      <c r="AA521" s="34">
        <v>1</v>
      </c>
      <c r="AB521" s="34">
        <v>1</v>
      </c>
      <c r="AC521" s="34">
        <v>1</v>
      </c>
      <c r="AD521" s="34">
        <v>1</v>
      </c>
      <c r="AE521" s="34">
        <v>1</v>
      </c>
      <c r="AF521" s="34">
        <v>1</v>
      </c>
      <c r="AG521" s="34">
        <v>1</v>
      </c>
      <c r="AH521" s="34">
        <v>1</v>
      </c>
      <c r="AI521" s="34">
        <v>1</v>
      </c>
      <c r="AJ521" s="34">
        <v>1</v>
      </c>
      <c r="AK521" s="10">
        <f t="shared" si="27"/>
        <v>13</v>
      </c>
      <c r="AL521" s="11">
        <v>32000</v>
      </c>
      <c r="AM521" s="12">
        <f t="shared" si="28"/>
        <v>416000</v>
      </c>
    </row>
    <row r="522" spans="1:39" ht="13.5" customHeight="1">
      <c r="A522" s="48" t="s">
        <v>84</v>
      </c>
      <c r="B522" s="32">
        <v>88</v>
      </c>
      <c r="C522" s="33" t="s">
        <v>605</v>
      </c>
      <c r="D522" s="33" t="s">
        <v>1072</v>
      </c>
      <c r="E522" s="33" t="s">
        <v>168</v>
      </c>
      <c r="F522" s="32" t="s">
        <v>608</v>
      </c>
      <c r="G522" s="46"/>
      <c r="H522" s="67"/>
      <c r="I522" s="67"/>
      <c r="J522" s="67"/>
      <c r="K522" s="67"/>
      <c r="L522" s="67"/>
      <c r="M522" s="67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34">
        <v>1</v>
      </c>
      <c r="Y522" s="34">
        <v>1</v>
      </c>
      <c r="Z522" s="34">
        <v>1</v>
      </c>
      <c r="AA522" s="34">
        <v>1</v>
      </c>
      <c r="AB522" s="34">
        <v>1</v>
      </c>
      <c r="AC522" s="34">
        <v>1</v>
      </c>
      <c r="AD522" s="34">
        <v>1</v>
      </c>
      <c r="AE522" s="34">
        <v>1</v>
      </c>
      <c r="AF522" s="34">
        <v>1</v>
      </c>
      <c r="AG522" s="34">
        <v>1</v>
      </c>
      <c r="AH522" s="34">
        <v>1</v>
      </c>
      <c r="AI522" s="34">
        <v>1</v>
      </c>
      <c r="AJ522" s="34">
        <v>1</v>
      </c>
      <c r="AK522" s="10">
        <f t="shared" si="27"/>
        <v>13</v>
      </c>
      <c r="AL522" s="11">
        <v>32000</v>
      </c>
      <c r="AM522" s="12">
        <f t="shared" si="28"/>
        <v>416000</v>
      </c>
    </row>
    <row r="523" spans="1:39" ht="13.5" customHeight="1">
      <c r="A523" s="48" t="s">
        <v>84</v>
      </c>
      <c r="B523" s="32">
        <v>88</v>
      </c>
      <c r="C523" s="33" t="s">
        <v>298</v>
      </c>
      <c r="D523" s="33" t="s">
        <v>201</v>
      </c>
      <c r="E523" s="33" t="s">
        <v>200</v>
      </c>
      <c r="F523" s="32" t="s">
        <v>607</v>
      </c>
      <c r="G523" s="46"/>
      <c r="H523" s="67"/>
      <c r="I523" s="67"/>
      <c r="J523" s="67"/>
      <c r="K523" s="67"/>
      <c r="L523" s="67"/>
      <c r="M523" s="67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34">
        <v>1</v>
      </c>
      <c r="Y523" s="34">
        <v>1</v>
      </c>
      <c r="Z523" s="34">
        <v>1</v>
      </c>
      <c r="AA523" s="34">
        <v>1</v>
      </c>
      <c r="AB523" s="34">
        <v>1</v>
      </c>
      <c r="AC523" s="34">
        <v>1</v>
      </c>
      <c r="AD523" s="34">
        <v>1</v>
      </c>
      <c r="AE523" s="34">
        <v>1</v>
      </c>
      <c r="AF523" s="34">
        <v>1</v>
      </c>
      <c r="AG523" s="34">
        <v>1</v>
      </c>
      <c r="AH523" s="34">
        <v>1</v>
      </c>
      <c r="AI523" s="34">
        <v>1</v>
      </c>
      <c r="AJ523" s="34">
        <v>1</v>
      </c>
      <c r="AK523" s="10">
        <f t="shared" ref="AK523:AK557" si="29">SUM(G523:AJ523)</f>
        <v>13</v>
      </c>
      <c r="AL523" s="11">
        <v>32000</v>
      </c>
      <c r="AM523" s="12">
        <f t="shared" si="28"/>
        <v>416000</v>
      </c>
    </row>
    <row r="524" spans="1:39" ht="13.5" customHeight="1">
      <c r="A524" s="48" t="s">
        <v>84</v>
      </c>
      <c r="B524" s="32">
        <v>90</v>
      </c>
      <c r="C524" s="33" t="s">
        <v>339</v>
      </c>
      <c r="D524" s="33" t="s">
        <v>340</v>
      </c>
      <c r="E524" s="33" t="s">
        <v>215</v>
      </c>
      <c r="F524" s="32" t="s">
        <v>216</v>
      </c>
      <c r="G524" s="46"/>
      <c r="H524" s="67"/>
      <c r="I524" s="67"/>
      <c r="J524" s="67"/>
      <c r="K524" s="67"/>
      <c r="L524" s="67"/>
      <c r="M524" s="67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34">
        <v>1</v>
      </c>
      <c r="Y524" s="34">
        <v>1</v>
      </c>
      <c r="Z524" s="34">
        <v>1</v>
      </c>
      <c r="AA524" s="34">
        <v>1</v>
      </c>
      <c r="AB524" s="34">
        <v>1</v>
      </c>
      <c r="AC524" s="34">
        <v>1</v>
      </c>
      <c r="AD524" s="34">
        <v>1</v>
      </c>
      <c r="AE524" s="34">
        <v>1</v>
      </c>
      <c r="AF524" s="34">
        <v>1</v>
      </c>
      <c r="AG524" s="34">
        <v>1</v>
      </c>
      <c r="AH524" s="34">
        <v>1</v>
      </c>
      <c r="AI524" s="34">
        <v>1</v>
      </c>
      <c r="AJ524" s="34">
        <v>1</v>
      </c>
      <c r="AK524" s="10">
        <f t="shared" si="29"/>
        <v>13</v>
      </c>
      <c r="AL524" s="11">
        <v>32000</v>
      </c>
      <c r="AM524" s="12">
        <f t="shared" si="28"/>
        <v>416000</v>
      </c>
    </row>
    <row r="525" spans="1:39" ht="13.5" customHeight="1">
      <c r="A525" s="48" t="s">
        <v>84</v>
      </c>
      <c r="B525" s="32">
        <v>90</v>
      </c>
      <c r="C525" s="33" t="s">
        <v>341</v>
      </c>
      <c r="D525" s="33" t="s">
        <v>251</v>
      </c>
      <c r="E525" s="33" t="s">
        <v>252</v>
      </c>
      <c r="F525" s="32" t="s">
        <v>253</v>
      </c>
      <c r="G525" s="46"/>
      <c r="H525" s="67"/>
      <c r="I525" s="67"/>
      <c r="J525" s="67"/>
      <c r="K525" s="67"/>
      <c r="L525" s="67"/>
      <c r="M525" s="67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34">
        <v>1</v>
      </c>
      <c r="Y525" s="34">
        <v>1</v>
      </c>
      <c r="Z525" s="34">
        <v>1</v>
      </c>
      <c r="AA525" s="34">
        <v>1</v>
      </c>
      <c r="AB525" s="34">
        <v>1</v>
      </c>
      <c r="AC525" s="34">
        <v>1</v>
      </c>
      <c r="AD525" s="34">
        <v>1</v>
      </c>
      <c r="AE525" s="34">
        <v>1</v>
      </c>
      <c r="AF525" s="34">
        <v>1</v>
      </c>
      <c r="AG525" s="34">
        <v>1</v>
      </c>
      <c r="AH525" s="34">
        <v>1</v>
      </c>
      <c r="AI525" s="34">
        <v>1</v>
      </c>
      <c r="AJ525" s="34">
        <v>1</v>
      </c>
      <c r="AK525" s="10">
        <f t="shared" si="29"/>
        <v>13</v>
      </c>
      <c r="AL525" s="11">
        <v>32000</v>
      </c>
      <c r="AM525" s="12">
        <f t="shared" si="28"/>
        <v>416000</v>
      </c>
    </row>
    <row r="526" spans="1:39" ht="13.5" customHeight="1">
      <c r="A526" s="48" t="s">
        <v>84</v>
      </c>
      <c r="B526" s="32">
        <v>91</v>
      </c>
      <c r="C526" s="33" t="s">
        <v>17</v>
      </c>
      <c r="D526" s="33" t="s">
        <v>10</v>
      </c>
      <c r="E526" s="33" t="s">
        <v>100</v>
      </c>
      <c r="F526" s="32" t="s">
        <v>101</v>
      </c>
      <c r="G526" s="46"/>
      <c r="H526" s="67"/>
      <c r="I526" s="67"/>
      <c r="J526" s="67"/>
      <c r="K526" s="67"/>
      <c r="L526" s="67"/>
      <c r="M526" s="67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34">
        <v>1</v>
      </c>
      <c r="Y526" s="34">
        <v>1</v>
      </c>
      <c r="Z526" s="34">
        <v>1</v>
      </c>
      <c r="AA526" s="34">
        <v>1</v>
      </c>
      <c r="AB526" s="34">
        <v>1</v>
      </c>
      <c r="AC526" s="34">
        <v>1</v>
      </c>
      <c r="AD526" s="34">
        <v>1</v>
      </c>
      <c r="AE526" s="34">
        <v>1</v>
      </c>
      <c r="AF526" s="34">
        <v>1</v>
      </c>
      <c r="AG526" s="34">
        <v>1</v>
      </c>
      <c r="AH526" s="34">
        <v>1</v>
      </c>
      <c r="AI526" s="34">
        <v>1</v>
      </c>
      <c r="AJ526" s="34">
        <v>1</v>
      </c>
      <c r="AK526" s="10">
        <f t="shared" si="29"/>
        <v>13</v>
      </c>
      <c r="AL526" s="11">
        <v>32000</v>
      </c>
      <c r="AM526" s="12">
        <f t="shared" si="28"/>
        <v>416000</v>
      </c>
    </row>
    <row r="527" spans="1:39" ht="13.5" customHeight="1">
      <c r="A527" s="48" t="s">
        <v>84</v>
      </c>
      <c r="B527" s="32">
        <v>91</v>
      </c>
      <c r="C527" s="33" t="s">
        <v>1093</v>
      </c>
      <c r="D527" s="33" t="s">
        <v>153</v>
      </c>
      <c r="E527" s="33" t="s">
        <v>1094</v>
      </c>
      <c r="F527" s="32" t="s">
        <v>1095</v>
      </c>
      <c r="G527" s="46"/>
      <c r="H527" s="67"/>
      <c r="I527" s="67"/>
      <c r="J527" s="67"/>
      <c r="K527" s="67"/>
      <c r="L527" s="67"/>
      <c r="M527" s="67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34">
        <v>1</v>
      </c>
      <c r="Y527" s="34">
        <v>1</v>
      </c>
      <c r="Z527" s="34">
        <v>1</v>
      </c>
      <c r="AA527" s="34">
        <v>1</v>
      </c>
      <c r="AB527" s="34">
        <v>1</v>
      </c>
      <c r="AC527" s="34">
        <v>1</v>
      </c>
      <c r="AD527" s="34">
        <v>1</v>
      </c>
      <c r="AE527" s="34">
        <v>1</v>
      </c>
      <c r="AF527" s="34">
        <v>1</v>
      </c>
      <c r="AG527" s="34">
        <v>1</v>
      </c>
      <c r="AH527" s="34">
        <v>1</v>
      </c>
      <c r="AI527" s="34">
        <v>1</v>
      </c>
      <c r="AJ527" s="34">
        <v>1</v>
      </c>
      <c r="AK527" s="10">
        <f t="shared" si="29"/>
        <v>13</v>
      </c>
      <c r="AL527" s="11">
        <v>32000</v>
      </c>
      <c r="AM527" s="12">
        <f t="shared" si="28"/>
        <v>416000</v>
      </c>
    </row>
    <row r="528" spans="1:39" ht="13.5" customHeight="1">
      <c r="A528" s="48" t="s">
        <v>84</v>
      </c>
      <c r="B528" s="32">
        <v>92</v>
      </c>
      <c r="C528" s="33" t="s">
        <v>500</v>
      </c>
      <c r="D528" s="33" t="s">
        <v>501</v>
      </c>
      <c r="E528" s="33" t="s">
        <v>9</v>
      </c>
      <c r="F528" s="32" t="s">
        <v>502</v>
      </c>
      <c r="G528" s="46"/>
      <c r="H528" s="67"/>
      <c r="I528" s="67"/>
      <c r="J528" s="67"/>
      <c r="K528" s="67"/>
      <c r="L528" s="67"/>
      <c r="M528" s="67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34">
        <v>1</v>
      </c>
      <c r="Y528" s="34">
        <v>1</v>
      </c>
      <c r="Z528" s="34">
        <v>1</v>
      </c>
      <c r="AA528" s="34">
        <v>1</v>
      </c>
      <c r="AB528" s="34">
        <v>1</v>
      </c>
      <c r="AC528" s="34">
        <v>1</v>
      </c>
      <c r="AD528" s="34">
        <v>1</v>
      </c>
      <c r="AE528" s="34">
        <v>1</v>
      </c>
      <c r="AF528" s="34">
        <v>1</v>
      </c>
      <c r="AG528" s="34">
        <v>1</v>
      </c>
      <c r="AH528" s="34">
        <v>1</v>
      </c>
      <c r="AI528" s="34">
        <v>1</v>
      </c>
      <c r="AJ528" s="34">
        <v>1</v>
      </c>
      <c r="AK528" s="10">
        <f t="shared" si="29"/>
        <v>13</v>
      </c>
      <c r="AL528" s="11">
        <v>32000</v>
      </c>
      <c r="AM528" s="12">
        <f t="shared" si="28"/>
        <v>416000</v>
      </c>
    </row>
    <row r="529" spans="1:39" ht="13.5" customHeight="1">
      <c r="A529" s="48" t="s">
        <v>84</v>
      </c>
      <c r="B529" s="32">
        <v>92</v>
      </c>
      <c r="C529" s="33" t="s">
        <v>85</v>
      </c>
      <c r="D529" s="33" t="s">
        <v>122</v>
      </c>
      <c r="E529" s="33" t="s">
        <v>102</v>
      </c>
      <c r="F529" s="32" t="s">
        <v>503</v>
      </c>
      <c r="G529" s="46"/>
      <c r="H529" s="67"/>
      <c r="I529" s="67"/>
      <c r="J529" s="67"/>
      <c r="K529" s="67"/>
      <c r="L529" s="67"/>
      <c r="M529" s="67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34">
        <v>1</v>
      </c>
      <c r="Y529" s="34">
        <v>1</v>
      </c>
      <c r="Z529" s="34">
        <v>1</v>
      </c>
      <c r="AA529" s="34">
        <v>1</v>
      </c>
      <c r="AB529" s="34">
        <v>1</v>
      </c>
      <c r="AC529" s="34">
        <v>1</v>
      </c>
      <c r="AD529" s="34">
        <v>1</v>
      </c>
      <c r="AE529" s="34">
        <v>1</v>
      </c>
      <c r="AF529" s="34">
        <v>1</v>
      </c>
      <c r="AG529" s="34">
        <v>1</v>
      </c>
      <c r="AH529" s="34">
        <v>1</v>
      </c>
      <c r="AI529" s="34">
        <v>1</v>
      </c>
      <c r="AJ529" s="34">
        <v>1</v>
      </c>
      <c r="AK529" s="10">
        <f t="shared" si="29"/>
        <v>13</v>
      </c>
      <c r="AL529" s="11">
        <v>32000</v>
      </c>
      <c r="AM529" s="12">
        <f t="shared" si="28"/>
        <v>416000</v>
      </c>
    </row>
    <row r="530" spans="1:39" ht="13.5" customHeight="1">
      <c r="A530" s="48" t="s">
        <v>84</v>
      </c>
      <c r="B530" s="32">
        <v>93</v>
      </c>
      <c r="C530" s="33" t="s">
        <v>266</v>
      </c>
      <c r="D530" s="33" t="s">
        <v>138</v>
      </c>
      <c r="E530" s="33" t="s">
        <v>649</v>
      </c>
      <c r="F530" s="32" t="s">
        <v>658</v>
      </c>
      <c r="G530" s="46"/>
      <c r="H530" s="67"/>
      <c r="I530" s="67"/>
      <c r="J530" s="67"/>
      <c r="K530" s="67"/>
      <c r="L530" s="67"/>
      <c r="M530" s="67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34">
        <v>1</v>
      </c>
      <c r="Y530" s="34">
        <v>1</v>
      </c>
      <c r="Z530" s="34">
        <v>1</v>
      </c>
      <c r="AA530" s="34">
        <v>1</v>
      </c>
      <c r="AB530" s="34">
        <v>1</v>
      </c>
      <c r="AC530" s="34">
        <v>1</v>
      </c>
      <c r="AD530" s="34">
        <v>1</v>
      </c>
      <c r="AE530" s="34">
        <v>1</v>
      </c>
      <c r="AF530" s="34">
        <v>1</v>
      </c>
      <c r="AG530" s="34">
        <v>1</v>
      </c>
      <c r="AH530" s="34">
        <v>1</v>
      </c>
      <c r="AI530" s="34">
        <v>1</v>
      </c>
      <c r="AJ530" s="34">
        <v>1</v>
      </c>
      <c r="AK530" s="10">
        <f t="shared" si="29"/>
        <v>13</v>
      </c>
      <c r="AL530" s="11">
        <v>32000</v>
      </c>
      <c r="AM530" s="12">
        <f t="shared" si="28"/>
        <v>416000</v>
      </c>
    </row>
    <row r="531" spans="1:39" ht="13.5" customHeight="1">
      <c r="A531" s="48" t="s">
        <v>84</v>
      </c>
      <c r="B531" s="32">
        <v>93</v>
      </c>
      <c r="C531" s="33" t="s">
        <v>20</v>
      </c>
      <c r="D531" s="33" t="s">
        <v>983</v>
      </c>
      <c r="E531" s="33" t="s">
        <v>1096</v>
      </c>
      <c r="F531" s="32" t="s">
        <v>1097</v>
      </c>
      <c r="G531" s="46"/>
      <c r="H531" s="67"/>
      <c r="I531" s="67"/>
      <c r="J531" s="67"/>
      <c r="K531" s="67"/>
      <c r="L531" s="67"/>
      <c r="M531" s="67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34">
        <v>1</v>
      </c>
      <c r="Y531" s="34">
        <v>1</v>
      </c>
      <c r="Z531" s="34">
        <v>1</v>
      </c>
      <c r="AA531" s="34">
        <v>1</v>
      </c>
      <c r="AB531" s="34">
        <v>1</v>
      </c>
      <c r="AC531" s="34">
        <v>1</v>
      </c>
      <c r="AD531" s="34">
        <v>1</v>
      </c>
      <c r="AE531" s="34">
        <v>1</v>
      </c>
      <c r="AF531" s="34">
        <v>1</v>
      </c>
      <c r="AG531" s="34">
        <v>1</v>
      </c>
      <c r="AH531" s="34">
        <v>1</v>
      </c>
      <c r="AI531" s="34">
        <v>1</v>
      </c>
      <c r="AJ531" s="34">
        <v>1</v>
      </c>
      <c r="AK531" s="10">
        <f t="shared" si="29"/>
        <v>13</v>
      </c>
      <c r="AL531" s="11">
        <v>32000</v>
      </c>
      <c r="AM531" s="12">
        <f t="shared" si="28"/>
        <v>416000</v>
      </c>
    </row>
    <row r="532" spans="1:39" ht="13.5" customHeight="1">
      <c r="A532" s="48" t="s">
        <v>84</v>
      </c>
      <c r="B532" s="32">
        <v>96</v>
      </c>
      <c r="C532" s="33" t="s">
        <v>342</v>
      </c>
      <c r="D532" s="33" t="s">
        <v>344</v>
      </c>
      <c r="E532" s="33" t="s">
        <v>187</v>
      </c>
      <c r="F532" s="32" t="s">
        <v>345</v>
      </c>
      <c r="G532" s="46"/>
      <c r="H532" s="67"/>
      <c r="I532" s="67"/>
      <c r="J532" s="67"/>
      <c r="K532" s="67"/>
      <c r="L532" s="67"/>
      <c r="M532" s="67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34">
        <v>1</v>
      </c>
      <c r="Y532" s="34">
        <v>1</v>
      </c>
      <c r="Z532" s="34">
        <v>1</v>
      </c>
      <c r="AA532" s="34">
        <v>1</v>
      </c>
      <c r="AB532" s="34">
        <v>1</v>
      </c>
      <c r="AC532" s="34">
        <v>1</v>
      </c>
      <c r="AD532" s="34">
        <v>1</v>
      </c>
      <c r="AE532" s="34">
        <v>1</v>
      </c>
      <c r="AF532" s="34">
        <v>1</v>
      </c>
      <c r="AG532" s="34">
        <v>1</v>
      </c>
      <c r="AH532" s="34">
        <v>1</v>
      </c>
      <c r="AI532" s="34">
        <v>1</v>
      </c>
      <c r="AJ532" s="34">
        <v>1</v>
      </c>
      <c r="AK532" s="10">
        <f t="shared" si="29"/>
        <v>13</v>
      </c>
      <c r="AL532" s="11">
        <v>32000</v>
      </c>
      <c r="AM532" s="12">
        <f t="shared" si="28"/>
        <v>416000</v>
      </c>
    </row>
    <row r="533" spans="1:39" ht="13.5" customHeight="1">
      <c r="A533" s="48" t="s">
        <v>84</v>
      </c>
      <c r="B533" s="32">
        <v>96</v>
      </c>
      <c r="C533" s="33" t="s">
        <v>342</v>
      </c>
      <c r="D533" s="33" t="s">
        <v>600</v>
      </c>
      <c r="E533" s="33" t="s">
        <v>9</v>
      </c>
      <c r="F533" s="32" t="s">
        <v>255</v>
      </c>
      <c r="G533" s="46"/>
      <c r="H533" s="67"/>
      <c r="I533" s="67"/>
      <c r="J533" s="67"/>
      <c r="K533" s="67"/>
      <c r="L533" s="67"/>
      <c r="M533" s="67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34">
        <v>1</v>
      </c>
      <c r="Y533" s="34">
        <v>1</v>
      </c>
      <c r="Z533" s="34">
        <v>1</v>
      </c>
      <c r="AA533" s="34">
        <v>1</v>
      </c>
      <c r="AB533" s="34">
        <v>1</v>
      </c>
      <c r="AC533" s="34">
        <v>1</v>
      </c>
      <c r="AD533" s="34">
        <v>1</v>
      </c>
      <c r="AE533" s="34">
        <v>1</v>
      </c>
      <c r="AF533" s="34">
        <v>1</v>
      </c>
      <c r="AG533" s="34">
        <v>1</v>
      </c>
      <c r="AH533" s="34">
        <v>1</v>
      </c>
      <c r="AI533" s="34">
        <v>1</v>
      </c>
      <c r="AJ533" s="34">
        <v>1</v>
      </c>
      <c r="AK533" s="10">
        <f t="shared" si="29"/>
        <v>13</v>
      </c>
      <c r="AL533" s="11">
        <v>32000</v>
      </c>
      <c r="AM533" s="12">
        <f t="shared" si="28"/>
        <v>416000</v>
      </c>
    </row>
    <row r="534" spans="1:39" ht="13.5" customHeight="1">
      <c r="A534" s="48" t="s">
        <v>84</v>
      </c>
      <c r="B534" s="32">
        <v>97</v>
      </c>
      <c r="C534" s="33" t="s">
        <v>531</v>
      </c>
      <c r="D534" s="33" t="s">
        <v>89</v>
      </c>
      <c r="E534" s="33" t="s">
        <v>317</v>
      </c>
      <c r="F534" s="32" t="s">
        <v>532</v>
      </c>
      <c r="G534" s="46"/>
      <c r="H534" s="67"/>
      <c r="I534" s="67"/>
      <c r="J534" s="67"/>
      <c r="K534" s="67"/>
      <c r="L534" s="67"/>
      <c r="M534" s="67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34">
        <v>1</v>
      </c>
      <c r="Y534" s="34">
        <v>1</v>
      </c>
      <c r="Z534" s="34">
        <v>1</v>
      </c>
      <c r="AA534" s="34">
        <v>1</v>
      </c>
      <c r="AB534" s="34">
        <v>1</v>
      </c>
      <c r="AC534" s="34">
        <v>1</v>
      </c>
      <c r="AD534" s="34">
        <v>1</v>
      </c>
      <c r="AE534" s="34">
        <v>1</v>
      </c>
      <c r="AF534" s="34">
        <v>1</v>
      </c>
      <c r="AG534" s="34">
        <v>1</v>
      </c>
      <c r="AH534" s="34">
        <v>1</v>
      </c>
      <c r="AI534" s="34">
        <v>1</v>
      </c>
      <c r="AJ534" s="34">
        <v>1</v>
      </c>
      <c r="AK534" s="10">
        <f t="shared" si="29"/>
        <v>13</v>
      </c>
      <c r="AL534" s="11">
        <v>32000</v>
      </c>
      <c r="AM534" s="12">
        <f t="shared" si="28"/>
        <v>416000</v>
      </c>
    </row>
    <row r="535" spans="1:39" ht="13.5" customHeight="1">
      <c r="A535" s="48" t="s">
        <v>84</v>
      </c>
      <c r="B535" s="32">
        <v>97</v>
      </c>
      <c r="C535" s="33" t="s">
        <v>489</v>
      </c>
      <c r="D535" s="33" t="s">
        <v>490</v>
      </c>
      <c r="E535" s="33" t="s">
        <v>64</v>
      </c>
      <c r="F535" s="32" t="s">
        <v>491</v>
      </c>
      <c r="G535" s="46"/>
      <c r="H535" s="67"/>
      <c r="I535" s="67"/>
      <c r="J535" s="67"/>
      <c r="K535" s="67"/>
      <c r="L535" s="67"/>
      <c r="M535" s="67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34">
        <v>1</v>
      </c>
      <c r="Y535" s="34">
        <v>1</v>
      </c>
      <c r="Z535" s="34">
        <v>1</v>
      </c>
      <c r="AA535" s="34">
        <v>1</v>
      </c>
      <c r="AB535" s="34">
        <v>1</v>
      </c>
      <c r="AC535" s="34">
        <v>1</v>
      </c>
      <c r="AD535" s="34">
        <v>1</v>
      </c>
      <c r="AE535" s="34">
        <v>1</v>
      </c>
      <c r="AF535" s="34">
        <v>1</v>
      </c>
      <c r="AG535" s="34">
        <v>1</v>
      </c>
      <c r="AH535" s="34">
        <v>1</v>
      </c>
      <c r="AI535" s="34">
        <v>1</v>
      </c>
      <c r="AJ535" s="34">
        <v>1</v>
      </c>
      <c r="AK535" s="10">
        <f t="shared" si="29"/>
        <v>13</v>
      </c>
      <c r="AL535" s="11">
        <v>32000</v>
      </c>
      <c r="AM535" s="12">
        <f t="shared" si="28"/>
        <v>416000</v>
      </c>
    </row>
    <row r="536" spans="1:39" ht="13.5" customHeight="1">
      <c r="A536" s="48" t="s">
        <v>84</v>
      </c>
      <c r="B536" s="32">
        <v>98</v>
      </c>
      <c r="C536" s="33" t="s">
        <v>354</v>
      </c>
      <c r="D536" s="33" t="s">
        <v>262</v>
      </c>
      <c r="E536" s="33" t="s">
        <v>137</v>
      </c>
      <c r="F536" s="32" t="s">
        <v>356</v>
      </c>
      <c r="G536" s="46"/>
      <c r="H536" s="67"/>
      <c r="I536" s="67"/>
      <c r="J536" s="67"/>
      <c r="K536" s="67"/>
      <c r="L536" s="67"/>
      <c r="M536" s="67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34">
        <v>1</v>
      </c>
      <c r="Y536" s="34">
        <v>1</v>
      </c>
      <c r="Z536" s="34">
        <v>1</v>
      </c>
      <c r="AA536" s="34">
        <v>1</v>
      </c>
      <c r="AB536" s="34">
        <v>1</v>
      </c>
      <c r="AC536" s="34">
        <v>1</v>
      </c>
      <c r="AD536" s="34">
        <v>1</v>
      </c>
      <c r="AE536" s="34">
        <v>1</v>
      </c>
      <c r="AF536" s="34">
        <v>1</v>
      </c>
      <c r="AG536" s="34">
        <v>1</v>
      </c>
      <c r="AH536" s="34">
        <v>1</v>
      </c>
      <c r="AI536" s="34">
        <v>1</v>
      </c>
      <c r="AJ536" s="34">
        <v>1</v>
      </c>
      <c r="AK536" s="10">
        <f t="shared" si="29"/>
        <v>13</v>
      </c>
      <c r="AL536" s="11">
        <v>32000</v>
      </c>
      <c r="AM536" s="12">
        <f t="shared" ref="AM536:AM556" si="30">AL536*AK536</f>
        <v>416000</v>
      </c>
    </row>
    <row r="537" spans="1:39" ht="13.5" customHeight="1">
      <c r="A537" s="48" t="s">
        <v>84</v>
      </c>
      <c r="B537" s="32">
        <v>98</v>
      </c>
      <c r="C537" s="33" t="s">
        <v>357</v>
      </c>
      <c r="D537" s="33" t="s">
        <v>1073</v>
      </c>
      <c r="E537" s="33" t="s">
        <v>15</v>
      </c>
      <c r="F537" s="32" t="s">
        <v>359</v>
      </c>
      <c r="G537" s="46"/>
      <c r="H537" s="67"/>
      <c r="I537" s="67"/>
      <c r="J537" s="67"/>
      <c r="K537" s="67"/>
      <c r="L537" s="67"/>
      <c r="M537" s="67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34">
        <v>1</v>
      </c>
      <c r="Y537" s="34">
        <v>1</v>
      </c>
      <c r="Z537" s="34">
        <v>1</v>
      </c>
      <c r="AA537" s="34">
        <v>1</v>
      </c>
      <c r="AB537" s="34">
        <v>1</v>
      </c>
      <c r="AC537" s="34">
        <v>1</v>
      </c>
      <c r="AD537" s="34">
        <v>1</v>
      </c>
      <c r="AE537" s="34">
        <v>1</v>
      </c>
      <c r="AF537" s="34">
        <v>1</v>
      </c>
      <c r="AG537" s="34">
        <v>1</v>
      </c>
      <c r="AH537" s="34">
        <v>1</v>
      </c>
      <c r="AI537" s="34">
        <v>1</v>
      </c>
      <c r="AJ537" s="34">
        <v>1</v>
      </c>
      <c r="AK537" s="10">
        <f t="shared" si="29"/>
        <v>13</v>
      </c>
      <c r="AL537" s="11">
        <v>32000</v>
      </c>
      <c r="AM537" s="12">
        <f t="shared" si="30"/>
        <v>416000</v>
      </c>
    </row>
    <row r="538" spans="1:39" ht="13.5" customHeight="1">
      <c r="A538" s="48" t="s">
        <v>84</v>
      </c>
      <c r="B538" s="32">
        <v>99</v>
      </c>
      <c r="C538" s="33" t="s">
        <v>363</v>
      </c>
      <c r="D538" s="33" t="s">
        <v>153</v>
      </c>
      <c r="E538" s="33" t="s">
        <v>761</v>
      </c>
      <c r="F538" s="32" t="s">
        <v>1080</v>
      </c>
      <c r="G538" s="46"/>
      <c r="H538" s="67"/>
      <c r="I538" s="67"/>
      <c r="J538" s="67"/>
      <c r="K538" s="67"/>
      <c r="L538" s="67"/>
      <c r="M538" s="67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34">
        <v>1</v>
      </c>
      <c r="Y538" s="34">
        <v>1</v>
      </c>
      <c r="Z538" s="34">
        <v>1</v>
      </c>
      <c r="AA538" s="34">
        <v>1</v>
      </c>
      <c r="AB538" s="34">
        <v>1</v>
      </c>
      <c r="AC538" s="34">
        <v>1</v>
      </c>
      <c r="AD538" s="34">
        <v>1</v>
      </c>
      <c r="AE538" s="34">
        <v>1</v>
      </c>
      <c r="AF538" s="34">
        <v>1</v>
      </c>
      <c r="AG538" s="34">
        <v>1</v>
      </c>
      <c r="AH538" s="34">
        <v>1</v>
      </c>
      <c r="AI538" s="34">
        <v>1</v>
      </c>
      <c r="AJ538" s="34">
        <v>1</v>
      </c>
      <c r="AK538" s="10">
        <f t="shared" si="29"/>
        <v>13</v>
      </c>
      <c r="AL538" s="11">
        <v>32000</v>
      </c>
      <c r="AM538" s="12">
        <f t="shared" si="30"/>
        <v>416000</v>
      </c>
    </row>
    <row r="539" spans="1:39" ht="13.5" customHeight="1">
      <c r="A539" s="48" t="s">
        <v>84</v>
      </c>
      <c r="B539" s="32">
        <v>99</v>
      </c>
      <c r="C539" s="33" t="s">
        <v>825</v>
      </c>
      <c r="D539" s="33" t="s">
        <v>1077</v>
      </c>
      <c r="E539" s="33" t="s">
        <v>590</v>
      </c>
      <c r="F539" s="32" t="s">
        <v>1081</v>
      </c>
      <c r="G539" s="46"/>
      <c r="H539" s="67"/>
      <c r="I539" s="67"/>
      <c r="J539" s="67"/>
      <c r="K539" s="67"/>
      <c r="L539" s="67"/>
      <c r="M539" s="67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34">
        <v>1</v>
      </c>
      <c r="Y539" s="34">
        <v>1</v>
      </c>
      <c r="Z539" s="34">
        <v>1</v>
      </c>
      <c r="AA539" s="34">
        <v>1</v>
      </c>
      <c r="AB539" s="34">
        <v>1</v>
      </c>
      <c r="AC539" s="34">
        <v>1</v>
      </c>
      <c r="AD539" s="34">
        <v>1</v>
      </c>
      <c r="AE539" s="34">
        <v>1</v>
      </c>
      <c r="AF539" s="34">
        <v>1</v>
      </c>
      <c r="AG539" s="34">
        <v>1</v>
      </c>
      <c r="AH539" s="34">
        <v>1</v>
      </c>
      <c r="AI539" s="34">
        <v>1</v>
      </c>
      <c r="AJ539" s="34">
        <v>1</v>
      </c>
      <c r="AK539" s="10">
        <f t="shared" si="29"/>
        <v>13</v>
      </c>
      <c r="AL539" s="11">
        <v>32000</v>
      </c>
      <c r="AM539" s="12">
        <f t="shared" si="30"/>
        <v>416000</v>
      </c>
    </row>
    <row r="540" spans="1:39" ht="13.5" customHeight="1">
      <c r="A540" s="48" t="s">
        <v>84</v>
      </c>
      <c r="B540" s="32">
        <v>100</v>
      </c>
      <c r="C540" s="33" t="s">
        <v>471</v>
      </c>
      <c r="D540" s="33" t="s">
        <v>302</v>
      </c>
      <c r="E540" s="33" t="s">
        <v>41</v>
      </c>
      <c r="F540" s="32" t="s">
        <v>472</v>
      </c>
      <c r="G540" s="46"/>
      <c r="H540" s="67"/>
      <c r="I540" s="67"/>
      <c r="J540" s="67"/>
      <c r="K540" s="67"/>
      <c r="L540" s="67"/>
      <c r="M540" s="67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34">
        <v>1</v>
      </c>
      <c r="Y540" s="34">
        <v>1</v>
      </c>
      <c r="Z540" s="34">
        <v>1</v>
      </c>
      <c r="AA540" s="34">
        <v>1</v>
      </c>
      <c r="AB540" s="34">
        <v>1</v>
      </c>
      <c r="AC540" s="34">
        <v>1</v>
      </c>
      <c r="AD540" s="34">
        <v>1</v>
      </c>
      <c r="AE540" s="34">
        <v>1</v>
      </c>
      <c r="AF540" s="34">
        <v>1</v>
      </c>
      <c r="AG540" s="34">
        <v>1</v>
      </c>
      <c r="AH540" s="34">
        <v>1</v>
      </c>
      <c r="AI540" s="34">
        <v>1</v>
      </c>
      <c r="AJ540" s="34">
        <v>1</v>
      </c>
      <c r="AK540" s="10">
        <f t="shared" si="29"/>
        <v>13</v>
      </c>
      <c r="AL540" s="11">
        <v>32000</v>
      </c>
      <c r="AM540" s="12">
        <f t="shared" si="30"/>
        <v>416000</v>
      </c>
    </row>
    <row r="541" spans="1:39" ht="13.5" customHeight="1">
      <c r="A541" s="48" t="s">
        <v>84</v>
      </c>
      <c r="B541" s="32">
        <v>100</v>
      </c>
      <c r="C541" s="33" t="s">
        <v>504</v>
      </c>
      <c r="D541" s="33" t="s">
        <v>130</v>
      </c>
      <c r="E541" s="33" t="s">
        <v>11</v>
      </c>
      <c r="F541" s="32" t="s">
        <v>505</v>
      </c>
      <c r="G541" s="46"/>
      <c r="H541" s="67"/>
      <c r="I541" s="67"/>
      <c r="J541" s="67"/>
      <c r="K541" s="67"/>
      <c r="L541" s="67"/>
      <c r="M541" s="67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34">
        <v>1</v>
      </c>
      <c r="Y541" s="34">
        <v>1</v>
      </c>
      <c r="Z541" s="34">
        <v>1</v>
      </c>
      <c r="AA541" s="34">
        <v>1</v>
      </c>
      <c r="AB541" s="34">
        <v>1</v>
      </c>
      <c r="AC541" s="34">
        <v>1</v>
      </c>
      <c r="AD541" s="34">
        <v>1</v>
      </c>
      <c r="AE541" s="34">
        <v>1</v>
      </c>
      <c r="AF541" s="34">
        <v>1</v>
      </c>
      <c r="AG541" s="34">
        <v>1</v>
      </c>
      <c r="AH541" s="34">
        <v>1</v>
      </c>
      <c r="AI541" s="34">
        <v>1</v>
      </c>
      <c r="AJ541" s="34">
        <v>1</v>
      </c>
      <c r="AK541" s="10">
        <f t="shared" si="29"/>
        <v>13</v>
      </c>
      <c r="AL541" s="11">
        <v>32000</v>
      </c>
      <c r="AM541" s="12">
        <f t="shared" si="30"/>
        <v>416000</v>
      </c>
    </row>
    <row r="542" spans="1:39" ht="13.5" customHeight="1">
      <c r="A542" s="48" t="s">
        <v>84</v>
      </c>
      <c r="B542" s="32">
        <v>101</v>
      </c>
      <c r="C542" s="33" t="s">
        <v>650</v>
      </c>
      <c r="D542" s="33" t="s">
        <v>363</v>
      </c>
      <c r="E542" s="33" t="s">
        <v>29</v>
      </c>
      <c r="F542" s="32" t="s">
        <v>657</v>
      </c>
      <c r="G542" s="46"/>
      <c r="H542" s="67"/>
      <c r="I542" s="67"/>
      <c r="J542" s="67"/>
      <c r="K542" s="67"/>
      <c r="L542" s="67"/>
      <c r="M542" s="67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34">
        <v>1</v>
      </c>
      <c r="Y542" s="34">
        <v>1</v>
      </c>
      <c r="Z542" s="34">
        <v>1</v>
      </c>
      <c r="AA542" s="34">
        <v>1</v>
      </c>
      <c r="AB542" s="34">
        <v>1</v>
      </c>
      <c r="AC542" s="34">
        <v>1</v>
      </c>
      <c r="AD542" s="34">
        <v>1</v>
      </c>
      <c r="AE542" s="34">
        <v>1</v>
      </c>
      <c r="AF542" s="34">
        <v>1</v>
      </c>
      <c r="AG542" s="34">
        <v>1</v>
      </c>
      <c r="AH542" s="34">
        <v>1</v>
      </c>
      <c r="AI542" s="34">
        <v>1</v>
      </c>
      <c r="AJ542" s="34">
        <v>1</v>
      </c>
      <c r="AK542" s="10">
        <f t="shared" si="29"/>
        <v>13</v>
      </c>
      <c r="AL542" s="11">
        <v>32000</v>
      </c>
      <c r="AM542" s="12">
        <f t="shared" si="30"/>
        <v>416000</v>
      </c>
    </row>
    <row r="543" spans="1:39" ht="13.5" customHeight="1">
      <c r="A543" s="48" t="s">
        <v>84</v>
      </c>
      <c r="B543" s="32">
        <v>101</v>
      </c>
      <c r="C543" s="33" t="s">
        <v>130</v>
      </c>
      <c r="D543" s="33" t="s">
        <v>63</v>
      </c>
      <c r="E543" s="33" t="s">
        <v>324</v>
      </c>
      <c r="F543" s="32" t="s">
        <v>656</v>
      </c>
      <c r="G543" s="46"/>
      <c r="H543" s="67"/>
      <c r="I543" s="67"/>
      <c r="J543" s="67"/>
      <c r="K543" s="67"/>
      <c r="L543" s="67"/>
      <c r="M543" s="67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34">
        <v>1</v>
      </c>
      <c r="Y543" s="34">
        <v>1</v>
      </c>
      <c r="Z543" s="34">
        <v>1</v>
      </c>
      <c r="AA543" s="34">
        <v>1</v>
      </c>
      <c r="AB543" s="34">
        <v>1</v>
      </c>
      <c r="AC543" s="34">
        <v>1</v>
      </c>
      <c r="AD543" s="34">
        <v>1</v>
      </c>
      <c r="AE543" s="34">
        <v>1</v>
      </c>
      <c r="AF543" s="34">
        <v>1</v>
      </c>
      <c r="AG543" s="34">
        <v>1</v>
      </c>
      <c r="AH543" s="34">
        <v>1</v>
      </c>
      <c r="AI543" s="34">
        <v>1</v>
      </c>
      <c r="AJ543" s="34">
        <v>1</v>
      </c>
      <c r="AK543" s="10">
        <f t="shared" si="29"/>
        <v>13</v>
      </c>
      <c r="AL543" s="11">
        <v>32000</v>
      </c>
      <c r="AM543" s="12">
        <f t="shared" si="30"/>
        <v>416000</v>
      </c>
    </row>
    <row r="544" spans="1:39" ht="13.5" customHeight="1">
      <c r="A544" s="48" t="s">
        <v>84</v>
      </c>
      <c r="B544" s="32">
        <v>102</v>
      </c>
      <c r="C544" s="33" t="s">
        <v>63</v>
      </c>
      <c r="D544" s="33" t="s">
        <v>599</v>
      </c>
      <c r="E544" s="33" t="s">
        <v>25</v>
      </c>
      <c r="F544" s="32" t="s">
        <v>575</v>
      </c>
      <c r="G544" s="46"/>
      <c r="H544" s="67"/>
      <c r="I544" s="67"/>
      <c r="J544" s="67"/>
      <c r="K544" s="67"/>
      <c r="L544" s="67"/>
      <c r="M544" s="67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34">
        <v>1</v>
      </c>
      <c r="Y544" s="34">
        <v>1</v>
      </c>
      <c r="Z544" s="34">
        <v>1</v>
      </c>
      <c r="AA544" s="34">
        <v>1</v>
      </c>
      <c r="AB544" s="34">
        <v>1</v>
      </c>
      <c r="AC544" s="34">
        <v>1</v>
      </c>
      <c r="AD544" s="34">
        <v>1</v>
      </c>
      <c r="AE544" s="34">
        <v>1</v>
      </c>
      <c r="AF544" s="34">
        <v>1</v>
      </c>
      <c r="AG544" s="34">
        <v>1</v>
      </c>
      <c r="AH544" s="34">
        <v>1</v>
      </c>
      <c r="AI544" s="34">
        <v>1</v>
      </c>
      <c r="AJ544" s="34">
        <v>1</v>
      </c>
      <c r="AK544" s="10">
        <f t="shared" si="29"/>
        <v>13</v>
      </c>
      <c r="AL544" s="11">
        <v>32000</v>
      </c>
      <c r="AM544" s="12">
        <f t="shared" si="30"/>
        <v>416000</v>
      </c>
    </row>
    <row r="545" spans="1:39" ht="13.5" customHeight="1">
      <c r="A545" s="48" t="s">
        <v>84</v>
      </c>
      <c r="B545" s="32">
        <v>102</v>
      </c>
      <c r="C545" s="33" t="s">
        <v>222</v>
      </c>
      <c r="D545" s="33" t="s">
        <v>601</v>
      </c>
      <c r="E545" s="33" t="s">
        <v>41</v>
      </c>
      <c r="F545" s="32" t="s">
        <v>581</v>
      </c>
      <c r="G545" s="46"/>
      <c r="H545" s="67"/>
      <c r="I545" s="67"/>
      <c r="J545" s="67"/>
      <c r="K545" s="67"/>
      <c r="L545" s="67"/>
      <c r="M545" s="67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34">
        <v>1</v>
      </c>
      <c r="Y545" s="34">
        <v>1</v>
      </c>
      <c r="Z545" s="34">
        <v>1</v>
      </c>
      <c r="AA545" s="34">
        <v>1</v>
      </c>
      <c r="AB545" s="34">
        <v>1</v>
      </c>
      <c r="AC545" s="34">
        <v>1</v>
      </c>
      <c r="AD545" s="34">
        <v>1</v>
      </c>
      <c r="AE545" s="34">
        <v>1</v>
      </c>
      <c r="AF545" s="34">
        <v>1</v>
      </c>
      <c r="AG545" s="34">
        <v>1</v>
      </c>
      <c r="AH545" s="34">
        <v>1</v>
      </c>
      <c r="AI545" s="34">
        <v>1</v>
      </c>
      <c r="AJ545" s="34">
        <v>1</v>
      </c>
      <c r="AK545" s="10">
        <f t="shared" si="29"/>
        <v>13</v>
      </c>
      <c r="AL545" s="11">
        <v>32000</v>
      </c>
      <c r="AM545" s="12">
        <f t="shared" si="30"/>
        <v>416000</v>
      </c>
    </row>
    <row r="546" spans="1:39" ht="13.5" customHeight="1">
      <c r="A546" s="48" t="s">
        <v>84</v>
      </c>
      <c r="B546" s="32">
        <v>103</v>
      </c>
      <c r="C546" s="33" t="s">
        <v>321</v>
      </c>
      <c r="D546" s="33" t="s">
        <v>439</v>
      </c>
      <c r="E546" s="33" t="s">
        <v>324</v>
      </c>
      <c r="F546" s="32" t="s">
        <v>325</v>
      </c>
      <c r="G546" s="46"/>
      <c r="H546" s="67"/>
      <c r="I546" s="67"/>
      <c r="J546" s="67"/>
      <c r="K546" s="67"/>
      <c r="L546" s="67"/>
      <c r="M546" s="67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34">
        <v>1</v>
      </c>
      <c r="Y546" s="34">
        <v>1</v>
      </c>
      <c r="Z546" s="34">
        <v>1</v>
      </c>
      <c r="AA546" s="34">
        <v>1</v>
      </c>
      <c r="AB546" s="34">
        <v>1</v>
      </c>
      <c r="AC546" s="34">
        <v>1</v>
      </c>
      <c r="AD546" s="34">
        <v>1</v>
      </c>
      <c r="AE546" s="34">
        <v>1</v>
      </c>
      <c r="AF546" s="34">
        <v>1</v>
      </c>
      <c r="AG546" s="34">
        <v>1</v>
      </c>
      <c r="AH546" s="34">
        <v>1</v>
      </c>
      <c r="AI546" s="34">
        <v>1</v>
      </c>
      <c r="AJ546" s="34">
        <v>1</v>
      </c>
      <c r="AK546" s="10">
        <f t="shared" si="29"/>
        <v>13</v>
      </c>
      <c r="AL546" s="11">
        <v>32000</v>
      </c>
      <c r="AM546" s="12">
        <f t="shared" si="30"/>
        <v>416000</v>
      </c>
    </row>
    <row r="547" spans="1:39" ht="13.5" customHeight="1">
      <c r="A547" s="48" t="s">
        <v>84</v>
      </c>
      <c r="B547" s="32">
        <v>103</v>
      </c>
      <c r="C547" s="33" t="s">
        <v>321</v>
      </c>
      <c r="D547" s="33" t="s">
        <v>439</v>
      </c>
      <c r="E547" s="33" t="s">
        <v>25</v>
      </c>
      <c r="F547" s="32" t="s">
        <v>323</v>
      </c>
      <c r="G547" s="46"/>
      <c r="H547" s="67"/>
      <c r="I547" s="67"/>
      <c r="J547" s="67"/>
      <c r="K547" s="67"/>
      <c r="L547" s="67"/>
      <c r="M547" s="67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34">
        <v>1</v>
      </c>
      <c r="Y547" s="34">
        <v>1</v>
      </c>
      <c r="Z547" s="34">
        <v>1</v>
      </c>
      <c r="AA547" s="34">
        <v>1</v>
      </c>
      <c r="AB547" s="34">
        <v>1</v>
      </c>
      <c r="AC547" s="34">
        <v>1</v>
      </c>
      <c r="AD547" s="34">
        <v>1</v>
      </c>
      <c r="AE547" s="34">
        <v>1</v>
      </c>
      <c r="AF547" s="34">
        <v>1</v>
      </c>
      <c r="AG547" s="34">
        <v>1</v>
      </c>
      <c r="AH547" s="34">
        <v>1</v>
      </c>
      <c r="AI547" s="34">
        <v>1</v>
      </c>
      <c r="AJ547" s="34">
        <v>1</v>
      </c>
      <c r="AK547" s="10">
        <f t="shared" si="29"/>
        <v>13</v>
      </c>
      <c r="AL547" s="11">
        <v>32000</v>
      </c>
      <c r="AM547" s="12">
        <f t="shared" si="30"/>
        <v>416000</v>
      </c>
    </row>
    <row r="548" spans="1:39" ht="13.5" customHeight="1">
      <c r="A548" s="48" t="s">
        <v>84</v>
      </c>
      <c r="B548" s="32">
        <v>108</v>
      </c>
      <c r="C548" s="33" t="s">
        <v>1042</v>
      </c>
      <c r="D548" s="33" t="s">
        <v>1043</v>
      </c>
      <c r="E548" s="33" t="s">
        <v>22</v>
      </c>
      <c r="F548" s="32" t="s">
        <v>1046</v>
      </c>
      <c r="G548" s="46"/>
      <c r="H548" s="67"/>
      <c r="I548" s="67"/>
      <c r="J548" s="67"/>
      <c r="K548" s="67"/>
      <c r="L548" s="67"/>
      <c r="M548" s="67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34">
        <v>1</v>
      </c>
      <c r="Y548" s="34">
        <v>1</v>
      </c>
      <c r="Z548" s="34">
        <v>1</v>
      </c>
      <c r="AA548" s="34">
        <v>1</v>
      </c>
      <c r="AB548" s="34">
        <v>1</v>
      </c>
      <c r="AC548" s="34">
        <v>1</v>
      </c>
      <c r="AD548" s="34">
        <v>1</v>
      </c>
      <c r="AE548" s="34">
        <v>1</v>
      </c>
      <c r="AF548" s="34">
        <v>1</v>
      </c>
      <c r="AG548" s="34">
        <v>1</v>
      </c>
      <c r="AH548" s="34">
        <v>1</v>
      </c>
      <c r="AI548" s="34">
        <v>1</v>
      </c>
      <c r="AJ548" s="34">
        <v>1</v>
      </c>
      <c r="AK548" s="10">
        <f t="shared" si="29"/>
        <v>13</v>
      </c>
      <c r="AL548" s="11">
        <v>32000</v>
      </c>
      <c r="AM548" s="12">
        <f t="shared" si="30"/>
        <v>416000</v>
      </c>
    </row>
    <row r="549" spans="1:39" ht="13.5" customHeight="1">
      <c r="A549" s="48" t="s">
        <v>84</v>
      </c>
      <c r="B549" s="32">
        <v>108</v>
      </c>
      <c r="C549" s="33" t="s">
        <v>520</v>
      </c>
      <c r="D549" s="33" t="s">
        <v>1098</v>
      </c>
      <c r="E549" s="33" t="s">
        <v>324</v>
      </c>
      <c r="F549" s="32" t="s">
        <v>1099</v>
      </c>
      <c r="G549" s="46"/>
      <c r="H549" s="67"/>
      <c r="I549" s="67"/>
      <c r="J549" s="67"/>
      <c r="K549" s="67"/>
      <c r="L549" s="67"/>
      <c r="M549" s="67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34">
        <v>1</v>
      </c>
      <c r="Y549" s="34">
        <v>1</v>
      </c>
      <c r="Z549" s="34">
        <v>1</v>
      </c>
      <c r="AA549" s="34">
        <v>1</v>
      </c>
      <c r="AB549" s="34">
        <v>1</v>
      </c>
      <c r="AC549" s="34">
        <v>1</v>
      </c>
      <c r="AD549" s="34">
        <v>1</v>
      </c>
      <c r="AE549" s="34">
        <v>1</v>
      </c>
      <c r="AF549" s="34">
        <v>1</v>
      </c>
      <c r="AG549" s="34">
        <v>1</v>
      </c>
      <c r="AH549" s="34">
        <v>1</v>
      </c>
      <c r="AI549" s="34">
        <v>1</v>
      </c>
      <c r="AJ549" s="34">
        <v>1</v>
      </c>
      <c r="AK549" s="10">
        <f t="shared" si="29"/>
        <v>13</v>
      </c>
      <c r="AL549" s="11">
        <v>32000</v>
      </c>
      <c r="AM549" s="12">
        <f t="shared" si="30"/>
        <v>416000</v>
      </c>
    </row>
    <row r="550" spans="1:39" ht="13.5" customHeight="1">
      <c r="A550" s="48" t="s">
        <v>84</v>
      </c>
      <c r="B550" s="32">
        <v>109</v>
      </c>
      <c r="C550" s="33" t="s">
        <v>114</v>
      </c>
      <c r="D550" s="33" t="s">
        <v>115</v>
      </c>
      <c r="E550" s="33" t="s">
        <v>116</v>
      </c>
      <c r="F550" s="32" t="s">
        <v>117</v>
      </c>
      <c r="G550" s="46"/>
      <c r="H550" s="67"/>
      <c r="I550" s="67"/>
      <c r="J550" s="67"/>
      <c r="K550" s="67"/>
      <c r="L550" s="67"/>
      <c r="M550" s="67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34">
        <v>1</v>
      </c>
      <c r="Y550" s="34">
        <v>1</v>
      </c>
      <c r="Z550" s="34">
        <v>1</v>
      </c>
      <c r="AA550" s="34">
        <v>1</v>
      </c>
      <c r="AB550" s="34">
        <v>1</v>
      </c>
      <c r="AC550" s="34">
        <v>1</v>
      </c>
      <c r="AD550" s="34">
        <v>1</v>
      </c>
      <c r="AE550" s="34">
        <v>1</v>
      </c>
      <c r="AF550" s="34">
        <v>1</v>
      </c>
      <c r="AG550" s="34">
        <v>1</v>
      </c>
      <c r="AH550" s="34">
        <v>1</v>
      </c>
      <c r="AI550" s="34">
        <v>1</v>
      </c>
      <c r="AJ550" s="34">
        <v>1</v>
      </c>
      <c r="AK550" s="10">
        <f t="shared" si="29"/>
        <v>13</v>
      </c>
      <c r="AL550" s="11">
        <v>32000</v>
      </c>
      <c r="AM550" s="12">
        <f t="shared" si="30"/>
        <v>416000</v>
      </c>
    </row>
    <row r="551" spans="1:39" ht="13.5" customHeight="1">
      <c r="A551" s="48" t="s">
        <v>84</v>
      </c>
      <c r="B551" s="32">
        <v>109</v>
      </c>
      <c r="C551" s="33" t="s">
        <v>343</v>
      </c>
      <c r="D551" s="33" t="s">
        <v>118</v>
      </c>
      <c r="E551" s="33" t="s">
        <v>26</v>
      </c>
      <c r="F551" s="32" t="s">
        <v>119</v>
      </c>
      <c r="G551" s="46"/>
      <c r="H551" s="67"/>
      <c r="I551" s="67"/>
      <c r="J551" s="67"/>
      <c r="K551" s="67"/>
      <c r="L551" s="67"/>
      <c r="M551" s="67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34">
        <v>1</v>
      </c>
      <c r="Y551" s="34">
        <v>1</v>
      </c>
      <c r="Z551" s="34">
        <v>1</v>
      </c>
      <c r="AA551" s="34">
        <v>1</v>
      </c>
      <c r="AB551" s="34">
        <v>1</v>
      </c>
      <c r="AC551" s="34">
        <v>1</v>
      </c>
      <c r="AD551" s="34">
        <v>1</v>
      </c>
      <c r="AE551" s="34">
        <v>1</v>
      </c>
      <c r="AF551" s="34">
        <v>1</v>
      </c>
      <c r="AG551" s="34">
        <v>1</v>
      </c>
      <c r="AH551" s="34">
        <v>1</v>
      </c>
      <c r="AI551" s="34">
        <v>1</v>
      </c>
      <c r="AJ551" s="34">
        <v>1</v>
      </c>
      <c r="AK551" s="10">
        <f t="shared" si="29"/>
        <v>13</v>
      </c>
      <c r="AL551" s="11">
        <v>32000</v>
      </c>
      <c r="AM551" s="12">
        <f t="shared" si="30"/>
        <v>416000</v>
      </c>
    </row>
    <row r="552" spans="1:39" ht="13.5" customHeight="1">
      <c r="A552" s="48" t="s">
        <v>84</v>
      </c>
      <c r="B552" s="32">
        <v>111</v>
      </c>
      <c r="C552" s="33" t="s">
        <v>123</v>
      </c>
      <c r="D552" s="33" t="s">
        <v>201</v>
      </c>
      <c r="E552" s="33" t="s">
        <v>588</v>
      </c>
      <c r="F552" s="32" t="s">
        <v>569</v>
      </c>
      <c r="G552" s="46"/>
      <c r="H552" s="67"/>
      <c r="I552" s="67"/>
      <c r="J552" s="67"/>
      <c r="K552" s="67"/>
      <c r="L552" s="67"/>
      <c r="M552" s="67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34">
        <v>1</v>
      </c>
      <c r="Y552" s="34">
        <v>1</v>
      </c>
      <c r="Z552" s="34">
        <v>1</v>
      </c>
      <c r="AA552" s="34">
        <v>1</v>
      </c>
      <c r="AB552" s="34">
        <v>1</v>
      </c>
      <c r="AC552" s="34">
        <v>1</v>
      </c>
      <c r="AD552" s="34">
        <v>1</v>
      </c>
      <c r="AE552" s="34">
        <v>1</v>
      </c>
      <c r="AF552" s="34">
        <v>1</v>
      </c>
      <c r="AG552" s="34">
        <v>1</v>
      </c>
      <c r="AH552" s="34">
        <v>1</v>
      </c>
      <c r="AI552" s="34">
        <v>1</v>
      </c>
      <c r="AJ552" s="34">
        <v>1</v>
      </c>
      <c r="AK552" s="10">
        <f t="shared" si="29"/>
        <v>13</v>
      </c>
      <c r="AL552" s="11">
        <v>32000</v>
      </c>
      <c r="AM552" s="12">
        <f t="shared" si="30"/>
        <v>416000</v>
      </c>
    </row>
    <row r="553" spans="1:39" ht="13.5" customHeight="1">
      <c r="A553" s="48" t="s">
        <v>84</v>
      </c>
      <c r="B553" s="32">
        <v>111</v>
      </c>
      <c r="C553" s="33" t="s">
        <v>1074</v>
      </c>
      <c r="D553" s="33" t="s">
        <v>554</v>
      </c>
      <c r="E553" s="33" t="s">
        <v>25</v>
      </c>
      <c r="F553" s="32" t="s">
        <v>570</v>
      </c>
      <c r="G553" s="46"/>
      <c r="H553" s="67"/>
      <c r="I553" s="67"/>
      <c r="J553" s="67"/>
      <c r="K553" s="67"/>
      <c r="L553" s="67"/>
      <c r="M553" s="67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34">
        <v>1</v>
      </c>
      <c r="Y553" s="34">
        <v>1</v>
      </c>
      <c r="Z553" s="34">
        <v>1</v>
      </c>
      <c r="AA553" s="34">
        <v>1</v>
      </c>
      <c r="AB553" s="34">
        <v>1</v>
      </c>
      <c r="AC553" s="34">
        <v>1</v>
      </c>
      <c r="AD553" s="34">
        <v>1</v>
      </c>
      <c r="AE553" s="34">
        <v>1</v>
      </c>
      <c r="AF553" s="34">
        <v>1</v>
      </c>
      <c r="AG553" s="34">
        <v>1</v>
      </c>
      <c r="AH553" s="34">
        <v>1</v>
      </c>
      <c r="AI553" s="34">
        <v>1</v>
      </c>
      <c r="AJ553" s="34">
        <v>1</v>
      </c>
      <c r="AK553" s="10">
        <f t="shared" si="29"/>
        <v>13</v>
      </c>
      <c r="AL553" s="11">
        <v>32000</v>
      </c>
      <c r="AM553" s="12">
        <f t="shared" si="30"/>
        <v>416000</v>
      </c>
    </row>
    <row r="554" spans="1:39" ht="13.5" customHeight="1">
      <c r="A554" s="48" t="s">
        <v>84</v>
      </c>
      <c r="B554" s="32">
        <v>119</v>
      </c>
      <c r="C554" s="33" t="s">
        <v>431</v>
      </c>
      <c r="D554" s="33" t="s">
        <v>1075</v>
      </c>
      <c r="E554" s="33" t="s">
        <v>190</v>
      </c>
      <c r="F554" s="32" t="s">
        <v>566</v>
      </c>
      <c r="G554" s="46"/>
      <c r="H554" s="67"/>
      <c r="I554" s="67"/>
      <c r="J554" s="67"/>
      <c r="K554" s="67"/>
      <c r="L554" s="67"/>
      <c r="M554" s="67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34">
        <v>1</v>
      </c>
      <c r="Y554" s="34">
        <v>1</v>
      </c>
      <c r="Z554" s="34">
        <v>1</v>
      </c>
      <c r="AA554" s="34">
        <v>1</v>
      </c>
      <c r="AB554" s="34">
        <v>1</v>
      </c>
      <c r="AC554" s="34">
        <v>1</v>
      </c>
      <c r="AD554" s="34">
        <v>1</v>
      </c>
      <c r="AE554" s="34">
        <v>1</v>
      </c>
      <c r="AF554" s="34">
        <v>1</v>
      </c>
      <c r="AG554" s="34">
        <v>1</v>
      </c>
      <c r="AH554" s="34">
        <v>1</v>
      </c>
      <c r="AI554" s="34">
        <v>1</v>
      </c>
      <c r="AJ554" s="34">
        <v>1</v>
      </c>
      <c r="AK554" s="10">
        <f t="shared" si="29"/>
        <v>13</v>
      </c>
      <c r="AL554" s="11">
        <v>32000</v>
      </c>
      <c r="AM554" s="12">
        <f t="shared" si="30"/>
        <v>416000</v>
      </c>
    </row>
    <row r="555" spans="1:39" ht="13.5" customHeight="1">
      <c r="A555" s="48" t="s">
        <v>84</v>
      </c>
      <c r="B555" s="32">
        <v>119</v>
      </c>
      <c r="C555" s="33" t="s">
        <v>106</v>
      </c>
      <c r="D555" s="33" t="s">
        <v>107</v>
      </c>
      <c r="E555" s="33" t="s">
        <v>11</v>
      </c>
      <c r="F555" s="32" t="s">
        <v>108</v>
      </c>
      <c r="G555" s="46"/>
      <c r="H555" s="67"/>
      <c r="I555" s="67"/>
      <c r="J555" s="67"/>
      <c r="K555" s="67"/>
      <c r="L555" s="67"/>
      <c r="M555" s="67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34">
        <v>1</v>
      </c>
      <c r="Y555" s="34">
        <v>1</v>
      </c>
      <c r="Z555" s="34">
        <v>1</v>
      </c>
      <c r="AA555" s="34">
        <v>1</v>
      </c>
      <c r="AB555" s="34">
        <v>1</v>
      </c>
      <c r="AC555" s="34">
        <v>1</v>
      </c>
      <c r="AD555" s="34">
        <v>1</v>
      </c>
      <c r="AE555" s="34">
        <v>1</v>
      </c>
      <c r="AF555" s="34">
        <v>1</v>
      </c>
      <c r="AG555" s="34">
        <v>1</v>
      </c>
      <c r="AH555" s="34">
        <v>1</v>
      </c>
      <c r="AI555" s="34">
        <v>1</v>
      </c>
      <c r="AJ555" s="34">
        <v>1</v>
      </c>
      <c r="AK555" s="10">
        <f t="shared" si="29"/>
        <v>13</v>
      </c>
      <c r="AL555" s="11">
        <v>32000</v>
      </c>
      <c r="AM555" s="12">
        <f t="shared" si="30"/>
        <v>416000</v>
      </c>
    </row>
    <row r="556" spans="1:39" ht="13.5" customHeight="1">
      <c r="A556" s="48" t="s">
        <v>84</v>
      </c>
      <c r="B556" s="32">
        <v>120</v>
      </c>
      <c r="C556" s="33" t="s">
        <v>1076</v>
      </c>
      <c r="D556" s="33" t="s">
        <v>592</v>
      </c>
      <c r="E556" s="33" t="s">
        <v>591</v>
      </c>
      <c r="F556" s="32" t="s">
        <v>573</v>
      </c>
      <c r="G556" s="46"/>
      <c r="H556" s="67"/>
      <c r="I556" s="67"/>
      <c r="J556" s="67"/>
      <c r="K556" s="67"/>
      <c r="L556" s="67"/>
      <c r="M556" s="67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34">
        <v>1</v>
      </c>
      <c r="Y556" s="34">
        <v>1</v>
      </c>
      <c r="Z556" s="34">
        <v>1</v>
      </c>
      <c r="AA556" s="34">
        <v>1</v>
      </c>
      <c r="AB556" s="34">
        <v>1</v>
      </c>
      <c r="AC556" s="34">
        <v>1</v>
      </c>
      <c r="AD556" s="34">
        <v>1</v>
      </c>
      <c r="AE556" s="34">
        <v>1</v>
      </c>
      <c r="AF556" s="34">
        <v>1</v>
      </c>
      <c r="AG556" s="34">
        <v>1</v>
      </c>
      <c r="AH556" s="34">
        <v>1</v>
      </c>
      <c r="AI556" s="34">
        <v>1</v>
      </c>
      <c r="AJ556" s="34">
        <v>1</v>
      </c>
      <c r="AK556" s="10">
        <f t="shared" si="29"/>
        <v>13</v>
      </c>
      <c r="AL556" s="11">
        <v>32000</v>
      </c>
      <c r="AM556" s="12">
        <f t="shared" si="30"/>
        <v>416000</v>
      </c>
    </row>
    <row r="557" spans="1:39" ht="13.5" customHeight="1">
      <c r="A557" s="48" t="s">
        <v>84</v>
      </c>
      <c r="B557" s="32">
        <v>120</v>
      </c>
      <c r="C557" s="33" t="s">
        <v>20</v>
      </c>
      <c r="D557" s="33" t="s">
        <v>201</v>
      </c>
      <c r="E557" s="33" t="s">
        <v>15</v>
      </c>
      <c r="F557" s="32" t="s">
        <v>1100</v>
      </c>
      <c r="G557" s="46"/>
      <c r="H557" s="67"/>
      <c r="I557" s="67"/>
      <c r="J557" s="67"/>
      <c r="K557" s="67"/>
      <c r="L557" s="67"/>
      <c r="M557" s="67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34">
        <v>1</v>
      </c>
      <c r="Y557" s="34">
        <v>1</v>
      </c>
      <c r="Z557" s="34">
        <v>1</v>
      </c>
      <c r="AA557" s="34">
        <v>1</v>
      </c>
      <c r="AB557" s="34">
        <v>1</v>
      </c>
      <c r="AC557" s="34">
        <v>1</v>
      </c>
      <c r="AD557" s="34">
        <v>1</v>
      </c>
      <c r="AE557" s="34">
        <v>1</v>
      </c>
      <c r="AF557" s="34">
        <v>1</v>
      </c>
      <c r="AG557" s="34">
        <v>1</v>
      </c>
      <c r="AH557" s="34">
        <v>1</v>
      </c>
      <c r="AI557" s="34">
        <v>1</v>
      </c>
      <c r="AJ557" s="34">
        <v>1</v>
      </c>
      <c r="AK557" s="10">
        <f t="shared" si="29"/>
        <v>13</v>
      </c>
      <c r="AL557" s="11">
        <v>32000</v>
      </c>
      <c r="AM557" s="12">
        <f t="shared" ref="AM557:AM559" si="31">AL557*AK557</f>
        <v>416000</v>
      </c>
    </row>
    <row r="558" spans="1:39" ht="13.5" customHeight="1">
      <c r="A558" s="48" t="s">
        <v>84</v>
      </c>
      <c r="B558" s="32">
        <v>1</v>
      </c>
      <c r="C558" s="33" t="s">
        <v>514</v>
      </c>
      <c r="D558" s="33" t="s">
        <v>1001</v>
      </c>
      <c r="E558" s="33" t="s">
        <v>540</v>
      </c>
      <c r="F558" s="32" t="s">
        <v>1002</v>
      </c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34">
        <v>1</v>
      </c>
      <c r="Y558" s="34">
        <v>1</v>
      </c>
      <c r="Z558" s="34">
        <v>1</v>
      </c>
      <c r="AA558" s="34">
        <v>1</v>
      </c>
      <c r="AB558" s="34">
        <v>1</v>
      </c>
      <c r="AC558" s="34">
        <v>1</v>
      </c>
      <c r="AD558" s="34">
        <v>1</v>
      </c>
      <c r="AE558" s="34">
        <v>1</v>
      </c>
      <c r="AF558" s="34">
        <v>1</v>
      </c>
      <c r="AG558" s="34">
        <v>1</v>
      </c>
      <c r="AH558" s="34">
        <v>1</v>
      </c>
      <c r="AI558" s="34">
        <v>1</v>
      </c>
      <c r="AJ558" s="34">
        <v>1</v>
      </c>
      <c r="AK558" s="10">
        <f t="shared" ref="AK558:AK583" si="32">SUM(G558:AJ558)</f>
        <v>13</v>
      </c>
      <c r="AL558" s="11">
        <v>32000</v>
      </c>
      <c r="AM558" s="12">
        <f t="shared" si="31"/>
        <v>416000</v>
      </c>
    </row>
    <row r="559" spans="1:39" ht="13.5" customHeight="1">
      <c r="A559" s="48" t="s">
        <v>84</v>
      </c>
      <c r="B559" s="32">
        <v>1</v>
      </c>
      <c r="C559" s="33" t="s">
        <v>1003</v>
      </c>
      <c r="D559" s="33" t="s">
        <v>1004</v>
      </c>
      <c r="E559" s="33" t="s">
        <v>9</v>
      </c>
      <c r="F559" s="32" t="s">
        <v>1005</v>
      </c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34">
        <v>1</v>
      </c>
      <c r="Y559" s="34">
        <v>1</v>
      </c>
      <c r="Z559" s="34">
        <v>1</v>
      </c>
      <c r="AA559" s="34">
        <v>1</v>
      </c>
      <c r="AB559" s="34">
        <v>1</v>
      </c>
      <c r="AC559" s="34">
        <v>1</v>
      </c>
      <c r="AD559" s="34">
        <v>1</v>
      </c>
      <c r="AE559" s="34">
        <v>1</v>
      </c>
      <c r="AF559" s="34">
        <v>1</v>
      </c>
      <c r="AG559" s="34">
        <v>1</v>
      </c>
      <c r="AH559" s="34">
        <v>1</v>
      </c>
      <c r="AI559" s="34">
        <v>1</v>
      </c>
      <c r="AJ559" s="34">
        <v>1</v>
      </c>
      <c r="AK559" s="10">
        <f t="shared" si="32"/>
        <v>13</v>
      </c>
      <c r="AL559" s="11">
        <v>32000</v>
      </c>
      <c r="AM559" s="12">
        <f t="shared" si="31"/>
        <v>416000</v>
      </c>
    </row>
    <row r="560" spans="1:39" ht="13.5" customHeight="1">
      <c r="A560" s="48" t="s">
        <v>84</v>
      </c>
      <c r="B560" s="32">
        <v>2</v>
      </c>
      <c r="C560" s="33" t="s">
        <v>381</v>
      </c>
      <c r="D560" s="33" t="s">
        <v>191</v>
      </c>
      <c r="E560" s="33" t="s">
        <v>22</v>
      </c>
      <c r="F560" s="32" t="s">
        <v>1006</v>
      </c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34">
        <v>1</v>
      </c>
      <c r="Y560" s="34">
        <v>1</v>
      </c>
      <c r="Z560" s="34">
        <v>1</v>
      </c>
      <c r="AA560" s="34">
        <v>1</v>
      </c>
      <c r="AB560" s="34">
        <v>1</v>
      </c>
      <c r="AC560" s="34">
        <v>1</v>
      </c>
      <c r="AD560" s="34">
        <v>1</v>
      </c>
      <c r="AE560" s="34">
        <v>1</v>
      </c>
      <c r="AF560" s="34">
        <v>1</v>
      </c>
      <c r="AG560" s="34">
        <v>1</v>
      </c>
      <c r="AH560" s="34">
        <v>1</v>
      </c>
      <c r="AI560" s="34">
        <v>1</v>
      </c>
      <c r="AJ560" s="34">
        <v>1</v>
      </c>
      <c r="AK560" s="10">
        <f t="shared" si="32"/>
        <v>13</v>
      </c>
      <c r="AL560" s="11">
        <v>32000</v>
      </c>
      <c r="AM560" s="12">
        <f t="shared" ref="AM560:AM583" si="33">AL560*AK560</f>
        <v>416000</v>
      </c>
    </row>
    <row r="561" spans="1:39" ht="13.5" customHeight="1">
      <c r="A561" s="48" t="s">
        <v>84</v>
      </c>
      <c r="B561" s="32">
        <v>2</v>
      </c>
      <c r="C561" s="33" t="s">
        <v>251</v>
      </c>
      <c r="D561" s="33" t="s">
        <v>1001</v>
      </c>
      <c r="E561" s="33" t="s">
        <v>41</v>
      </c>
      <c r="F561" s="32" t="s">
        <v>1007</v>
      </c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34">
        <v>1</v>
      </c>
      <c r="Y561" s="34">
        <v>1</v>
      </c>
      <c r="Z561" s="34">
        <v>1</v>
      </c>
      <c r="AA561" s="34">
        <v>1</v>
      </c>
      <c r="AB561" s="34">
        <v>1</v>
      </c>
      <c r="AC561" s="34">
        <v>1</v>
      </c>
      <c r="AD561" s="34">
        <v>1</v>
      </c>
      <c r="AE561" s="34">
        <v>1</v>
      </c>
      <c r="AF561" s="34">
        <v>1</v>
      </c>
      <c r="AG561" s="34">
        <v>1</v>
      </c>
      <c r="AH561" s="34">
        <v>1</v>
      </c>
      <c r="AI561" s="34">
        <v>1</v>
      </c>
      <c r="AJ561" s="34">
        <v>1</v>
      </c>
      <c r="AK561" s="10">
        <f t="shared" si="32"/>
        <v>13</v>
      </c>
      <c r="AL561" s="11">
        <v>32000</v>
      </c>
      <c r="AM561" s="12">
        <f t="shared" si="33"/>
        <v>416000</v>
      </c>
    </row>
    <row r="562" spans="1:39" ht="13.5" customHeight="1">
      <c r="A562" s="48" t="s">
        <v>84</v>
      </c>
      <c r="B562" s="32">
        <v>11</v>
      </c>
      <c r="C562" s="33" t="s">
        <v>554</v>
      </c>
      <c r="D562" s="33" t="s">
        <v>13</v>
      </c>
      <c r="E562" s="33" t="s">
        <v>261</v>
      </c>
      <c r="F562" s="32" t="s">
        <v>1008</v>
      </c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34">
        <v>1</v>
      </c>
      <c r="Y562" s="34">
        <v>1</v>
      </c>
      <c r="Z562" s="34">
        <v>1</v>
      </c>
      <c r="AA562" s="34">
        <v>1</v>
      </c>
      <c r="AB562" s="34">
        <v>1</v>
      </c>
      <c r="AC562" s="34">
        <v>1</v>
      </c>
      <c r="AD562" s="34">
        <v>1</v>
      </c>
      <c r="AE562" s="34">
        <v>1</v>
      </c>
      <c r="AF562" s="34">
        <v>1</v>
      </c>
      <c r="AG562" s="34">
        <v>1</v>
      </c>
      <c r="AH562" s="34">
        <v>1</v>
      </c>
      <c r="AI562" s="34">
        <v>1</v>
      </c>
      <c r="AJ562" s="34">
        <v>1</v>
      </c>
      <c r="AK562" s="10">
        <f t="shared" si="32"/>
        <v>13</v>
      </c>
      <c r="AL562" s="11">
        <v>32000</v>
      </c>
      <c r="AM562" s="12">
        <f t="shared" si="33"/>
        <v>416000</v>
      </c>
    </row>
    <row r="563" spans="1:39" ht="13.5" customHeight="1">
      <c r="A563" s="48" t="s">
        <v>84</v>
      </c>
      <c r="B563" s="32">
        <v>11</v>
      </c>
      <c r="C563" s="33" t="s">
        <v>394</v>
      </c>
      <c r="D563" s="33" t="s">
        <v>429</v>
      </c>
      <c r="E563" s="33" t="s">
        <v>41</v>
      </c>
      <c r="F563" s="32" t="s">
        <v>434</v>
      </c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34">
        <v>1</v>
      </c>
      <c r="Y563" s="34">
        <v>1</v>
      </c>
      <c r="Z563" s="34">
        <v>1</v>
      </c>
      <c r="AA563" s="34">
        <v>1</v>
      </c>
      <c r="AB563" s="34">
        <v>1</v>
      </c>
      <c r="AC563" s="34">
        <v>1</v>
      </c>
      <c r="AD563" s="34">
        <v>1</v>
      </c>
      <c r="AE563" s="34">
        <v>1</v>
      </c>
      <c r="AF563" s="34">
        <v>1</v>
      </c>
      <c r="AG563" s="34">
        <v>1</v>
      </c>
      <c r="AH563" s="34">
        <v>1</v>
      </c>
      <c r="AI563" s="34">
        <v>1</v>
      </c>
      <c r="AJ563" s="34">
        <v>1</v>
      </c>
      <c r="AK563" s="10">
        <f t="shared" si="32"/>
        <v>13</v>
      </c>
      <c r="AL563" s="11">
        <v>32000</v>
      </c>
      <c r="AM563" s="12">
        <f t="shared" si="33"/>
        <v>416000</v>
      </c>
    </row>
    <row r="564" spans="1:39" ht="13.5" customHeight="1">
      <c r="A564" s="48" t="s">
        <v>84</v>
      </c>
      <c r="B564" s="32">
        <v>12</v>
      </c>
      <c r="C564" s="33" t="s">
        <v>251</v>
      </c>
      <c r="D564" s="33" t="s">
        <v>18</v>
      </c>
      <c r="E564" s="33" t="s">
        <v>419</v>
      </c>
      <c r="F564" s="32" t="s">
        <v>1009</v>
      </c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34">
        <v>1</v>
      </c>
      <c r="Y564" s="34">
        <v>1</v>
      </c>
      <c r="Z564" s="34">
        <v>1</v>
      </c>
      <c r="AA564" s="34">
        <v>1</v>
      </c>
      <c r="AB564" s="34">
        <v>1</v>
      </c>
      <c r="AC564" s="34">
        <v>1</v>
      </c>
      <c r="AD564" s="34">
        <v>1</v>
      </c>
      <c r="AE564" s="34">
        <v>1</v>
      </c>
      <c r="AF564" s="34">
        <v>1</v>
      </c>
      <c r="AG564" s="34">
        <v>1</v>
      </c>
      <c r="AH564" s="34">
        <v>1</v>
      </c>
      <c r="AI564" s="34">
        <v>1</v>
      </c>
      <c r="AJ564" s="34">
        <v>1</v>
      </c>
      <c r="AK564" s="10">
        <f t="shared" si="32"/>
        <v>13</v>
      </c>
      <c r="AL564" s="11">
        <v>32000</v>
      </c>
      <c r="AM564" s="12">
        <f t="shared" si="33"/>
        <v>416000</v>
      </c>
    </row>
    <row r="565" spans="1:39" ht="13.5" customHeight="1">
      <c r="A565" s="48" t="s">
        <v>84</v>
      </c>
      <c r="B565" s="32">
        <v>12</v>
      </c>
      <c r="C565" s="33" t="s">
        <v>1010</v>
      </c>
      <c r="D565" s="33" t="s">
        <v>89</v>
      </c>
      <c r="E565" s="33" t="s">
        <v>22</v>
      </c>
      <c r="F565" s="32" t="s">
        <v>1011</v>
      </c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34">
        <v>1</v>
      </c>
      <c r="Y565" s="34">
        <v>1</v>
      </c>
      <c r="Z565" s="34">
        <v>1</v>
      </c>
      <c r="AA565" s="34">
        <v>1</v>
      </c>
      <c r="AB565" s="34">
        <v>1</v>
      </c>
      <c r="AC565" s="34">
        <v>1</v>
      </c>
      <c r="AD565" s="34">
        <v>1</v>
      </c>
      <c r="AE565" s="34">
        <v>1</v>
      </c>
      <c r="AF565" s="34">
        <v>1</v>
      </c>
      <c r="AG565" s="34">
        <v>1</v>
      </c>
      <c r="AH565" s="34">
        <v>1</v>
      </c>
      <c r="AI565" s="34">
        <v>1</v>
      </c>
      <c r="AJ565" s="34">
        <v>1</v>
      </c>
      <c r="AK565" s="10">
        <f t="shared" si="32"/>
        <v>13</v>
      </c>
      <c r="AL565" s="11">
        <v>32000</v>
      </c>
      <c r="AM565" s="12">
        <f t="shared" si="33"/>
        <v>416000</v>
      </c>
    </row>
    <row r="566" spans="1:39" ht="13.5" customHeight="1">
      <c r="A566" s="48" t="s">
        <v>84</v>
      </c>
      <c r="B566" s="32">
        <v>13</v>
      </c>
      <c r="C566" s="33" t="s">
        <v>1012</v>
      </c>
      <c r="D566" s="33" t="s">
        <v>66</v>
      </c>
      <c r="E566" s="33" t="s">
        <v>166</v>
      </c>
      <c r="F566" s="32" t="s">
        <v>1013</v>
      </c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34">
        <v>1</v>
      </c>
      <c r="Y566" s="34">
        <v>1</v>
      </c>
      <c r="Z566" s="34">
        <v>1</v>
      </c>
      <c r="AA566" s="34">
        <v>1</v>
      </c>
      <c r="AB566" s="34">
        <v>1</v>
      </c>
      <c r="AC566" s="34">
        <v>1</v>
      </c>
      <c r="AD566" s="34">
        <v>1</v>
      </c>
      <c r="AE566" s="34">
        <v>1</v>
      </c>
      <c r="AF566" s="34">
        <v>1</v>
      </c>
      <c r="AG566" s="34">
        <v>1</v>
      </c>
      <c r="AH566" s="34">
        <v>1</v>
      </c>
      <c r="AI566" s="34">
        <v>1</v>
      </c>
      <c r="AJ566" s="34">
        <v>1</v>
      </c>
      <c r="AK566" s="10">
        <f t="shared" ref="AK566:AK582" si="34">SUM(G566:AJ566)</f>
        <v>13</v>
      </c>
      <c r="AL566" s="11">
        <v>32000</v>
      </c>
      <c r="AM566" s="12">
        <f t="shared" ref="AM566:AM582" si="35">AL566*AK566</f>
        <v>416000</v>
      </c>
    </row>
    <row r="567" spans="1:39" ht="13.5" customHeight="1">
      <c r="A567" s="48" t="s">
        <v>84</v>
      </c>
      <c r="B567" s="32">
        <v>13</v>
      </c>
      <c r="C567" s="33" t="s">
        <v>1014</v>
      </c>
      <c r="D567" s="33" t="s">
        <v>481</v>
      </c>
      <c r="E567" s="33" t="s">
        <v>468</v>
      </c>
      <c r="F567" s="32" t="s">
        <v>1015</v>
      </c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34">
        <v>1</v>
      </c>
      <c r="Y567" s="34">
        <v>1</v>
      </c>
      <c r="Z567" s="34">
        <v>1</v>
      </c>
      <c r="AA567" s="34">
        <v>1</v>
      </c>
      <c r="AB567" s="34">
        <v>1</v>
      </c>
      <c r="AC567" s="34">
        <v>1</v>
      </c>
      <c r="AD567" s="34">
        <v>1</v>
      </c>
      <c r="AE567" s="34">
        <v>1</v>
      </c>
      <c r="AF567" s="34">
        <v>1</v>
      </c>
      <c r="AG567" s="34">
        <v>1</v>
      </c>
      <c r="AH567" s="34">
        <v>1</v>
      </c>
      <c r="AI567" s="34">
        <v>1</v>
      </c>
      <c r="AJ567" s="34">
        <v>1</v>
      </c>
      <c r="AK567" s="10">
        <f t="shared" si="34"/>
        <v>13</v>
      </c>
      <c r="AL567" s="11">
        <v>32000</v>
      </c>
      <c r="AM567" s="12">
        <f t="shared" si="35"/>
        <v>416000</v>
      </c>
    </row>
    <row r="568" spans="1:39" ht="13.5" customHeight="1">
      <c r="A568" s="48" t="s">
        <v>84</v>
      </c>
      <c r="B568" s="32">
        <v>15</v>
      </c>
      <c r="C568" s="33" t="s">
        <v>554</v>
      </c>
      <c r="D568" s="33" t="s">
        <v>597</v>
      </c>
      <c r="E568" s="33" t="s">
        <v>303</v>
      </c>
      <c r="F568" s="32" t="s">
        <v>1016</v>
      </c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34">
        <v>1</v>
      </c>
      <c r="Y568" s="34">
        <v>1</v>
      </c>
      <c r="Z568" s="34">
        <v>1</v>
      </c>
      <c r="AA568" s="34">
        <v>1</v>
      </c>
      <c r="AB568" s="34">
        <v>1</v>
      </c>
      <c r="AC568" s="34">
        <v>1</v>
      </c>
      <c r="AD568" s="34">
        <v>1</v>
      </c>
      <c r="AE568" s="34">
        <v>1</v>
      </c>
      <c r="AF568" s="34">
        <v>1</v>
      </c>
      <c r="AG568" s="34">
        <v>1</v>
      </c>
      <c r="AH568" s="34">
        <v>1</v>
      </c>
      <c r="AI568" s="34">
        <v>1</v>
      </c>
      <c r="AJ568" s="34">
        <v>1</v>
      </c>
      <c r="AK568" s="10">
        <f t="shared" si="34"/>
        <v>13</v>
      </c>
      <c r="AL568" s="11">
        <v>32000</v>
      </c>
      <c r="AM568" s="12">
        <f t="shared" si="35"/>
        <v>416000</v>
      </c>
    </row>
    <row r="569" spans="1:39" ht="13.5" customHeight="1">
      <c r="A569" s="48" t="s">
        <v>84</v>
      </c>
      <c r="B569" s="32">
        <v>15</v>
      </c>
      <c r="C569" s="33" t="s">
        <v>1017</v>
      </c>
      <c r="D569" s="33" t="s">
        <v>1018</v>
      </c>
      <c r="E569" s="33" t="s">
        <v>168</v>
      </c>
      <c r="F569" s="32" t="s">
        <v>1019</v>
      </c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34">
        <v>1</v>
      </c>
      <c r="Y569" s="34">
        <v>1</v>
      </c>
      <c r="Z569" s="34">
        <v>1</v>
      </c>
      <c r="AA569" s="34">
        <v>1</v>
      </c>
      <c r="AB569" s="34">
        <v>1</v>
      </c>
      <c r="AC569" s="34">
        <v>1</v>
      </c>
      <c r="AD569" s="34">
        <v>1</v>
      </c>
      <c r="AE569" s="34">
        <v>1</v>
      </c>
      <c r="AF569" s="34">
        <v>1</v>
      </c>
      <c r="AG569" s="34">
        <v>1</v>
      </c>
      <c r="AH569" s="34">
        <v>1</v>
      </c>
      <c r="AI569" s="34">
        <v>1</v>
      </c>
      <c r="AJ569" s="34">
        <v>1</v>
      </c>
      <c r="AK569" s="10">
        <f t="shared" si="34"/>
        <v>13</v>
      </c>
      <c r="AL569" s="11">
        <v>32000</v>
      </c>
      <c r="AM569" s="12">
        <f t="shared" si="35"/>
        <v>416000</v>
      </c>
    </row>
    <row r="570" spans="1:39" ht="13.5" customHeight="1">
      <c r="A570" s="48" t="s">
        <v>84</v>
      </c>
      <c r="B570" s="32">
        <v>17</v>
      </c>
      <c r="C570" s="33" t="s">
        <v>274</v>
      </c>
      <c r="D570" s="33" t="s">
        <v>545</v>
      </c>
      <c r="E570" s="33" t="s">
        <v>211</v>
      </c>
      <c r="F570" s="32" t="s">
        <v>1020</v>
      </c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34">
        <v>1</v>
      </c>
      <c r="Y570" s="34">
        <v>1</v>
      </c>
      <c r="Z570" s="34">
        <v>1</v>
      </c>
      <c r="AA570" s="34">
        <v>1</v>
      </c>
      <c r="AB570" s="34">
        <v>1</v>
      </c>
      <c r="AC570" s="34">
        <v>1</v>
      </c>
      <c r="AD570" s="34">
        <v>1</v>
      </c>
      <c r="AE570" s="34">
        <v>1</v>
      </c>
      <c r="AF570" s="34">
        <v>1</v>
      </c>
      <c r="AG570" s="34">
        <v>1</v>
      </c>
      <c r="AH570" s="34">
        <v>1</v>
      </c>
      <c r="AI570" s="34">
        <v>1</v>
      </c>
      <c r="AJ570" s="34">
        <v>1</v>
      </c>
      <c r="AK570" s="10">
        <f t="shared" si="34"/>
        <v>13</v>
      </c>
      <c r="AL570" s="11">
        <v>32000</v>
      </c>
      <c r="AM570" s="12">
        <f t="shared" si="35"/>
        <v>416000</v>
      </c>
    </row>
    <row r="571" spans="1:39" ht="13.5" customHeight="1">
      <c r="A571" s="48" t="s">
        <v>84</v>
      </c>
      <c r="B571" s="32">
        <v>17</v>
      </c>
      <c r="C571" s="33" t="s">
        <v>196</v>
      </c>
      <c r="D571" s="33" t="s">
        <v>545</v>
      </c>
      <c r="E571" s="33" t="s">
        <v>1021</v>
      </c>
      <c r="F571" s="32" t="s">
        <v>1022</v>
      </c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34">
        <v>1</v>
      </c>
      <c r="Y571" s="34">
        <v>1</v>
      </c>
      <c r="Z571" s="34">
        <v>1</v>
      </c>
      <c r="AA571" s="34">
        <v>1</v>
      </c>
      <c r="AB571" s="34">
        <v>1</v>
      </c>
      <c r="AC571" s="34">
        <v>1</v>
      </c>
      <c r="AD571" s="34">
        <v>1</v>
      </c>
      <c r="AE571" s="34">
        <v>1</v>
      </c>
      <c r="AF571" s="34">
        <v>1</v>
      </c>
      <c r="AG571" s="34">
        <v>1</v>
      </c>
      <c r="AH571" s="34">
        <v>1</v>
      </c>
      <c r="AI571" s="34">
        <v>1</v>
      </c>
      <c r="AJ571" s="34">
        <v>1</v>
      </c>
      <c r="AK571" s="10">
        <f t="shared" si="34"/>
        <v>13</v>
      </c>
      <c r="AL571" s="11">
        <v>32000</v>
      </c>
      <c r="AM571" s="12">
        <f t="shared" si="35"/>
        <v>416000</v>
      </c>
    </row>
    <row r="572" spans="1:39" ht="13.5" customHeight="1">
      <c r="A572" s="48" t="s">
        <v>84</v>
      </c>
      <c r="B572" s="32">
        <v>19</v>
      </c>
      <c r="C572" s="33" t="s">
        <v>1023</v>
      </c>
      <c r="D572" s="33" t="s">
        <v>1023</v>
      </c>
      <c r="E572" s="33" t="s">
        <v>211</v>
      </c>
      <c r="F572" s="32" t="s">
        <v>1024</v>
      </c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34">
        <v>1</v>
      </c>
      <c r="Y572" s="34">
        <v>1</v>
      </c>
      <c r="Z572" s="34">
        <v>1</v>
      </c>
      <c r="AA572" s="34">
        <v>1</v>
      </c>
      <c r="AB572" s="34">
        <v>1</v>
      </c>
      <c r="AC572" s="34">
        <v>1</v>
      </c>
      <c r="AD572" s="34">
        <v>1</v>
      </c>
      <c r="AE572" s="34">
        <v>1</v>
      </c>
      <c r="AF572" s="34">
        <v>1</v>
      </c>
      <c r="AG572" s="34">
        <v>1</v>
      </c>
      <c r="AH572" s="34">
        <v>1</v>
      </c>
      <c r="AI572" s="34">
        <v>1</v>
      </c>
      <c r="AJ572" s="34">
        <v>1</v>
      </c>
      <c r="AK572" s="10">
        <f t="shared" si="34"/>
        <v>13</v>
      </c>
      <c r="AL572" s="11">
        <v>32000</v>
      </c>
      <c r="AM572" s="12">
        <f t="shared" si="35"/>
        <v>416000</v>
      </c>
    </row>
    <row r="573" spans="1:39" ht="13.5" customHeight="1">
      <c r="A573" s="48" t="s">
        <v>84</v>
      </c>
      <c r="B573" s="32">
        <v>19</v>
      </c>
      <c r="C573" s="33" t="s">
        <v>1025</v>
      </c>
      <c r="D573" s="33" t="s">
        <v>1026</v>
      </c>
      <c r="E573" s="33" t="s">
        <v>1027</v>
      </c>
      <c r="F573" s="32" t="s">
        <v>1028</v>
      </c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34">
        <v>1</v>
      </c>
      <c r="Y573" s="34">
        <v>1</v>
      </c>
      <c r="Z573" s="34">
        <v>1</v>
      </c>
      <c r="AA573" s="34">
        <v>1</v>
      </c>
      <c r="AB573" s="34">
        <v>1</v>
      </c>
      <c r="AC573" s="34">
        <v>1</v>
      </c>
      <c r="AD573" s="34">
        <v>1</v>
      </c>
      <c r="AE573" s="34">
        <v>1</v>
      </c>
      <c r="AF573" s="34">
        <v>1</v>
      </c>
      <c r="AG573" s="34">
        <v>1</v>
      </c>
      <c r="AH573" s="34">
        <v>1</v>
      </c>
      <c r="AI573" s="34">
        <v>1</v>
      </c>
      <c r="AJ573" s="34">
        <v>1</v>
      </c>
      <c r="AK573" s="10">
        <f t="shared" si="34"/>
        <v>13</v>
      </c>
      <c r="AL573" s="11">
        <v>32000</v>
      </c>
      <c r="AM573" s="12">
        <f t="shared" si="35"/>
        <v>416000</v>
      </c>
    </row>
    <row r="574" spans="1:39" ht="13.5" customHeight="1">
      <c r="A574" s="48" t="s">
        <v>84</v>
      </c>
      <c r="B574" s="32">
        <v>27</v>
      </c>
      <c r="C574" s="33" t="s">
        <v>156</v>
      </c>
      <c r="D574" s="33" t="s">
        <v>1029</v>
      </c>
      <c r="E574" s="33" t="s">
        <v>1030</v>
      </c>
      <c r="F574" s="32" t="s">
        <v>1031</v>
      </c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34">
        <v>1</v>
      </c>
      <c r="Y574" s="34">
        <v>1</v>
      </c>
      <c r="Z574" s="34">
        <v>1</v>
      </c>
      <c r="AA574" s="34">
        <v>1</v>
      </c>
      <c r="AB574" s="34">
        <v>1</v>
      </c>
      <c r="AC574" s="34">
        <v>1</v>
      </c>
      <c r="AD574" s="34">
        <v>1</v>
      </c>
      <c r="AE574" s="34">
        <v>1</v>
      </c>
      <c r="AF574" s="34">
        <v>1</v>
      </c>
      <c r="AG574" s="34">
        <v>1</v>
      </c>
      <c r="AH574" s="34">
        <v>1</v>
      </c>
      <c r="AI574" s="34">
        <v>1</v>
      </c>
      <c r="AJ574" s="34">
        <v>1</v>
      </c>
      <c r="AK574" s="10">
        <f t="shared" si="34"/>
        <v>13</v>
      </c>
      <c r="AL574" s="11">
        <v>32000</v>
      </c>
      <c r="AM574" s="12">
        <f t="shared" si="35"/>
        <v>416000</v>
      </c>
    </row>
    <row r="575" spans="1:39" ht="13.5" customHeight="1">
      <c r="A575" s="48" t="s">
        <v>84</v>
      </c>
      <c r="B575" s="32">
        <v>27</v>
      </c>
      <c r="C575" s="33" t="s">
        <v>632</v>
      </c>
      <c r="D575" s="33" t="s">
        <v>632</v>
      </c>
      <c r="E575" s="33" t="s">
        <v>9</v>
      </c>
      <c r="F575" s="32" t="s">
        <v>633</v>
      </c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34">
        <v>1</v>
      </c>
      <c r="Y575" s="34">
        <v>1</v>
      </c>
      <c r="Z575" s="34">
        <v>1</v>
      </c>
      <c r="AA575" s="34">
        <v>1</v>
      </c>
      <c r="AB575" s="34">
        <v>1</v>
      </c>
      <c r="AC575" s="34">
        <v>1</v>
      </c>
      <c r="AD575" s="34">
        <v>1</v>
      </c>
      <c r="AE575" s="34">
        <v>1</v>
      </c>
      <c r="AF575" s="34">
        <v>1</v>
      </c>
      <c r="AG575" s="34">
        <v>1</v>
      </c>
      <c r="AH575" s="34">
        <v>1</v>
      </c>
      <c r="AI575" s="34">
        <v>1</v>
      </c>
      <c r="AJ575" s="34">
        <v>1</v>
      </c>
      <c r="AK575" s="10">
        <f t="shared" si="34"/>
        <v>13</v>
      </c>
      <c r="AL575" s="11">
        <v>32000</v>
      </c>
      <c r="AM575" s="12">
        <f t="shared" si="35"/>
        <v>416000</v>
      </c>
    </row>
    <row r="576" spans="1:39" ht="13.5" customHeight="1">
      <c r="A576" s="48" t="s">
        <v>84</v>
      </c>
      <c r="B576" s="32">
        <v>35</v>
      </c>
      <c r="C576" s="33" t="s">
        <v>66</v>
      </c>
      <c r="D576" s="33" t="s">
        <v>474</v>
      </c>
      <c r="E576" s="33" t="s">
        <v>337</v>
      </c>
      <c r="F576" s="32" t="s">
        <v>475</v>
      </c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34">
        <v>1</v>
      </c>
      <c r="Y576" s="34">
        <v>1</v>
      </c>
      <c r="Z576" s="34">
        <v>1</v>
      </c>
      <c r="AA576" s="34">
        <v>1</v>
      </c>
      <c r="AB576" s="34">
        <v>1</v>
      </c>
      <c r="AC576" s="34">
        <v>1</v>
      </c>
      <c r="AD576" s="34">
        <v>1</v>
      </c>
      <c r="AE576" s="34">
        <v>1</v>
      </c>
      <c r="AF576" s="34">
        <v>1</v>
      </c>
      <c r="AG576" s="34">
        <v>1</v>
      </c>
      <c r="AH576" s="34">
        <v>1</v>
      </c>
      <c r="AI576" s="34">
        <v>1</v>
      </c>
      <c r="AJ576" s="34">
        <v>1</v>
      </c>
      <c r="AK576" s="10">
        <f t="shared" si="34"/>
        <v>13</v>
      </c>
      <c r="AL576" s="11">
        <v>32000</v>
      </c>
      <c r="AM576" s="12">
        <f t="shared" si="35"/>
        <v>416000</v>
      </c>
    </row>
    <row r="577" spans="1:39" ht="13.5" customHeight="1">
      <c r="A577" s="48" t="s">
        <v>84</v>
      </c>
      <c r="B577" s="32">
        <v>35</v>
      </c>
      <c r="C577" s="33" t="s">
        <v>89</v>
      </c>
      <c r="D577" s="33" t="s">
        <v>24</v>
      </c>
      <c r="E577" s="33" t="s">
        <v>651</v>
      </c>
      <c r="F577" s="32" t="s">
        <v>655</v>
      </c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34">
        <v>1</v>
      </c>
      <c r="Y577" s="34">
        <v>1</v>
      </c>
      <c r="Z577" s="34">
        <v>1</v>
      </c>
      <c r="AA577" s="34">
        <v>1</v>
      </c>
      <c r="AB577" s="34">
        <v>1</v>
      </c>
      <c r="AC577" s="34">
        <v>1</v>
      </c>
      <c r="AD577" s="34">
        <v>1</v>
      </c>
      <c r="AE577" s="34">
        <v>1</v>
      </c>
      <c r="AF577" s="34">
        <v>1</v>
      </c>
      <c r="AG577" s="34">
        <v>1</v>
      </c>
      <c r="AH577" s="34">
        <v>1</v>
      </c>
      <c r="AI577" s="34">
        <v>1</v>
      </c>
      <c r="AJ577" s="34">
        <v>1</v>
      </c>
      <c r="AK577" s="10">
        <f t="shared" si="34"/>
        <v>13</v>
      </c>
      <c r="AL577" s="11">
        <v>32000</v>
      </c>
      <c r="AM577" s="12">
        <f t="shared" si="35"/>
        <v>416000</v>
      </c>
    </row>
    <row r="578" spans="1:39" ht="13.5" customHeight="1">
      <c r="A578" s="48" t="s">
        <v>84</v>
      </c>
      <c r="B578" s="32">
        <v>39</v>
      </c>
      <c r="C578" s="33" t="s">
        <v>431</v>
      </c>
      <c r="D578" s="33" t="s">
        <v>66</v>
      </c>
      <c r="E578" s="33" t="s">
        <v>211</v>
      </c>
      <c r="F578" s="32" t="s">
        <v>432</v>
      </c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34">
        <v>1</v>
      </c>
      <c r="Y578" s="34">
        <v>1</v>
      </c>
      <c r="Z578" s="34">
        <v>1</v>
      </c>
      <c r="AA578" s="34">
        <v>1</v>
      </c>
      <c r="AB578" s="34">
        <v>1</v>
      </c>
      <c r="AC578" s="34">
        <v>1</v>
      </c>
      <c r="AD578" s="34">
        <v>1</v>
      </c>
      <c r="AE578" s="34">
        <v>1</v>
      </c>
      <c r="AF578" s="34">
        <v>1</v>
      </c>
      <c r="AG578" s="34">
        <v>1</v>
      </c>
      <c r="AH578" s="34">
        <v>1</v>
      </c>
      <c r="AI578" s="34">
        <v>1</v>
      </c>
      <c r="AJ578" s="34">
        <v>1</v>
      </c>
      <c r="AK578" s="10">
        <f t="shared" si="34"/>
        <v>13</v>
      </c>
      <c r="AL578" s="11">
        <v>32000</v>
      </c>
      <c r="AM578" s="12">
        <f t="shared" si="35"/>
        <v>416000</v>
      </c>
    </row>
    <row r="579" spans="1:39" ht="13.5" customHeight="1">
      <c r="A579" s="48" t="s">
        <v>84</v>
      </c>
      <c r="B579" s="32">
        <v>39</v>
      </c>
      <c r="C579" s="33" t="s">
        <v>85</v>
      </c>
      <c r="D579" s="33" t="s">
        <v>430</v>
      </c>
      <c r="E579" s="33" t="s">
        <v>1032</v>
      </c>
      <c r="F579" s="32" t="s">
        <v>433</v>
      </c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34">
        <v>1</v>
      </c>
      <c r="Y579" s="34">
        <v>1</v>
      </c>
      <c r="Z579" s="34">
        <v>1</v>
      </c>
      <c r="AA579" s="34">
        <v>1</v>
      </c>
      <c r="AB579" s="34">
        <v>1</v>
      </c>
      <c r="AC579" s="34">
        <v>1</v>
      </c>
      <c r="AD579" s="34">
        <v>1</v>
      </c>
      <c r="AE579" s="34">
        <v>1</v>
      </c>
      <c r="AF579" s="34">
        <v>1</v>
      </c>
      <c r="AG579" s="34">
        <v>1</v>
      </c>
      <c r="AH579" s="34">
        <v>1</v>
      </c>
      <c r="AI579" s="34">
        <v>1</v>
      </c>
      <c r="AJ579" s="34">
        <v>1</v>
      </c>
      <c r="AK579" s="10">
        <f t="shared" si="34"/>
        <v>13</v>
      </c>
      <c r="AL579" s="11">
        <v>32000</v>
      </c>
      <c r="AM579" s="12">
        <f t="shared" si="35"/>
        <v>416000</v>
      </c>
    </row>
    <row r="580" spans="1:39" ht="13.5" customHeight="1">
      <c r="A580" s="48" t="s">
        <v>84</v>
      </c>
      <c r="B580" s="32">
        <v>88</v>
      </c>
      <c r="C580" s="33" t="s">
        <v>342</v>
      </c>
      <c r="D580" s="33" t="s">
        <v>20</v>
      </c>
      <c r="E580" s="33" t="s">
        <v>761</v>
      </c>
      <c r="F580" s="32" t="s">
        <v>642</v>
      </c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34">
        <v>1</v>
      </c>
      <c r="Y580" s="34">
        <v>1</v>
      </c>
      <c r="Z580" s="34">
        <v>1</v>
      </c>
      <c r="AA580" s="34">
        <v>1</v>
      </c>
      <c r="AB580" s="34">
        <v>1</v>
      </c>
      <c r="AC580" s="34">
        <v>1</v>
      </c>
      <c r="AD580" s="34">
        <v>1</v>
      </c>
      <c r="AE580" s="34">
        <v>1</v>
      </c>
      <c r="AF580" s="34">
        <v>1</v>
      </c>
      <c r="AG580" s="34">
        <v>1</v>
      </c>
      <c r="AH580" s="34">
        <v>1</v>
      </c>
      <c r="AI580" s="34">
        <v>1</v>
      </c>
      <c r="AJ580" s="34">
        <v>1</v>
      </c>
      <c r="AK580" s="10">
        <f t="shared" si="34"/>
        <v>13</v>
      </c>
      <c r="AL580" s="11">
        <v>32000</v>
      </c>
      <c r="AM580" s="12">
        <f t="shared" si="35"/>
        <v>416000</v>
      </c>
    </row>
    <row r="581" spans="1:39" ht="13.5" customHeight="1">
      <c r="A581" s="48" t="s">
        <v>84</v>
      </c>
      <c r="B581" s="32">
        <v>88</v>
      </c>
      <c r="C581" s="33" t="s">
        <v>210</v>
      </c>
      <c r="D581" s="33" t="s">
        <v>210</v>
      </c>
      <c r="E581" s="33" t="s">
        <v>626</v>
      </c>
      <c r="F581" s="32" t="s">
        <v>641</v>
      </c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34">
        <v>1</v>
      </c>
      <c r="Y581" s="34">
        <v>1</v>
      </c>
      <c r="Z581" s="34">
        <v>1</v>
      </c>
      <c r="AA581" s="34">
        <v>1</v>
      </c>
      <c r="AB581" s="34">
        <v>1</v>
      </c>
      <c r="AC581" s="34">
        <v>1</v>
      </c>
      <c r="AD581" s="34">
        <v>1</v>
      </c>
      <c r="AE581" s="34">
        <v>1</v>
      </c>
      <c r="AF581" s="34">
        <v>1</v>
      </c>
      <c r="AG581" s="34">
        <v>1</v>
      </c>
      <c r="AH581" s="34">
        <v>1</v>
      </c>
      <c r="AI581" s="34">
        <v>1</v>
      </c>
      <c r="AJ581" s="34">
        <v>1</v>
      </c>
      <c r="AK581" s="10">
        <f t="shared" si="34"/>
        <v>13</v>
      </c>
      <c r="AL581" s="11">
        <v>32000</v>
      </c>
      <c r="AM581" s="12">
        <f t="shared" si="35"/>
        <v>416000</v>
      </c>
    </row>
    <row r="582" spans="1:39" ht="13.5" customHeight="1">
      <c r="A582" s="48" t="s">
        <v>84</v>
      </c>
      <c r="B582" s="32">
        <v>89</v>
      </c>
      <c r="C582" s="33" t="s">
        <v>629</v>
      </c>
      <c r="D582" s="33" t="s">
        <v>630</v>
      </c>
      <c r="E582" s="33" t="s">
        <v>11</v>
      </c>
      <c r="F582" s="32" t="s">
        <v>635</v>
      </c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34">
        <v>1</v>
      </c>
      <c r="Y582" s="34">
        <v>1</v>
      </c>
      <c r="Z582" s="34">
        <v>1</v>
      </c>
      <c r="AA582" s="34">
        <v>1</v>
      </c>
      <c r="AB582" s="34">
        <v>1</v>
      </c>
      <c r="AC582" s="34">
        <v>1</v>
      </c>
      <c r="AD582" s="34">
        <v>1</v>
      </c>
      <c r="AE582" s="34">
        <v>1</v>
      </c>
      <c r="AF582" s="34">
        <v>1</v>
      </c>
      <c r="AG582" s="34">
        <v>1</v>
      </c>
      <c r="AH582" s="34">
        <v>1</v>
      </c>
      <c r="AI582" s="34">
        <v>1</v>
      </c>
      <c r="AJ582" s="34">
        <v>1</v>
      </c>
      <c r="AK582" s="10">
        <f t="shared" si="34"/>
        <v>13</v>
      </c>
      <c r="AL582" s="11">
        <v>32000</v>
      </c>
      <c r="AM582" s="12">
        <f t="shared" si="35"/>
        <v>416000</v>
      </c>
    </row>
    <row r="583" spans="1:39" ht="13.5" customHeight="1">
      <c r="A583" s="48" t="s">
        <v>84</v>
      </c>
      <c r="B583" s="35" t="s">
        <v>1111</v>
      </c>
      <c r="C583" s="36" t="s">
        <v>373</v>
      </c>
      <c r="D583" s="36" t="s">
        <v>1115</v>
      </c>
      <c r="E583" s="36" t="s">
        <v>1116</v>
      </c>
      <c r="F583" s="35" t="s">
        <v>1121</v>
      </c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34">
        <v>1</v>
      </c>
      <c r="Y583" s="34">
        <v>1</v>
      </c>
      <c r="Z583" s="34">
        <v>1</v>
      </c>
      <c r="AA583" s="34">
        <v>1</v>
      </c>
      <c r="AB583" s="34">
        <v>1</v>
      </c>
      <c r="AC583" s="34">
        <v>1</v>
      </c>
      <c r="AD583" s="34">
        <v>1</v>
      </c>
      <c r="AE583" s="34">
        <v>1</v>
      </c>
      <c r="AF583" s="34">
        <v>1</v>
      </c>
      <c r="AG583" s="34">
        <v>1</v>
      </c>
      <c r="AH583" s="34">
        <v>1</v>
      </c>
      <c r="AI583" s="34">
        <v>1</v>
      </c>
      <c r="AJ583" s="34">
        <v>1</v>
      </c>
      <c r="AK583" s="10">
        <f t="shared" si="32"/>
        <v>13</v>
      </c>
      <c r="AL583" s="11">
        <v>32000</v>
      </c>
      <c r="AM583" s="12">
        <f t="shared" si="33"/>
        <v>416000</v>
      </c>
    </row>
    <row r="584" spans="1:39" ht="13.5" customHeight="1">
      <c r="A584" s="48" t="s">
        <v>84</v>
      </c>
      <c r="B584" s="35" t="s">
        <v>1111</v>
      </c>
      <c r="C584" s="36" t="s">
        <v>115</v>
      </c>
      <c r="D584" s="36" t="s">
        <v>899</v>
      </c>
      <c r="E584" s="36" t="s">
        <v>192</v>
      </c>
      <c r="F584" s="35" t="s">
        <v>1120</v>
      </c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34">
        <v>1</v>
      </c>
      <c r="Y584" s="34">
        <v>1</v>
      </c>
      <c r="Z584" s="34">
        <v>1</v>
      </c>
      <c r="AA584" s="34">
        <v>1</v>
      </c>
      <c r="AB584" s="34">
        <v>1</v>
      </c>
      <c r="AC584" s="34">
        <v>1</v>
      </c>
      <c r="AD584" s="34">
        <v>1</v>
      </c>
      <c r="AE584" s="34">
        <v>1</v>
      </c>
      <c r="AF584" s="34">
        <v>1</v>
      </c>
      <c r="AG584" s="34">
        <v>1</v>
      </c>
      <c r="AH584" s="34">
        <v>1</v>
      </c>
      <c r="AI584" s="34">
        <v>1</v>
      </c>
      <c r="AJ584" s="34">
        <v>1</v>
      </c>
      <c r="AK584" s="10">
        <f t="shared" ref="AK584:AK586" si="36">SUM(G584:AJ584)</f>
        <v>13</v>
      </c>
      <c r="AL584" s="11">
        <v>32000</v>
      </c>
      <c r="AM584" s="12">
        <f t="shared" ref="AM584:AM586" si="37">AL584*AK584</f>
        <v>416000</v>
      </c>
    </row>
    <row r="585" spans="1:39" ht="13.5" customHeight="1">
      <c r="A585" s="48" t="s">
        <v>84</v>
      </c>
      <c r="B585" s="35" t="s">
        <v>1112</v>
      </c>
      <c r="C585" s="36" t="s">
        <v>1073</v>
      </c>
      <c r="D585" s="36" t="s">
        <v>20</v>
      </c>
      <c r="E585" s="36" t="s">
        <v>9</v>
      </c>
      <c r="F585" s="35" t="s">
        <v>1119</v>
      </c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34">
        <v>1</v>
      </c>
      <c r="Y585" s="34">
        <v>1</v>
      </c>
      <c r="Z585" s="34">
        <v>1</v>
      </c>
      <c r="AA585" s="34">
        <v>1</v>
      </c>
      <c r="AB585" s="34">
        <v>1</v>
      </c>
      <c r="AC585" s="34">
        <v>1</v>
      </c>
      <c r="AD585" s="34">
        <v>1</v>
      </c>
      <c r="AE585" s="34">
        <v>1</v>
      </c>
      <c r="AF585" s="34">
        <v>1</v>
      </c>
      <c r="AG585" s="34">
        <v>1</v>
      </c>
      <c r="AH585" s="34">
        <v>1</v>
      </c>
      <c r="AI585" s="34">
        <v>1</v>
      </c>
      <c r="AJ585" s="34">
        <v>1</v>
      </c>
      <c r="AK585" s="10">
        <f t="shared" si="36"/>
        <v>13</v>
      </c>
      <c r="AL585" s="11">
        <v>32000</v>
      </c>
      <c r="AM585" s="12">
        <f t="shared" si="37"/>
        <v>416000</v>
      </c>
    </row>
    <row r="586" spans="1:39" ht="13.5" customHeight="1">
      <c r="A586" s="48" t="s">
        <v>84</v>
      </c>
      <c r="B586" s="35" t="s">
        <v>1112</v>
      </c>
      <c r="C586" s="36" t="s">
        <v>340</v>
      </c>
      <c r="D586" s="36" t="s">
        <v>46</v>
      </c>
      <c r="E586" s="36" t="s">
        <v>1117</v>
      </c>
      <c r="F586" s="35" t="s">
        <v>1118</v>
      </c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34">
        <v>1</v>
      </c>
      <c r="Y586" s="34">
        <v>1</v>
      </c>
      <c r="Z586" s="34">
        <v>1</v>
      </c>
      <c r="AA586" s="34">
        <v>1</v>
      </c>
      <c r="AB586" s="34">
        <v>1</v>
      </c>
      <c r="AC586" s="34">
        <v>1</v>
      </c>
      <c r="AD586" s="34">
        <v>1</v>
      </c>
      <c r="AE586" s="34">
        <v>1</v>
      </c>
      <c r="AF586" s="34">
        <v>1</v>
      </c>
      <c r="AG586" s="34">
        <v>1</v>
      </c>
      <c r="AH586" s="34">
        <v>1</v>
      </c>
      <c r="AI586" s="34">
        <v>1</v>
      </c>
      <c r="AJ586" s="34">
        <v>1</v>
      </c>
      <c r="AK586" s="10">
        <f t="shared" si="36"/>
        <v>13</v>
      </c>
      <c r="AL586" s="11">
        <v>32000</v>
      </c>
      <c r="AM586" s="12">
        <f t="shared" si="37"/>
        <v>416000</v>
      </c>
    </row>
    <row r="587" spans="1:39" ht="13.5" customHeight="1">
      <c r="A587" s="48" t="s">
        <v>84</v>
      </c>
      <c r="B587" s="35">
        <v>9</v>
      </c>
      <c r="C587" s="36" t="s">
        <v>286</v>
      </c>
      <c r="D587" s="36" t="s">
        <v>364</v>
      </c>
      <c r="E587" s="36" t="s">
        <v>23</v>
      </c>
      <c r="F587" s="35" t="s">
        <v>713</v>
      </c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34">
        <v>1</v>
      </c>
      <c r="Y587" s="34">
        <v>1</v>
      </c>
      <c r="Z587" s="34">
        <v>1</v>
      </c>
      <c r="AA587" s="34">
        <v>1</v>
      </c>
      <c r="AB587" s="34">
        <v>1</v>
      </c>
      <c r="AC587" s="34">
        <v>1</v>
      </c>
      <c r="AD587" s="34">
        <v>1</v>
      </c>
      <c r="AE587" s="34">
        <v>1</v>
      </c>
      <c r="AF587" s="34">
        <v>1</v>
      </c>
      <c r="AG587" s="34">
        <v>1</v>
      </c>
      <c r="AH587" s="34">
        <v>1</v>
      </c>
      <c r="AI587" s="34">
        <v>1</v>
      </c>
      <c r="AJ587" s="34">
        <v>1</v>
      </c>
      <c r="AK587" s="10">
        <f t="shared" ref="AK587:AK602" si="38">SUM(G587:AJ587)</f>
        <v>13</v>
      </c>
      <c r="AL587" s="11">
        <v>32000</v>
      </c>
      <c r="AM587" s="12">
        <f t="shared" ref="AM587:AM602" si="39">AL587*AK587</f>
        <v>416000</v>
      </c>
    </row>
    <row r="588" spans="1:39" ht="13.5" customHeight="1">
      <c r="A588" s="48" t="s">
        <v>84</v>
      </c>
      <c r="B588" s="35">
        <v>22</v>
      </c>
      <c r="C588" s="36" t="s">
        <v>395</v>
      </c>
      <c r="D588" s="36" t="s">
        <v>696</v>
      </c>
      <c r="E588" s="36" t="s">
        <v>1131</v>
      </c>
      <c r="F588" s="35" t="s">
        <v>701</v>
      </c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34">
        <v>1</v>
      </c>
      <c r="Y588" s="34">
        <v>1</v>
      </c>
      <c r="Z588" s="34">
        <v>1</v>
      </c>
      <c r="AA588" s="34">
        <v>1</v>
      </c>
      <c r="AB588" s="34">
        <v>1</v>
      </c>
      <c r="AC588" s="34">
        <v>1</v>
      </c>
      <c r="AD588" s="34">
        <v>1</v>
      </c>
      <c r="AE588" s="34">
        <v>1</v>
      </c>
      <c r="AF588" s="34">
        <v>1</v>
      </c>
      <c r="AG588" s="34">
        <v>1</v>
      </c>
      <c r="AH588" s="34">
        <v>1</v>
      </c>
      <c r="AI588" s="34">
        <v>1</v>
      </c>
      <c r="AJ588" s="34">
        <v>1</v>
      </c>
      <c r="AK588" s="10">
        <f t="shared" si="38"/>
        <v>13</v>
      </c>
      <c r="AL588" s="11">
        <v>32000</v>
      </c>
      <c r="AM588" s="12">
        <f t="shared" si="39"/>
        <v>416000</v>
      </c>
    </row>
    <row r="589" spans="1:39" ht="13.5" customHeight="1">
      <c r="A589" s="48" t="s">
        <v>84</v>
      </c>
      <c r="B589" s="35">
        <v>22</v>
      </c>
      <c r="C589" s="36" t="s">
        <v>63</v>
      </c>
      <c r="D589" s="36" t="s">
        <v>629</v>
      </c>
      <c r="E589" s="36" t="s">
        <v>29</v>
      </c>
      <c r="F589" s="35" t="s">
        <v>700</v>
      </c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34">
        <v>1</v>
      </c>
      <c r="Y589" s="34">
        <v>1</v>
      </c>
      <c r="Z589" s="34">
        <v>1</v>
      </c>
      <c r="AA589" s="34">
        <v>1</v>
      </c>
      <c r="AB589" s="34">
        <v>1</v>
      </c>
      <c r="AC589" s="34">
        <v>1</v>
      </c>
      <c r="AD589" s="34">
        <v>1</v>
      </c>
      <c r="AE589" s="34">
        <v>1</v>
      </c>
      <c r="AF589" s="34">
        <v>1</v>
      </c>
      <c r="AG589" s="34">
        <v>1</v>
      </c>
      <c r="AH589" s="34">
        <v>1</v>
      </c>
      <c r="AI589" s="34">
        <v>1</v>
      </c>
      <c r="AJ589" s="34">
        <v>1</v>
      </c>
      <c r="AK589" s="10">
        <f t="shared" si="38"/>
        <v>13</v>
      </c>
      <c r="AL589" s="11">
        <v>32000</v>
      </c>
      <c r="AM589" s="12">
        <f t="shared" si="39"/>
        <v>416000</v>
      </c>
    </row>
    <row r="590" spans="1:39" ht="13.5" customHeight="1">
      <c r="A590" s="48" t="s">
        <v>84</v>
      </c>
      <c r="B590" s="35">
        <v>108</v>
      </c>
      <c r="C590" s="36" t="s">
        <v>167</v>
      </c>
      <c r="D590" s="36" t="s">
        <v>601</v>
      </c>
      <c r="E590" s="36" t="s">
        <v>707</v>
      </c>
      <c r="F590" s="35" t="s">
        <v>716</v>
      </c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34">
        <v>1</v>
      </c>
      <c r="Y590" s="34">
        <v>1</v>
      </c>
      <c r="Z590" s="34">
        <v>1</v>
      </c>
      <c r="AA590" s="34">
        <v>1</v>
      </c>
      <c r="AB590" s="34">
        <v>1</v>
      </c>
      <c r="AC590" s="34">
        <v>1</v>
      </c>
      <c r="AD590" s="34">
        <v>1</v>
      </c>
      <c r="AE590" s="34">
        <v>1</v>
      </c>
      <c r="AF590" s="34">
        <v>1</v>
      </c>
      <c r="AG590" s="34">
        <v>1</v>
      </c>
      <c r="AH590" s="34">
        <v>1</v>
      </c>
      <c r="AI590" s="34">
        <v>1</v>
      </c>
      <c r="AJ590" s="34">
        <v>1</v>
      </c>
      <c r="AK590" s="10">
        <f t="shared" si="38"/>
        <v>13</v>
      </c>
      <c r="AL590" s="11">
        <v>32000</v>
      </c>
      <c r="AM590" s="12">
        <f t="shared" si="39"/>
        <v>416000</v>
      </c>
    </row>
    <row r="591" spans="1:39" ht="13.5" customHeight="1">
      <c r="A591" s="48" t="s">
        <v>84</v>
      </c>
      <c r="B591" s="35">
        <v>108</v>
      </c>
      <c r="C591" s="36" t="s">
        <v>698</v>
      </c>
      <c r="D591" s="36" t="s">
        <v>227</v>
      </c>
      <c r="E591" s="36" t="s">
        <v>261</v>
      </c>
      <c r="F591" s="35" t="s">
        <v>699</v>
      </c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34">
        <v>1</v>
      </c>
      <c r="Y591" s="34">
        <v>1</v>
      </c>
      <c r="Z591" s="34">
        <v>1</v>
      </c>
      <c r="AA591" s="34">
        <v>1</v>
      </c>
      <c r="AB591" s="34">
        <v>1</v>
      </c>
      <c r="AC591" s="34">
        <v>1</v>
      </c>
      <c r="AD591" s="34">
        <v>1</v>
      </c>
      <c r="AE591" s="34">
        <v>1</v>
      </c>
      <c r="AF591" s="34">
        <v>1</v>
      </c>
      <c r="AG591" s="34">
        <v>1</v>
      </c>
      <c r="AH591" s="34">
        <v>1</v>
      </c>
      <c r="AI591" s="34">
        <v>1</v>
      </c>
      <c r="AJ591" s="34">
        <v>1</v>
      </c>
      <c r="AK591" s="10">
        <f t="shared" si="38"/>
        <v>13</v>
      </c>
      <c r="AL591" s="11">
        <v>32000</v>
      </c>
      <c r="AM591" s="12">
        <f t="shared" si="39"/>
        <v>416000</v>
      </c>
    </row>
    <row r="592" spans="1:39" ht="13.5" customHeight="1">
      <c r="A592" s="48" t="s">
        <v>84</v>
      </c>
      <c r="B592" s="35">
        <v>8</v>
      </c>
      <c r="C592" s="36" t="s">
        <v>692</v>
      </c>
      <c r="D592" s="36" t="s">
        <v>394</v>
      </c>
      <c r="E592" s="36" t="s">
        <v>25</v>
      </c>
      <c r="F592" s="35" t="s">
        <v>705</v>
      </c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34">
        <v>1</v>
      </c>
      <c r="Y592" s="34">
        <v>1</v>
      </c>
      <c r="Z592" s="34">
        <v>1</v>
      </c>
      <c r="AA592" s="34">
        <v>1</v>
      </c>
      <c r="AB592" s="34">
        <v>1</v>
      </c>
      <c r="AC592" s="34">
        <v>1</v>
      </c>
      <c r="AD592" s="34">
        <v>1</v>
      </c>
      <c r="AE592" s="34">
        <v>1</v>
      </c>
      <c r="AF592" s="34">
        <v>1</v>
      </c>
      <c r="AG592" s="34">
        <v>1</v>
      </c>
      <c r="AH592" s="34">
        <v>1</v>
      </c>
      <c r="AI592" s="34">
        <v>1</v>
      </c>
      <c r="AJ592" s="34">
        <v>1</v>
      </c>
      <c r="AK592" s="10">
        <f t="shared" si="38"/>
        <v>13</v>
      </c>
      <c r="AL592" s="11">
        <v>32000</v>
      </c>
      <c r="AM592" s="12">
        <f t="shared" si="39"/>
        <v>416000</v>
      </c>
    </row>
    <row r="593" spans="1:39" ht="13.5" customHeight="1">
      <c r="A593" s="48" t="s">
        <v>84</v>
      </c>
      <c r="B593" s="35">
        <v>8</v>
      </c>
      <c r="C593" s="36" t="s">
        <v>752</v>
      </c>
      <c r="D593" s="36" t="s">
        <v>709</v>
      </c>
      <c r="E593" s="36" t="s">
        <v>86</v>
      </c>
      <c r="F593" s="35" t="s">
        <v>714</v>
      </c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34">
        <v>1</v>
      </c>
      <c r="Y593" s="34">
        <v>1</v>
      </c>
      <c r="Z593" s="34">
        <v>1</v>
      </c>
      <c r="AA593" s="34">
        <v>1</v>
      </c>
      <c r="AB593" s="34">
        <v>1</v>
      </c>
      <c r="AC593" s="34">
        <v>1</v>
      </c>
      <c r="AD593" s="34">
        <v>1</v>
      </c>
      <c r="AE593" s="34">
        <v>1</v>
      </c>
      <c r="AF593" s="34">
        <v>1</v>
      </c>
      <c r="AG593" s="34">
        <v>1</v>
      </c>
      <c r="AH593" s="34">
        <v>1</v>
      </c>
      <c r="AI593" s="34">
        <v>1</v>
      </c>
      <c r="AJ593" s="34">
        <v>1</v>
      </c>
      <c r="AK593" s="10">
        <f t="shared" si="38"/>
        <v>13</v>
      </c>
      <c r="AL593" s="11">
        <v>32000</v>
      </c>
      <c r="AM593" s="12">
        <f t="shared" si="39"/>
        <v>416000</v>
      </c>
    </row>
    <row r="594" spans="1:39" ht="13.5" customHeight="1">
      <c r="A594" s="48" t="s">
        <v>84</v>
      </c>
      <c r="B594" s="35">
        <v>24</v>
      </c>
      <c r="C594" s="36" t="s">
        <v>693</v>
      </c>
      <c r="D594" s="36" t="s">
        <v>13</v>
      </c>
      <c r="E594" s="36" t="s">
        <v>694</v>
      </c>
      <c r="F594" s="35" t="s">
        <v>704</v>
      </c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34">
        <v>1</v>
      </c>
      <c r="Y594" s="34">
        <v>1</v>
      </c>
      <c r="Z594" s="34">
        <v>1</v>
      </c>
      <c r="AA594" s="34">
        <v>1</v>
      </c>
      <c r="AB594" s="34">
        <v>1</v>
      </c>
      <c r="AC594" s="34">
        <v>1</v>
      </c>
      <c r="AD594" s="34">
        <v>1</v>
      </c>
      <c r="AE594" s="34">
        <v>1</v>
      </c>
      <c r="AF594" s="34">
        <v>1</v>
      </c>
      <c r="AG594" s="34">
        <v>1</v>
      </c>
      <c r="AH594" s="34">
        <v>1</v>
      </c>
      <c r="AI594" s="34">
        <v>1</v>
      </c>
      <c r="AJ594" s="34">
        <v>1</v>
      </c>
      <c r="AK594" s="10">
        <f t="shared" si="38"/>
        <v>13</v>
      </c>
      <c r="AL594" s="11">
        <v>32000</v>
      </c>
      <c r="AM594" s="12">
        <f t="shared" si="39"/>
        <v>416000</v>
      </c>
    </row>
    <row r="595" spans="1:39" ht="13.5" customHeight="1">
      <c r="A595" s="48" t="s">
        <v>84</v>
      </c>
      <c r="B595" s="35">
        <v>24</v>
      </c>
      <c r="C595" s="36" t="s">
        <v>693</v>
      </c>
      <c r="D595" s="36" t="s">
        <v>695</v>
      </c>
      <c r="E595" s="36" t="s">
        <v>317</v>
      </c>
      <c r="F595" s="35" t="s">
        <v>703</v>
      </c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34">
        <v>1</v>
      </c>
      <c r="Y595" s="34">
        <v>1</v>
      </c>
      <c r="Z595" s="34">
        <v>1</v>
      </c>
      <c r="AA595" s="34">
        <v>1</v>
      </c>
      <c r="AB595" s="34">
        <v>1</v>
      </c>
      <c r="AC595" s="34">
        <v>1</v>
      </c>
      <c r="AD595" s="34">
        <v>1</v>
      </c>
      <c r="AE595" s="34">
        <v>1</v>
      </c>
      <c r="AF595" s="34">
        <v>1</v>
      </c>
      <c r="AG595" s="34">
        <v>1</v>
      </c>
      <c r="AH595" s="34">
        <v>1</v>
      </c>
      <c r="AI595" s="34">
        <v>1</v>
      </c>
      <c r="AJ595" s="34">
        <v>1</v>
      </c>
      <c r="AK595" s="10">
        <f t="shared" si="38"/>
        <v>13</v>
      </c>
      <c r="AL595" s="11">
        <v>32000</v>
      </c>
      <c r="AM595" s="12">
        <f t="shared" si="39"/>
        <v>416000</v>
      </c>
    </row>
    <row r="596" spans="1:39" ht="13.5" customHeight="1">
      <c r="A596" s="48" t="s">
        <v>84</v>
      </c>
      <c r="B596" s="35">
        <v>56</v>
      </c>
      <c r="C596" s="36" t="s">
        <v>315</v>
      </c>
      <c r="D596" s="36" t="s">
        <v>89</v>
      </c>
      <c r="E596" s="36" t="s">
        <v>708</v>
      </c>
      <c r="F596" s="35" t="s">
        <v>715</v>
      </c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34">
        <v>1</v>
      </c>
      <c r="Y596" s="34">
        <v>1</v>
      </c>
      <c r="Z596" s="34">
        <v>1</v>
      </c>
      <c r="AA596" s="34">
        <v>1</v>
      </c>
      <c r="AB596" s="34">
        <v>1</v>
      </c>
      <c r="AC596" s="34">
        <v>1</v>
      </c>
      <c r="AD596" s="34">
        <v>1</v>
      </c>
      <c r="AE596" s="34">
        <v>1</v>
      </c>
      <c r="AF596" s="34">
        <v>1</v>
      </c>
      <c r="AG596" s="34">
        <v>1</v>
      </c>
      <c r="AH596" s="34">
        <v>1</v>
      </c>
      <c r="AI596" s="34">
        <v>1</v>
      </c>
      <c r="AJ596" s="34">
        <v>1</v>
      </c>
      <c r="AK596" s="10">
        <f t="shared" si="38"/>
        <v>13</v>
      </c>
      <c r="AL596" s="11">
        <v>32000</v>
      </c>
      <c r="AM596" s="12">
        <f t="shared" si="39"/>
        <v>416000</v>
      </c>
    </row>
    <row r="597" spans="1:39" ht="13.5" customHeight="1">
      <c r="A597" s="48" t="s">
        <v>84</v>
      </c>
      <c r="B597" s="35">
        <v>56</v>
      </c>
      <c r="C597" s="36" t="s">
        <v>691</v>
      </c>
      <c r="D597" s="36" t="s">
        <v>227</v>
      </c>
      <c r="E597" s="36" t="s">
        <v>192</v>
      </c>
      <c r="F597" s="35" t="s">
        <v>706</v>
      </c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34">
        <v>1</v>
      </c>
      <c r="Y597" s="34">
        <v>1</v>
      </c>
      <c r="Z597" s="34">
        <v>1</v>
      </c>
      <c r="AA597" s="34">
        <v>1</v>
      </c>
      <c r="AB597" s="34">
        <v>1</v>
      </c>
      <c r="AC597" s="34">
        <v>1</v>
      </c>
      <c r="AD597" s="34">
        <v>1</v>
      </c>
      <c r="AE597" s="34">
        <v>1</v>
      </c>
      <c r="AF597" s="34">
        <v>1</v>
      </c>
      <c r="AG597" s="34">
        <v>1</v>
      </c>
      <c r="AH597" s="34">
        <v>1</v>
      </c>
      <c r="AI597" s="34">
        <v>1</v>
      </c>
      <c r="AJ597" s="34">
        <v>1</v>
      </c>
      <c r="AK597" s="10">
        <f t="shared" si="38"/>
        <v>13</v>
      </c>
      <c r="AL597" s="11">
        <v>32000</v>
      </c>
      <c r="AM597" s="12">
        <f t="shared" si="39"/>
        <v>416000</v>
      </c>
    </row>
    <row r="598" spans="1:39" ht="13.5" customHeight="1">
      <c r="A598" s="48" t="s">
        <v>84</v>
      </c>
      <c r="B598" s="35">
        <v>77</v>
      </c>
      <c r="C598" s="36" t="s">
        <v>538</v>
      </c>
      <c r="D598" s="36" t="s">
        <v>538</v>
      </c>
      <c r="E598" s="36" t="s">
        <v>239</v>
      </c>
      <c r="F598" s="35" t="s">
        <v>712</v>
      </c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34">
        <v>1</v>
      </c>
      <c r="Y598" s="34">
        <v>1</v>
      </c>
      <c r="Z598" s="34">
        <v>1</v>
      </c>
      <c r="AA598" s="34">
        <v>1</v>
      </c>
      <c r="AB598" s="34">
        <v>1</v>
      </c>
      <c r="AC598" s="34">
        <v>1</v>
      </c>
      <c r="AD598" s="34">
        <v>1</v>
      </c>
      <c r="AE598" s="34">
        <v>1</v>
      </c>
      <c r="AF598" s="34">
        <v>1</v>
      </c>
      <c r="AG598" s="34">
        <v>1</v>
      </c>
      <c r="AH598" s="34">
        <v>1</v>
      </c>
      <c r="AI598" s="34">
        <v>1</v>
      </c>
      <c r="AJ598" s="34">
        <v>1</v>
      </c>
      <c r="AK598" s="10">
        <f t="shared" si="38"/>
        <v>13</v>
      </c>
      <c r="AL598" s="11">
        <v>32000</v>
      </c>
      <c r="AM598" s="12">
        <f t="shared" si="39"/>
        <v>416000</v>
      </c>
    </row>
    <row r="599" spans="1:39" ht="13.5" customHeight="1">
      <c r="A599" s="48" t="s">
        <v>84</v>
      </c>
      <c r="B599" s="35">
        <v>77</v>
      </c>
      <c r="C599" s="36" t="s">
        <v>677</v>
      </c>
      <c r="D599" s="36" t="s">
        <v>89</v>
      </c>
      <c r="E599" s="36" t="s">
        <v>100</v>
      </c>
      <c r="F599" s="35" t="s">
        <v>687</v>
      </c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34">
        <v>1</v>
      </c>
      <c r="Y599" s="34">
        <v>1</v>
      </c>
      <c r="Z599" s="34">
        <v>1</v>
      </c>
      <c r="AA599" s="34">
        <v>1</v>
      </c>
      <c r="AB599" s="34">
        <v>1</v>
      </c>
      <c r="AC599" s="34">
        <v>1</v>
      </c>
      <c r="AD599" s="34">
        <v>1</v>
      </c>
      <c r="AE599" s="34">
        <v>1</v>
      </c>
      <c r="AF599" s="34">
        <v>1</v>
      </c>
      <c r="AG599" s="34">
        <v>1</v>
      </c>
      <c r="AH599" s="34">
        <v>1</v>
      </c>
      <c r="AI599" s="34">
        <v>1</v>
      </c>
      <c r="AJ599" s="34">
        <v>1</v>
      </c>
      <c r="AK599" s="10">
        <f t="shared" si="38"/>
        <v>13</v>
      </c>
      <c r="AL599" s="11">
        <v>32000</v>
      </c>
      <c r="AM599" s="12">
        <f t="shared" si="39"/>
        <v>416000</v>
      </c>
    </row>
    <row r="600" spans="1:39" ht="13.5" customHeight="1">
      <c r="A600" s="48" t="s">
        <v>84</v>
      </c>
      <c r="B600" s="35">
        <v>21</v>
      </c>
      <c r="C600" s="36" t="s">
        <v>710</v>
      </c>
      <c r="D600" s="36" t="s">
        <v>343</v>
      </c>
      <c r="E600" s="36" t="s">
        <v>419</v>
      </c>
      <c r="F600" s="35" t="s">
        <v>711</v>
      </c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34">
        <v>1</v>
      </c>
      <c r="Y600" s="34">
        <v>1</v>
      </c>
      <c r="Z600" s="34">
        <v>1</v>
      </c>
      <c r="AA600" s="34">
        <v>1</v>
      </c>
      <c r="AB600" s="34">
        <v>1</v>
      </c>
      <c r="AC600" s="34">
        <v>1</v>
      </c>
      <c r="AD600" s="34">
        <v>1</v>
      </c>
      <c r="AE600" s="34">
        <v>1</v>
      </c>
      <c r="AF600" s="34">
        <v>1</v>
      </c>
      <c r="AG600" s="34">
        <v>1</v>
      </c>
      <c r="AH600" s="34">
        <v>1</v>
      </c>
      <c r="AI600" s="34">
        <v>1</v>
      </c>
      <c r="AJ600" s="34">
        <v>1</v>
      </c>
      <c r="AK600" s="10">
        <f t="shared" si="38"/>
        <v>13</v>
      </c>
      <c r="AL600" s="11">
        <v>32000</v>
      </c>
      <c r="AM600" s="12">
        <f t="shared" si="39"/>
        <v>416000</v>
      </c>
    </row>
    <row r="601" spans="1:39" ht="13.5" customHeight="1">
      <c r="A601" s="48" t="s">
        <v>84</v>
      </c>
      <c r="B601" s="35" t="s">
        <v>1114</v>
      </c>
      <c r="C601" s="36" t="s">
        <v>262</v>
      </c>
      <c r="D601" s="36" t="s">
        <v>525</v>
      </c>
      <c r="E601" s="36" t="s">
        <v>1132</v>
      </c>
      <c r="F601" s="35" t="s">
        <v>527</v>
      </c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34">
        <v>1</v>
      </c>
      <c r="Y601" s="34">
        <v>1</v>
      </c>
      <c r="Z601" s="34">
        <v>1</v>
      </c>
      <c r="AA601" s="34">
        <v>1</v>
      </c>
      <c r="AB601" s="34">
        <v>1</v>
      </c>
      <c r="AC601" s="34">
        <v>1</v>
      </c>
      <c r="AD601" s="34">
        <v>1</v>
      </c>
      <c r="AE601" s="34">
        <v>1</v>
      </c>
      <c r="AF601" s="34">
        <v>1</v>
      </c>
      <c r="AG601" s="34">
        <v>1</v>
      </c>
      <c r="AH601" s="34">
        <v>1</v>
      </c>
      <c r="AI601" s="34">
        <v>1</v>
      </c>
      <c r="AJ601" s="34">
        <v>1</v>
      </c>
      <c r="AK601" s="10">
        <f t="shared" si="38"/>
        <v>13</v>
      </c>
      <c r="AL601" s="11">
        <v>32000</v>
      </c>
      <c r="AM601" s="12">
        <f t="shared" si="39"/>
        <v>416000</v>
      </c>
    </row>
    <row r="602" spans="1:39" ht="13.5" customHeight="1">
      <c r="A602" s="48" t="s">
        <v>84</v>
      </c>
      <c r="B602" s="35" t="s">
        <v>1114</v>
      </c>
      <c r="C602" s="36" t="s">
        <v>204</v>
      </c>
      <c r="D602" s="36" t="s">
        <v>680</v>
      </c>
      <c r="E602" s="36" t="s">
        <v>593</v>
      </c>
      <c r="F602" s="35" t="s">
        <v>685</v>
      </c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34">
        <v>1</v>
      </c>
      <c r="Y602" s="34">
        <v>1</v>
      </c>
      <c r="Z602" s="34">
        <v>1</v>
      </c>
      <c r="AA602" s="34">
        <v>1</v>
      </c>
      <c r="AB602" s="34">
        <v>1</v>
      </c>
      <c r="AC602" s="34">
        <v>1</v>
      </c>
      <c r="AD602" s="34">
        <v>1</v>
      </c>
      <c r="AE602" s="34">
        <v>1</v>
      </c>
      <c r="AF602" s="34">
        <v>1</v>
      </c>
      <c r="AG602" s="34">
        <v>1</v>
      </c>
      <c r="AH602" s="34">
        <v>1</v>
      </c>
      <c r="AI602" s="34">
        <v>1</v>
      </c>
      <c r="AJ602" s="34">
        <v>1</v>
      </c>
      <c r="AK602" s="10">
        <f t="shared" si="38"/>
        <v>13</v>
      </c>
      <c r="AL602" s="11">
        <v>32000</v>
      </c>
      <c r="AM602" s="12">
        <f t="shared" si="39"/>
        <v>416000</v>
      </c>
    </row>
    <row r="603" spans="1:39" ht="13.5" customHeight="1">
      <c r="A603" s="48" t="s">
        <v>84</v>
      </c>
      <c r="B603" s="35">
        <v>94</v>
      </c>
      <c r="C603" s="36" t="s">
        <v>1154</v>
      </c>
      <c r="D603" s="36" t="s">
        <v>89</v>
      </c>
      <c r="E603" s="36" t="s">
        <v>41</v>
      </c>
      <c r="F603" s="35" t="s">
        <v>1157</v>
      </c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34">
        <v>1</v>
      </c>
      <c r="Y603" s="34">
        <v>1</v>
      </c>
      <c r="Z603" s="34">
        <v>1</v>
      </c>
      <c r="AA603" s="34">
        <v>1</v>
      </c>
      <c r="AB603" s="34">
        <v>1</v>
      </c>
      <c r="AC603" s="34">
        <v>1</v>
      </c>
      <c r="AD603" s="34">
        <v>1</v>
      </c>
      <c r="AE603" s="34">
        <v>1</v>
      </c>
      <c r="AF603" s="34">
        <v>1</v>
      </c>
      <c r="AG603" s="34">
        <v>1</v>
      </c>
      <c r="AH603" s="34">
        <v>1</v>
      </c>
      <c r="AI603" s="34">
        <v>1</v>
      </c>
      <c r="AJ603" s="34">
        <v>1</v>
      </c>
      <c r="AK603" s="10">
        <f t="shared" ref="AK603:AK615" si="40">SUM(G603:AJ603)</f>
        <v>13</v>
      </c>
      <c r="AL603" s="11">
        <v>32000</v>
      </c>
      <c r="AM603" s="12">
        <f t="shared" ref="AM603:AM615" si="41">AL603*AK603</f>
        <v>416000</v>
      </c>
    </row>
    <row r="604" spans="1:39" ht="13.5" customHeight="1">
      <c r="A604" s="48" t="s">
        <v>84</v>
      </c>
      <c r="B604" s="35">
        <v>94</v>
      </c>
      <c r="C604" s="36" t="s">
        <v>376</v>
      </c>
      <c r="D604" s="36" t="s">
        <v>799</v>
      </c>
      <c r="E604" s="36" t="s">
        <v>1155</v>
      </c>
      <c r="F604" s="35" t="s">
        <v>1156</v>
      </c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34">
        <v>1</v>
      </c>
      <c r="Y604" s="34">
        <v>1</v>
      </c>
      <c r="Z604" s="34">
        <v>1</v>
      </c>
      <c r="AA604" s="34">
        <v>1</v>
      </c>
      <c r="AB604" s="34">
        <v>1</v>
      </c>
      <c r="AC604" s="34">
        <v>1</v>
      </c>
      <c r="AD604" s="34">
        <v>1</v>
      </c>
      <c r="AE604" s="34">
        <v>1</v>
      </c>
      <c r="AF604" s="34">
        <v>1</v>
      </c>
      <c r="AG604" s="34">
        <v>1</v>
      </c>
      <c r="AH604" s="34">
        <v>1</v>
      </c>
      <c r="AI604" s="34">
        <v>1</v>
      </c>
      <c r="AJ604" s="34">
        <v>1</v>
      </c>
      <c r="AK604" s="10">
        <f t="shared" si="40"/>
        <v>13</v>
      </c>
      <c r="AL604" s="11">
        <v>32000</v>
      </c>
      <c r="AM604" s="12">
        <f t="shared" si="41"/>
        <v>416000</v>
      </c>
    </row>
    <row r="605" spans="1:39" ht="13.5" customHeight="1">
      <c r="A605" s="48" t="s">
        <v>84</v>
      </c>
      <c r="B605" s="35">
        <v>75</v>
      </c>
      <c r="C605" s="36" t="s">
        <v>799</v>
      </c>
      <c r="D605" s="36" t="s">
        <v>597</v>
      </c>
      <c r="E605" s="36" t="s">
        <v>1133</v>
      </c>
      <c r="F605" s="35" t="s">
        <v>1134</v>
      </c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34">
        <v>1</v>
      </c>
      <c r="Y605" s="34">
        <v>1</v>
      </c>
      <c r="Z605" s="34">
        <v>1</v>
      </c>
      <c r="AA605" s="34">
        <v>1</v>
      </c>
      <c r="AB605" s="34">
        <v>1</v>
      </c>
      <c r="AC605" s="34">
        <v>1</v>
      </c>
      <c r="AD605" s="34">
        <v>1</v>
      </c>
      <c r="AE605" s="34">
        <v>1</v>
      </c>
      <c r="AF605" s="34">
        <v>1</v>
      </c>
      <c r="AG605" s="34">
        <v>1</v>
      </c>
      <c r="AH605" s="34">
        <v>1</v>
      </c>
      <c r="AI605" s="34">
        <v>1</v>
      </c>
      <c r="AJ605" s="34">
        <v>1</v>
      </c>
      <c r="AK605" s="10">
        <f t="shared" si="40"/>
        <v>13</v>
      </c>
      <c r="AL605" s="11">
        <v>32000</v>
      </c>
      <c r="AM605" s="12">
        <f t="shared" si="41"/>
        <v>416000</v>
      </c>
    </row>
    <row r="606" spans="1:39" ht="13.5" customHeight="1">
      <c r="A606" s="48" t="s">
        <v>84</v>
      </c>
      <c r="B606" s="35">
        <v>75</v>
      </c>
      <c r="C606" s="36" t="s">
        <v>443</v>
      </c>
      <c r="D606" s="36" t="s">
        <v>629</v>
      </c>
      <c r="E606" s="36" t="s">
        <v>23</v>
      </c>
      <c r="F606" s="35" t="s">
        <v>1135</v>
      </c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34">
        <v>1</v>
      </c>
      <c r="Y606" s="34">
        <v>1</v>
      </c>
      <c r="Z606" s="34">
        <v>1</v>
      </c>
      <c r="AA606" s="34">
        <v>1</v>
      </c>
      <c r="AB606" s="34">
        <v>1</v>
      </c>
      <c r="AC606" s="34">
        <v>1</v>
      </c>
      <c r="AD606" s="34">
        <v>1</v>
      </c>
      <c r="AE606" s="34">
        <v>1</v>
      </c>
      <c r="AF606" s="34">
        <v>1</v>
      </c>
      <c r="AG606" s="34">
        <v>1</v>
      </c>
      <c r="AH606" s="34">
        <v>1</v>
      </c>
      <c r="AI606" s="34">
        <v>1</v>
      </c>
      <c r="AJ606" s="34">
        <v>1</v>
      </c>
      <c r="AK606" s="10">
        <f t="shared" si="40"/>
        <v>13</v>
      </c>
      <c r="AL606" s="11">
        <v>32000</v>
      </c>
      <c r="AM606" s="12">
        <f t="shared" si="41"/>
        <v>416000</v>
      </c>
    </row>
    <row r="607" spans="1:39" ht="13.5" customHeight="1">
      <c r="A607" s="48" t="s">
        <v>84</v>
      </c>
      <c r="B607" s="35" t="s">
        <v>1136</v>
      </c>
      <c r="C607" s="36" t="s">
        <v>1137</v>
      </c>
      <c r="D607" s="36" t="s">
        <v>1138</v>
      </c>
      <c r="E607" s="36" t="s">
        <v>126</v>
      </c>
      <c r="F607" s="35" t="s">
        <v>1139</v>
      </c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34">
        <v>1</v>
      </c>
      <c r="Y607" s="34">
        <v>1</v>
      </c>
      <c r="Z607" s="34">
        <v>1</v>
      </c>
      <c r="AA607" s="34">
        <v>1</v>
      </c>
      <c r="AB607" s="34">
        <v>1</v>
      </c>
      <c r="AC607" s="34">
        <v>1</v>
      </c>
      <c r="AD607" s="34">
        <v>1</v>
      </c>
      <c r="AE607" s="34">
        <v>1</v>
      </c>
      <c r="AF607" s="34">
        <v>1</v>
      </c>
      <c r="AG607" s="34">
        <v>1</v>
      </c>
      <c r="AH607" s="34">
        <v>1</v>
      </c>
      <c r="AI607" s="34">
        <v>1</v>
      </c>
      <c r="AJ607" s="34">
        <v>1</v>
      </c>
      <c r="AK607" s="10">
        <f t="shared" si="40"/>
        <v>13</v>
      </c>
      <c r="AL607" s="11">
        <v>32000</v>
      </c>
      <c r="AM607" s="12">
        <f t="shared" si="41"/>
        <v>416000</v>
      </c>
    </row>
    <row r="608" spans="1:39" ht="13.5" customHeight="1">
      <c r="A608" s="48" t="s">
        <v>84</v>
      </c>
      <c r="B608" s="35" t="s">
        <v>1136</v>
      </c>
      <c r="C608" s="36" t="s">
        <v>1140</v>
      </c>
      <c r="D608" s="36" t="s">
        <v>1141</v>
      </c>
      <c r="E608" s="36" t="s">
        <v>25</v>
      </c>
      <c r="F608" s="35" t="s">
        <v>1142</v>
      </c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34">
        <v>1</v>
      </c>
      <c r="Y608" s="34">
        <v>1</v>
      </c>
      <c r="Z608" s="34">
        <v>1</v>
      </c>
      <c r="AA608" s="34">
        <v>1</v>
      </c>
      <c r="AB608" s="34">
        <v>1</v>
      </c>
      <c r="AC608" s="34">
        <v>1</v>
      </c>
      <c r="AD608" s="34">
        <v>1</v>
      </c>
      <c r="AE608" s="34">
        <v>1</v>
      </c>
      <c r="AF608" s="34">
        <v>1</v>
      </c>
      <c r="AG608" s="34">
        <v>1</v>
      </c>
      <c r="AH608" s="34">
        <v>1</v>
      </c>
      <c r="AI608" s="34">
        <v>1</v>
      </c>
      <c r="AJ608" s="34">
        <v>1</v>
      </c>
      <c r="AK608" s="10">
        <f t="shared" si="40"/>
        <v>13</v>
      </c>
      <c r="AL608" s="11">
        <v>32000</v>
      </c>
      <c r="AM608" s="12">
        <f t="shared" si="41"/>
        <v>416000</v>
      </c>
    </row>
    <row r="609" spans="1:39" ht="13.5" customHeight="1">
      <c r="A609" s="48" t="s">
        <v>84</v>
      </c>
      <c r="B609" s="35" t="s">
        <v>1113</v>
      </c>
      <c r="C609" s="36" t="s">
        <v>1143</v>
      </c>
      <c r="D609" s="36" t="s">
        <v>220</v>
      </c>
      <c r="E609" s="36" t="s">
        <v>1144</v>
      </c>
      <c r="F609" s="35" t="s">
        <v>1145</v>
      </c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34">
        <v>1</v>
      </c>
      <c r="Y609" s="34">
        <v>1</v>
      </c>
      <c r="Z609" s="34">
        <v>1</v>
      </c>
      <c r="AA609" s="34">
        <v>1</v>
      </c>
      <c r="AB609" s="34">
        <v>1</v>
      </c>
      <c r="AC609" s="34">
        <v>1</v>
      </c>
      <c r="AD609" s="34">
        <v>1</v>
      </c>
      <c r="AE609" s="34">
        <v>1</v>
      </c>
      <c r="AF609" s="34">
        <v>1</v>
      </c>
      <c r="AG609" s="34">
        <v>1</v>
      </c>
      <c r="AH609" s="34">
        <v>1</v>
      </c>
      <c r="AI609" s="34">
        <v>1</v>
      </c>
      <c r="AJ609" s="34">
        <v>1</v>
      </c>
      <c r="AK609" s="10">
        <f t="shared" si="40"/>
        <v>13</v>
      </c>
      <c r="AL609" s="11">
        <v>32000</v>
      </c>
      <c r="AM609" s="12">
        <f t="shared" si="41"/>
        <v>416000</v>
      </c>
    </row>
    <row r="610" spans="1:39" ht="13.5" customHeight="1">
      <c r="A610" s="48" t="s">
        <v>84</v>
      </c>
      <c r="B610" s="35" t="s">
        <v>1113</v>
      </c>
      <c r="C610" s="36" t="s">
        <v>251</v>
      </c>
      <c r="D610" s="36" t="s">
        <v>1093</v>
      </c>
      <c r="E610" s="36" t="s">
        <v>239</v>
      </c>
      <c r="F610" s="35" t="s">
        <v>1146</v>
      </c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34">
        <v>1</v>
      </c>
      <c r="Y610" s="34">
        <v>1</v>
      </c>
      <c r="Z610" s="34">
        <v>1</v>
      </c>
      <c r="AA610" s="34">
        <v>1</v>
      </c>
      <c r="AB610" s="34">
        <v>1</v>
      </c>
      <c r="AC610" s="34">
        <v>1</v>
      </c>
      <c r="AD610" s="34">
        <v>1</v>
      </c>
      <c r="AE610" s="34">
        <v>1</v>
      </c>
      <c r="AF610" s="34">
        <v>1</v>
      </c>
      <c r="AG610" s="34">
        <v>1</v>
      </c>
      <c r="AH610" s="34">
        <v>1</v>
      </c>
      <c r="AI610" s="34">
        <v>1</v>
      </c>
      <c r="AJ610" s="34">
        <v>1</v>
      </c>
      <c r="AK610" s="10">
        <f t="shared" si="40"/>
        <v>13</v>
      </c>
      <c r="AL610" s="11">
        <v>32000</v>
      </c>
      <c r="AM610" s="12">
        <f t="shared" si="41"/>
        <v>416000</v>
      </c>
    </row>
    <row r="611" spans="1:39" ht="13.5" customHeight="1">
      <c r="A611" s="48" t="s">
        <v>84</v>
      </c>
      <c r="B611" s="35">
        <v>13</v>
      </c>
      <c r="C611" s="36" t="s">
        <v>1147</v>
      </c>
      <c r="D611" s="36" t="s">
        <v>1148</v>
      </c>
      <c r="E611" s="36" t="s">
        <v>419</v>
      </c>
      <c r="F611" s="35" t="s">
        <v>1149</v>
      </c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34">
        <v>1</v>
      </c>
      <c r="Y611" s="34">
        <v>1</v>
      </c>
      <c r="Z611" s="34">
        <v>1</v>
      </c>
      <c r="AA611" s="34">
        <v>1</v>
      </c>
      <c r="AB611" s="34">
        <v>1</v>
      </c>
      <c r="AC611" s="34">
        <v>1</v>
      </c>
      <c r="AD611" s="34">
        <v>1</v>
      </c>
      <c r="AE611" s="34">
        <v>1</v>
      </c>
      <c r="AF611" s="34">
        <v>1</v>
      </c>
      <c r="AG611" s="34">
        <v>1</v>
      </c>
      <c r="AH611" s="34">
        <v>1</v>
      </c>
      <c r="AI611" s="34">
        <v>1</v>
      </c>
      <c r="AJ611" s="34">
        <v>1</v>
      </c>
      <c r="AK611" s="10">
        <f t="shared" si="40"/>
        <v>13</v>
      </c>
      <c r="AL611" s="11">
        <v>32000</v>
      </c>
      <c r="AM611" s="12">
        <f t="shared" si="41"/>
        <v>416000</v>
      </c>
    </row>
    <row r="612" spans="1:39" ht="13.5" customHeight="1">
      <c r="A612" s="48" t="s">
        <v>84</v>
      </c>
      <c r="B612" s="35">
        <v>13</v>
      </c>
      <c r="C612" s="36" t="s">
        <v>203</v>
      </c>
      <c r="D612" s="36" t="s">
        <v>97</v>
      </c>
      <c r="E612" s="36" t="s">
        <v>93</v>
      </c>
      <c r="F612" s="35" t="s">
        <v>1150</v>
      </c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34">
        <v>1</v>
      </c>
      <c r="Y612" s="34">
        <v>1</v>
      </c>
      <c r="Z612" s="34">
        <v>1</v>
      </c>
      <c r="AA612" s="34">
        <v>1</v>
      </c>
      <c r="AB612" s="34">
        <v>1</v>
      </c>
      <c r="AC612" s="34">
        <v>1</v>
      </c>
      <c r="AD612" s="34">
        <v>1</v>
      </c>
      <c r="AE612" s="34">
        <v>1</v>
      </c>
      <c r="AF612" s="34">
        <v>1</v>
      </c>
      <c r="AG612" s="34">
        <v>1</v>
      </c>
      <c r="AH612" s="34">
        <v>1</v>
      </c>
      <c r="AI612" s="34">
        <v>1</v>
      </c>
      <c r="AJ612" s="34">
        <v>1</v>
      </c>
      <c r="AK612" s="10">
        <f t="shared" si="40"/>
        <v>13</v>
      </c>
      <c r="AL612" s="11">
        <v>32000</v>
      </c>
      <c r="AM612" s="12">
        <f t="shared" si="41"/>
        <v>416000</v>
      </c>
    </row>
    <row r="613" spans="1:39" ht="13.5" customHeight="1">
      <c r="A613" s="48" t="s">
        <v>84</v>
      </c>
      <c r="B613" s="35">
        <v>65</v>
      </c>
      <c r="C613" s="36" t="s">
        <v>138</v>
      </c>
      <c r="D613" s="36" t="s">
        <v>752</v>
      </c>
      <c r="E613" s="36" t="s">
        <v>631</v>
      </c>
      <c r="F613" s="35" t="s">
        <v>1151</v>
      </c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34">
        <v>1</v>
      </c>
      <c r="Y613" s="34">
        <v>1</v>
      </c>
      <c r="Z613" s="34">
        <v>1</v>
      </c>
      <c r="AA613" s="34">
        <v>1</v>
      </c>
      <c r="AB613" s="34">
        <v>1</v>
      </c>
      <c r="AC613" s="34">
        <v>1</v>
      </c>
      <c r="AD613" s="34">
        <v>1</v>
      </c>
      <c r="AE613" s="34">
        <v>1</v>
      </c>
      <c r="AF613" s="34">
        <v>1</v>
      </c>
      <c r="AG613" s="34">
        <v>1</v>
      </c>
      <c r="AH613" s="34">
        <v>1</v>
      </c>
      <c r="AI613" s="34">
        <v>1</v>
      </c>
      <c r="AJ613" s="34">
        <v>1</v>
      </c>
      <c r="AK613" s="10">
        <f t="shared" ref="AK613" si="42">SUM(G613:AJ613)</f>
        <v>13</v>
      </c>
      <c r="AL613" s="11">
        <v>32000</v>
      </c>
      <c r="AM613" s="12">
        <f t="shared" ref="AM613" si="43">AL613*AK613</f>
        <v>416000</v>
      </c>
    </row>
    <row r="614" spans="1:39" ht="13.5" customHeight="1">
      <c r="A614" s="48" t="s">
        <v>84</v>
      </c>
      <c r="B614" s="35">
        <v>65</v>
      </c>
      <c r="C614" s="36" t="s">
        <v>1152</v>
      </c>
      <c r="D614" s="36" t="s">
        <v>561</v>
      </c>
      <c r="E614" s="36" t="s">
        <v>626</v>
      </c>
      <c r="F614" s="35" t="s">
        <v>1153</v>
      </c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34">
        <v>1</v>
      </c>
      <c r="Y614" s="34">
        <v>1</v>
      </c>
      <c r="Z614" s="34">
        <v>1</v>
      </c>
      <c r="AA614" s="34">
        <v>1</v>
      </c>
      <c r="AB614" s="34">
        <v>1</v>
      </c>
      <c r="AC614" s="34">
        <v>1</v>
      </c>
      <c r="AD614" s="34">
        <v>1</v>
      </c>
      <c r="AE614" s="34">
        <v>1</v>
      </c>
      <c r="AF614" s="34">
        <v>1</v>
      </c>
      <c r="AG614" s="34">
        <v>1</v>
      </c>
      <c r="AH614" s="34">
        <v>1</v>
      </c>
      <c r="AI614" s="34">
        <v>1</v>
      </c>
      <c r="AJ614" s="34">
        <v>1</v>
      </c>
      <c r="AK614" s="10">
        <f t="shared" si="40"/>
        <v>13</v>
      </c>
      <c r="AL614" s="11">
        <v>32000</v>
      </c>
      <c r="AM614" s="12">
        <f t="shared" si="41"/>
        <v>416000</v>
      </c>
    </row>
    <row r="615" spans="1:39" ht="13.5" customHeight="1">
      <c r="A615" s="48" t="s">
        <v>84</v>
      </c>
      <c r="B615" s="32">
        <v>3</v>
      </c>
      <c r="C615" s="33" t="s">
        <v>103</v>
      </c>
      <c r="D615" s="33" t="s">
        <v>104</v>
      </c>
      <c r="E615" s="33" t="s">
        <v>21</v>
      </c>
      <c r="F615" s="32" t="s">
        <v>105</v>
      </c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34">
        <v>1</v>
      </c>
      <c r="Y615" s="34">
        <v>1</v>
      </c>
      <c r="Z615" s="34">
        <v>1</v>
      </c>
      <c r="AA615" s="34">
        <v>1</v>
      </c>
      <c r="AB615" s="34">
        <v>1</v>
      </c>
      <c r="AC615" s="34">
        <v>1</v>
      </c>
      <c r="AD615" s="34">
        <v>1</v>
      </c>
      <c r="AE615" s="34">
        <v>1</v>
      </c>
      <c r="AF615" s="34">
        <v>1</v>
      </c>
      <c r="AG615" s="34">
        <v>1</v>
      </c>
      <c r="AH615" s="34">
        <v>1</v>
      </c>
      <c r="AI615" s="34">
        <v>1</v>
      </c>
      <c r="AJ615" s="34">
        <v>1</v>
      </c>
      <c r="AK615" s="10">
        <f t="shared" si="40"/>
        <v>13</v>
      </c>
      <c r="AL615" s="11">
        <v>32000</v>
      </c>
      <c r="AM615" s="12">
        <f t="shared" si="41"/>
        <v>416000</v>
      </c>
    </row>
    <row r="616" spans="1:39" ht="13.5" customHeight="1">
      <c r="A616" s="48" t="s">
        <v>84</v>
      </c>
      <c r="B616" s="32">
        <v>3</v>
      </c>
      <c r="C616" s="33" t="s">
        <v>282</v>
      </c>
      <c r="D616" s="33" t="s">
        <v>737</v>
      </c>
      <c r="E616" s="33" t="s">
        <v>738</v>
      </c>
      <c r="F616" s="32" t="s">
        <v>670</v>
      </c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34">
        <v>1</v>
      </c>
      <c r="Y616" s="34">
        <v>1</v>
      </c>
      <c r="Z616" s="34">
        <v>1</v>
      </c>
      <c r="AA616" s="34">
        <v>1</v>
      </c>
      <c r="AB616" s="34">
        <v>1</v>
      </c>
      <c r="AC616" s="34">
        <v>1</v>
      </c>
      <c r="AD616" s="34">
        <v>1</v>
      </c>
      <c r="AE616" s="34">
        <v>1</v>
      </c>
      <c r="AF616" s="34">
        <v>1</v>
      </c>
      <c r="AG616" s="34">
        <v>1</v>
      </c>
      <c r="AH616" s="34">
        <v>1</v>
      </c>
      <c r="AI616" s="34">
        <v>1</v>
      </c>
      <c r="AJ616" s="34">
        <v>1</v>
      </c>
      <c r="AK616" s="10">
        <f t="shared" ref="AK616:AK635" si="44">SUM(G616:AJ616)</f>
        <v>13</v>
      </c>
      <c r="AL616" s="11">
        <v>32000</v>
      </c>
      <c r="AM616" s="12">
        <f t="shared" ref="AM616:AM635" si="45">AL616*AK616</f>
        <v>416000</v>
      </c>
    </row>
    <row r="617" spans="1:39" ht="13.5" customHeight="1">
      <c r="A617" s="48" t="s">
        <v>84</v>
      </c>
      <c r="B617" s="32">
        <v>5</v>
      </c>
      <c r="C617" s="33" t="s">
        <v>210</v>
      </c>
      <c r="D617" s="33" t="s">
        <v>210</v>
      </c>
      <c r="E617" s="33" t="s">
        <v>9</v>
      </c>
      <c r="F617" s="32" t="s">
        <v>435</v>
      </c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34">
        <v>1</v>
      </c>
      <c r="Y617" s="34">
        <v>1</v>
      </c>
      <c r="Z617" s="34">
        <v>1</v>
      </c>
      <c r="AA617" s="34">
        <v>1</v>
      </c>
      <c r="AB617" s="34">
        <v>1</v>
      </c>
      <c r="AC617" s="34">
        <v>1</v>
      </c>
      <c r="AD617" s="34">
        <v>1</v>
      </c>
      <c r="AE617" s="34">
        <v>1</v>
      </c>
      <c r="AF617" s="34">
        <v>1</v>
      </c>
      <c r="AG617" s="34">
        <v>1</v>
      </c>
      <c r="AH617" s="34">
        <v>1</v>
      </c>
      <c r="AI617" s="34">
        <v>1</v>
      </c>
      <c r="AJ617" s="34">
        <v>1</v>
      </c>
      <c r="AK617" s="10">
        <f t="shared" si="44"/>
        <v>13</v>
      </c>
      <c r="AL617" s="11">
        <v>32000</v>
      </c>
      <c r="AM617" s="12">
        <f t="shared" si="45"/>
        <v>416000</v>
      </c>
    </row>
    <row r="618" spans="1:39" ht="13.5" customHeight="1">
      <c r="A618" s="48" t="s">
        <v>84</v>
      </c>
      <c r="B618" s="32">
        <v>5</v>
      </c>
      <c r="C618" s="33" t="s">
        <v>436</v>
      </c>
      <c r="D618" s="33" t="s">
        <v>290</v>
      </c>
      <c r="E618" s="33" t="s">
        <v>168</v>
      </c>
      <c r="F618" s="32" t="s">
        <v>437</v>
      </c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34">
        <v>1</v>
      </c>
      <c r="Y618" s="34">
        <v>1</v>
      </c>
      <c r="Z618" s="34">
        <v>1</v>
      </c>
      <c r="AA618" s="34">
        <v>1</v>
      </c>
      <c r="AB618" s="34">
        <v>1</v>
      </c>
      <c r="AC618" s="34">
        <v>1</v>
      </c>
      <c r="AD618" s="34">
        <v>1</v>
      </c>
      <c r="AE618" s="34">
        <v>1</v>
      </c>
      <c r="AF618" s="34">
        <v>1</v>
      </c>
      <c r="AG618" s="34">
        <v>1</v>
      </c>
      <c r="AH618" s="34">
        <v>1</v>
      </c>
      <c r="AI618" s="34">
        <v>1</v>
      </c>
      <c r="AJ618" s="34">
        <v>1</v>
      </c>
      <c r="AK618" s="10">
        <f t="shared" si="44"/>
        <v>13</v>
      </c>
      <c r="AL618" s="11">
        <v>32000</v>
      </c>
      <c r="AM618" s="12">
        <f t="shared" si="45"/>
        <v>416000</v>
      </c>
    </row>
    <row r="619" spans="1:39" ht="13.5" customHeight="1">
      <c r="A619" s="48" t="s">
        <v>84</v>
      </c>
      <c r="B619" s="32">
        <v>9</v>
      </c>
      <c r="C619" s="33" t="s">
        <v>118</v>
      </c>
      <c r="D619" s="33" t="s">
        <v>191</v>
      </c>
      <c r="E619" s="33" t="s">
        <v>192</v>
      </c>
      <c r="F619" s="32" t="s">
        <v>193</v>
      </c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34">
        <v>1</v>
      </c>
      <c r="Y619" s="34">
        <v>1</v>
      </c>
      <c r="Z619" s="34">
        <v>1</v>
      </c>
      <c r="AA619" s="34">
        <v>1</v>
      </c>
      <c r="AB619" s="34">
        <v>1</v>
      </c>
      <c r="AC619" s="34">
        <v>1</v>
      </c>
      <c r="AD619" s="34">
        <v>1</v>
      </c>
      <c r="AE619" s="34">
        <v>1</v>
      </c>
      <c r="AF619" s="34">
        <v>1</v>
      </c>
      <c r="AG619" s="34">
        <v>1</v>
      </c>
      <c r="AH619" s="34">
        <v>1</v>
      </c>
      <c r="AI619" s="34">
        <v>1</v>
      </c>
      <c r="AJ619" s="34">
        <v>1</v>
      </c>
      <c r="AK619" s="10">
        <f t="shared" si="44"/>
        <v>13</v>
      </c>
      <c r="AL619" s="11">
        <v>32000</v>
      </c>
      <c r="AM619" s="12">
        <f t="shared" si="45"/>
        <v>416000</v>
      </c>
    </row>
    <row r="620" spans="1:39" ht="13.5" customHeight="1">
      <c r="A620" s="48" t="s">
        <v>84</v>
      </c>
      <c r="B620" s="32">
        <v>10</v>
      </c>
      <c r="C620" s="33" t="s">
        <v>338</v>
      </c>
      <c r="D620" s="33" t="s">
        <v>50</v>
      </c>
      <c r="E620" s="33" t="s">
        <v>23</v>
      </c>
      <c r="F620" s="32" t="s">
        <v>110</v>
      </c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34">
        <v>1</v>
      </c>
      <c r="Y620" s="34">
        <v>1</v>
      </c>
      <c r="Z620" s="34">
        <v>1</v>
      </c>
      <c r="AA620" s="34">
        <v>1</v>
      </c>
      <c r="AB620" s="34">
        <v>1</v>
      </c>
      <c r="AC620" s="34">
        <v>1</v>
      </c>
      <c r="AD620" s="34">
        <v>1</v>
      </c>
      <c r="AE620" s="34">
        <v>1</v>
      </c>
      <c r="AF620" s="34">
        <v>1</v>
      </c>
      <c r="AG620" s="34">
        <v>1</v>
      </c>
      <c r="AH620" s="34">
        <v>1</v>
      </c>
      <c r="AI620" s="34">
        <v>1</v>
      </c>
      <c r="AJ620" s="34">
        <v>1</v>
      </c>
      <c r="AK620" s="10">
        <f t="shared" si="44"/>
        <v>13</v>
      </c>
      <c r="AL620" s="11">
        <v>32000</v>
      </c>
      <c r="AM620" s="12">
        <f t="shared" si="45"/>
        <v>416000</v>
      </c>
    </row>
    <row r="621" spans="1:39" ht="13.5" customHeight="1">
      <c r="A621" s="48" t="s">
        <v>84</v>
      </c>
      <c r="B621" s="32">
        <v>10</v>
      </c>
      <c r="C621" s="33" t="s">
        <v>111</v>
      </c>
      <c r="D621" s="33" t="s">
        <v>111</v>
      </c>
      <c r="E621" s="33" t="s">
        <v>112</v>
      </c>
      <c r="F621" s="32" t="s">
        <v>113</v>
      </c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34">
        <v>1</v>
      </c>
      <c r="Y621" s="34">
        <v>1</v>
      </c>
      <c r="Z621" s="34">
        <v>1</v>
      </c>
      <c r="AA621" s="34">
        <v>1</v>
      </c>
      <c r="AB621" s="34">
        <v>1</v>
      </c>
      <c r="AC621" s="34">
        <v>1</v>
      </c>
      <c r="AD621" s="34">
        <v>1</v>
      </c>
      <c r="AE621" s="34">
        <v>1</v>
      </c>
      <c r="AF621" s="34">
        <v>1</v>
      </c>
      <c r="AG621" s="34">
        <v>1</v>
      </c>
      <c r="AH621" s="34">
        <v>1</v>
      </c>
      <c r="AI621" s="34">
        <v>1</v>
      </c>
      <c r="AJ621" s="34">
        <v>1</v>
      </c>
      <c r="AK621" s="10">
        <f t="shared" si="44"/>
        <v>13</v>
      </c>
      <c r="AL621" s="11">
        <v>32000</v>
      </c>
      <c r="AM621" s="12">
        <f t="shared" si="45"/>
        <v>416000</v>
      </c>
    </row>
    <row r="622" spans="1:39" ht="13.5" customHeight="1">
      <c r="A622" s="48" t="s">
        <v>84</v>
      </c>
      <c r="B622" s="32">
        <v>11</v>
      </c>
      <c r="C622" s="33" t="s">
        <v>342</v>
      </c>
      <c r="D622" s="33" t="s">
        <v>344</v>
      </c>
      <c r="E622" s="33" t="s">
        <v>187</v>
      </c>
      <c r="F622" s="32" t="s">
        <v>345</v>
      </c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34">
        <v>1</v>
      </c>
      <c r="Y622" s="34">
        <v>1</v>
      </c>
      <c r="Z622" s="34">
        <v>1</v>
      </c>
      <c r="AA622" s="34">
        <v>1</v>
      </c>
      <c r="AB622" s="34">
        <v>1</v>
      </c>
      <c r="AC622" s="34">
        <v>1</v>
      </c>
      <c r="AD622" s="34">
        <v>1</v>
      </c>
      <c r="AE622" s="34">
        <v>1</v>
      </c>
      <c r="AF622" s="34">
        <v>1</v>
      </c>
      <c r="AG622" s="34">
        <v>1</v>
      </c>
      <c r="AH622" s="34">
        <v>1</v>
      </c>
      <c r="AI622" s="34">
        <v>1</v>
      </c>
      <c r="AJ622" s="34">
        <v>1</v>
      </c>
      <c r="AK622" s="10">
        <f t="shared" si="44"/>
        <v>13</v>
      </c>
      <c r="AL622" s="11">
        <v>32000</v>
      </c>
      <c r="AM622" s="12">
        <f t="shared" si="45"/>
        <v>416000</v>
      </c>
    </row>
    <row r="623" spans="1:39" ht="13.5" customHeight="1">
      <c r="A623" s="48" t="s">
        <v>84</v>
      </c>
      <c r="B623" s="32">
        <v>11</v>
      </c>
      <c r="C623" s="33" t="s">
        <v>286</v>
      </c>
      <c r="D623" s="33" t="s">
        <v>286</v>
      </c>
      <c r="E623" s="33" t="s">
        <v>303</v>
      </c>
      <c r="F623" s="32" t="s">
        <v>552</v>
      </c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34">
        <v>1</v>
      </c>
      <c r="Y623" s="34">
        <v>1</v>
      </c>
      <c r="Z623" s="34">
        <v>1</v>
      </c>
      <c r="AA623" s="34">
        <v>1</v>
      </c>
      <c r="AB623" s="34">
        <v>1</v>
      </c>
      <c r="AC623" s="34">
        <v>1</v>
      </c>
      <c r="AD623" s="34">
        <v>1</v>
      </c>
      <c r="AE623" s="34">
        <v>1</v>
      </c>
      <c r="AF623" s="34">
        <v>1</v>
      </c>
      <c r="AG623" s="34">
        <v>1</v>
      </c>
      <c r="AH623" s="34">
        <v>1</v>
      </c>
      <c r="AI623" s="34">
        <v>1</v>
      </c>
      <c r="AJ623" s="34">
        <v>1</v>
      </c>
      <c r="AK623" s="10">
        <f t="shared" si="44"/>
        <v>13</v>
      </c>
      <c r="AL623" s="11">
        <v>32000</v>
      </c>
      <c r="AM623" s="12">
        <f t="shared" si="45"/>
        <v>416000</v>
      </c>
    </row>
    <row r="624" spans="1:39" ht="13.5" customHeight="1">
      <c r="A624" s="48" t="s">
        <v>84</v>
      </c>
      <c r="B624" s="32">
        <v>13</v>
      </c>
      <c r="C624" s="33" t="s">
        <v>681</v>
      </c>
      <c r="D624" s="33" t="s">
        <v>156</v>
      </c>
      <c r="E624" s="33" t="s">
        <v>682</v>
      </c>
      <c r="F624" s="32" t="s">
        <v>684</v>
      </c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34">
        <v>1</v>
      </c>
      <c r="Y624" s="34">
        <v>1</v>
      </c>
      <c r="Z624" s="34">
        <v>1</v>
      </c>
      <c r="AA624" s="34">
        <v>1</v>
      </c>
      <c r="AB624" s="34">
        <v>1</v>
      </c>
      <c r="AC624" s="34">
        <v>1</v>
      </c>
      <c r="AD624" s="34">
        <v>1</v>
      </c>
      <c r="AE624" s="34">
        <v>1</v>
      </c>
      <c r="AF624" s="34">
        <v>1</v>
      </c>
      <c r="AG624" s="34">
        <v>1</v>
      </c>
      <c r="AH624" s="34">
        <v>1</v>
      </c>
      <c r="AI624" s="34">
        <v>1</v>
      </c>
      <c r="AJ624" s="34">
        <v>1</v>
      </c>
      <c r="AK624" s="10">
        <f t="shared" si="44"/>
        <v>13</v>
      </c>
      <c r="AL624" s="11">
        <v>32000</v>
      </c>
      <c r="AM624" s="12">
        <f t="shared" si="45"/>
        <v>416000</v>
      </c>
    </row>
    <row r="625" spans="1:40" ht="13.5" customHeight="1">
      <c r="A625" s="48" t="s">
        <v>84</v>
      </c>
      <c r="B625" s="32">
        <v>13</v>
      </c>
      <c r="C625" s="33" t="s">
        <v>538</v>
      </c>
      <c r="D625" s="33" t="s">
        <v>394</v>
      </c>
      <c r="E625" s="33" t="s">
        <v>200</v>
      </c>
      <c r="F625" s="32" t="s">
        <v>683</v>
      </c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34">
        <v>1</v>
      </c>
      <c r="Y625" s="34">
        <v>1</v>
      </c>
      <c r="Z625" s="34">
        <v>1</v>
      </c>
      <c r="AA625" s="34">
        <v>1</v>
      </c>
      <c r="AB625" s="34">
        <v>1</v>
      </c>
      <c r="AC625" s="34">
        <v>1</v>
      </c>
      <c r="AD625" s="34">
        <v>1</v>
      </c>
      <c r="AE625" s="34">
        <v>1</v>
      </c>
      <c r="AF625" s="34">
        <v>1</v>
      </c>
      <c r="AG625" s="34">
        <v>1</v>
      </c>
      <c r="AH625" s="34">
        <v>1</v>
      </c>
      <c r="AI625" s="34">
        <v>1</v>
      </c>
      <c r="AJ625" s="34">
        <v>1</v>
      </c>
      <c r="AK625" s="10">
        <f t="shared" si="44"/>
        <v>13</v>
      </c>
      <c r="AL625" s="11">
        <v>32000</v>
      </c>
      <c r="AM625" s="12">
        <f t="shared" si="45"/>
        <v>416000</v>
      </c>
    </row>
    <row r="626" spans="1:40" ht="13.5" customHeight="1">
      <c r="A626" s="48" t="s">
        <v>84</v>
      </c>
      <c r="B626" s="32">
        <v>15</v>
      </c>
      <c r="C626" s="33" t="s">
        <v>439</v>
      </c>
      <c r="D626" s="33" t="s">
        <v>440</v>
      </c>
      <c r="E626" s="33" t="s">
        <v>441</v>
      </c>
      <c r="F626" s="32" t="s">
        <v>442</v>
      </c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34">
        <v>1</v>
      </c>
      <c r="Y626" s="34">
        <v>1</v>
      </c>
      <c r="Z626" s="34">
        <v>1</v>
      </c>
      <c r="AA626" s="34">
        <v>1</v>
      </c>
      <c r="AB626" s="34">
        <v>1</v>
      </c>
      <c r="AC626" s="34">
        <v>1</v>
      </c>
      <c r="AD626" s="34">
        <v>1</v>
      </c>
      <c r="AE626" s="34">
        <v>1</v>
      </c>
      <c r="AF626" s="34">
        <v>1</v>
      </c>
      <c r="AG626" s="34">
        <v>1</v>
      </c>
      <c r="AH626" s="34">
        <v>1</v>
      </c>
      <c r="AI626" s="34">
        <v>1</v>
      </c>
      <c r="AJ626" s="34">
        <v>1</v>
      </c>
      <c r="AK626" s="10">
        <f t="shared" si="44"/>
        <v>13</v>
      </c>
      <c r="AL626" s="11">
        <v>32000</v>
      </c>
      <c r="AM626" s="12">
        <f t="shared" si="45"/>
        <v>416000</v>
      </c>
    </row>
    <row r="627" spans="1:40" ht="13.5" customHeight="1">
      <c r="A627" s="48" t="s">
        <v>84</v>
      </c>
      <c r="B627" s="32">
        <v>15</v>
      </c>
      <c r="C627" s="33" t="s">
        <v>318</v>
      </c>
      <c r="D627" s="33" t="s">
        <v>318</v>
      </c>
      <c r="E627" s="33" t="s">
        <v>319</v>
      </c>
      <c r="F627" s="32" t="s">
        <v>320</v>
      </c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34">
        <v>1</v>
      </c>
      <c r="Y627" s="34">
        <v>1</v>
      </c>
      <c r="Z627" s="34">
        <v>1</v>
      </c>
      <c r="AA627" s="34">
        <v>1</v>
      </c>
      <c r="AB627" s="34">
        <v>1</v>
      </c>
      <c r="AC627" s="34">
        <v>1</v>
      </c>
      <c r="AD627" s="34">
        <v>1</v>
      </c>
      <c r="AE627" s="34">
        <v>1</v>
      </c>
      <c r="AF627" s="34">
        <v>1</v>
      </c>
      <c r="AG627" s="34">
        <v>1</v>
      </c>
      <c r="AH627" s="34">
        <v>1</v>
      </c>
      <c r="AI627" s="34">
        <v>1</v>
      </c>
      <c r="AJ627" s="34">
        <v>1</v>
      </c>
      <c r="AK627" s="10">
        <f t="shared" si="44"/>
        <v>13</v>
      </c>
      <c r="AL627" s="11">
        <v>32000</v>
      </c>
      <c r="AM627" s="12">
        <f t="shared" si="45"/>
        <v>416000</v>
      </c>
    </row>
    <row r="628" spans="1:40" ht="13.5" customHeight="1">
      <c r="A628" s="48" t="s">
        <v>84</v>
      </c>
      <c r="B628" s="32">
        <v>18</v>
      </c>
      <c r="C628" s="33" t="s">
        <v>603</v>
      </c>
      <c r="D628" s="33" t="s">
        <v>604</v>
      </c>
      <c r="E628" s="33" t="s">
        <v>739</v>
      </c>
      <c r="F628" s="32" t="s">
        <v>585</v>
      </c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34">
        <v>1</v>
      </c>
      <c r="Y628" s="34">
        <v>1</v>
      </c>
      <c r="Z628" s="34">
        <v>1</v>
      </c>
      <c r="AA628" s="34">
        <v>1</v>
      </c>
      <c r="AB628" s="34">
        <v>1</v>
      </c>
      <c r="AC628" s="34">
        <v>1</v>
      </c>
      <c r="AD628" s="34">
        <v>1</v>
      </c>
      <c r="AE628" s="34">
        <v>1</v>
      </c>
      <c r="AF628" s="34">
        <v>1</v>
      </c>
      <c r="AG628" s="34">
        <v>1</v>
      </c>
      <c r="AH628" s="34">
        <v>1</v>
      </c>
      <c r="AI628" s="34">
        <v>1</v>
      </c>
      <c r="AJ628" s="34">
        <v>1</v>
      </c>
      <c r="AK628" s="10">
        <f t="shared" si="44"/>
        <v>13</v>
      </c>
      <c r="AL628" s="11">
        <v>32000</v>
      </c>
      <c r="AM628" s="12">
        <f t="shared" si="45"/>
        <v>416000</v>
      </c>
    </row>
    <row r="629" spans="1:40" ht="13.5" customHeight="1">
      <c r="A629" s="48" t="s">
        <v>84</v>
      </c>
      <c r="B629" s="32">
        <v>18</v>
      </c>
      <c r="C629" s="33" t="s">
        <v>547</v>
      </c>
      <c r="D629" s="33" t="s">
        <v>222</v>
      </c>
      <c r="E629" s="33" t="s">
        <v>740</v>
      </c>
      <c r="F629" s="32" t="s">
        <v>584</v>
      </c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34">
        <v>1</v>
      </c>
      <c r="Y629" s="34">
        <v>1</v>
      </c>
      <c r="Z629" s="34">
        <v>1</v>
      </c>
      <c r="AA629" s="34">
        <v>1</v>
      </c>
      <c r="AB629" s="34">
        <v>1</v>
      </c>
      <c r="AC629" s="34">
        <v>1</v>
      </c>
      <c r="AD629" s="34">
        <v>1</v>
      </c>
      <c r="AE629" s="34">
        <v>1</v>
      </c>
      <c r="AF629" s="34">
        <v>1</v>
      </c>
      <c r="AG629" s="34">
        <v>1</v>
      </c>
      <c r="AH629" s="34">
        <v>1</v>
      </c>
      <c r="AI629" s="34">
        <v>1</v>
      </c>
      <c r="AJ629" s="34">
        <v>1</v>
      </c>
      <c r="AK629" s="10">
        <f t="shared" si="44"/>
        <v>13</v>
      </c>
      <c r="AL629" s="11">
        <v>32000</v>
      </c>
      <c r="AM629" s="12">
        <f t="shared" si="45"/>
        <v>416000</v>
      </c>
    </row>
    <row r="630" spans="1:40" ht="13.5" customHeight="1">
      <c r="A630" s="48" t="s">
        <v>84</v>
      </c>
      <c r="B630" s="32">
        <v>20</v>
      </c>
      <c r="C630" s="33" t="s">
        <v>106</v>
      </c>
      <c r="D630" s="33" t="s">
        <v>107</v>
      </c>
      <c r="E630" s="33" t="s">
        <v>11</v>
      </c>
      <c r="F630" s="32" t="s">
        <v>108</v>
      </c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34">
        <v>1</v>
      </c>
      <c r="Y630" s="34">
        <v>1</v>
      </c>
      <c r="Z630" s="34">
        <v>1</v>
      </c>
      <c r="AA630" s="34">
        <v>1</v>
      </c>
      <c r="AB630" s="34">
        <v>1</v>
      </c>
      <c r="AC630" s="34">
        <v>1</v>
      </c>
      <c r="AD630" s="34">
        <v>1</v>
      </c>
      <c r="AE630" s="34">
        <v>1</v>
      </c>
      <c r="AF630" s="34">
        <v>1</v>
      </c>
      <c r="AG630" s="34">
        <v>1</v>
      </c>
      <c r="AH630" s="34">
        <v>1</v>
      </c>
      <c r="AI630" s="34">
        <v>1</v>
      </c>
      <c r="AJ630" s="34">
        <v>1</v>
      </c>
      <c r="AK630" s="10">
        <f t="shared" si="44"/>
        <v>13</v>
      </c>
      <c r="AL630" s="11">
        <v>32000</v>
      </c>
      <c r="AM630" s="12">
        <f t="shared" si="45"/>
        <v>416000</v>
      </c>
    </row>
    <row r="631" spans="1:40" ht="13.5" customHeight="1">
      <c r="A631" s="48" t="s">
        <v>84</v>
      </c>
      <c r="B631" s="32">
        <v>22</v>
      </c>
      <c r="C631" s="33" t="s">
        <v>10</v>
      </c>
      <c r="D631" s="33" t="s">
        <v>443</v>
      </c>
      <c r="E631" s="33" t="s">
        <v>200</v>
      </c>
      <c r="F631" s="32" t="s">
        <v>444</v>
      </c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34">
        <v>1</v>
      </c>
      <c r="Y631" s="34">
        <v>1</v>
      </c>
      <c r="Z631" s="34">
        <v>1</v>
      </c>
      <c r="AA631" s="34">
        <v>1</v>
      </c>
      <c r="AB631" s="34">
        <v>1</v>
      </c>
      <c r="AC631" s="34">
        <v>1</v>
      </c>
      <c r="AD631" s="34">
        <v>1</v>
      </c>
      <c r="AE631" s="34">
        <v>1</v>
      </c>
      <c r="AF631" s="34">
        <v>1</v>
      </c>
      <c r="AG631" s="34">
        <v>1</v>
      </c>
      <c r="AH631" s="34">
        <v>1</v>
      </c>
      <c r="AI631" s="34">
        <v>1</v>
      </c>
      <c r="AJ631" s="34">
        <v>1</v>
      </c>
      <c r="AK631" s="10">
        <f t="shared" si="44"/>
        <v>13</v>
      </c>
      <c r="AL631" s="11">
        <v>32000</v>
      </c>
      <c r="AM631" s="12">
        <f t="shared" si="45"/>
        <v>416000</v>
      </c>
    </row>
    <row r="632" spans="1:40" ht="13.5" customHeight="1">
      <c r="A632" s="48" t="s">
        <v>84</v>
      </c>
      <c r="B632" s="32">
        <v>22</v>
      </c>
      <c r="C632" s="33" t="s">
        <v>445</v>
      </c>
      <c r="D632" s="33" t="s">
        <v>366</v>
      </c>
      <c r="E632" s="33" t="s">
        <v>217</v>
      </c>
      <c r="F632" s="32" t="s">
        <v>446</v>
      </c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34">
        <v>1</v>
      </c>
      <c r="Y632" s="34">
        <v>1</v>
      </c>
      <c r="Z632" s="34">
        <v>1</v>
      </c>
      <c r="AA632" s="34">
        <v>1</v>
      </c>
      <c r="AB632" s="34">
        <v>1</v>
      </c>
      <c r="AC632" s="34">
        <v>1</v>
      </c>
      <c r="AD632" s="34">
        <v>1</v>
      </c>
      <c r="AE632" s="34">
        <v>1</v>
      </c>
      <c r="AF632" s="34">
        <v>1</v>
      </c>
      <c r="AG632" s="34">
        <v>1</v>
      </c>
      <c r="AH632" s="34">
        <v>1</v>
      </c>
      <c r="AI632" s="34">
        <v>1</v>
      </c>
      <c r="AJ632" s="34">
        <v>1</v>
      </c>
      <c r="AK632" s="10">
        <f t="shared" si="44"/>
        <v>13</v>
      </c>
      <c r="AL632" s="11">
        <v>32000</v>
      </c>
      <c r="AM632" s="12">
        <f t="shared" si="45"/>
        <v>416000</v>
      </c>
    </row>
    <row r="633" spans="1:40" ht="13.5" customHeight="1">
      <c r="A633" s="48" t="s">
        <v>84</v>
      </c>
      <c r="B633" s="32">
        <v>24</v>
      </c>
      <c r="C633" s="33" t="s">
        <v>447</v>
      </c>
      <c r="D633" s="33" t="s">
        <v>331</v>
      </c>
      <c r="E633" s="33" t="s">
        <v>90</v>
      </c>
      <c r="F633" s="32" t="s">
        <v>448</v>
      </c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34">
        <v>1</v>
      </c>
      <c r="Y633" s="34">
        <v>1</v>
      </c>
      <c r="Z633" s="34">
        <v>1</v>
      </c>
      <c r="AA633" s="34">
        <v>1</v>
      </c>
      <c r="AB633" s="34">
        <v>1</v>
      </c>
      <c r="AC633" s="34">
        <v>1</v>
      </c>
      <c r="AD633" s="34">
        <v>1</v>
      </c>
      <c r="AE633" s="34">
        <v>1</v>
      </c>
      <c r="AF633" s="34">
        <v>1</v>
      </c>
      <c r="AG633" s="34">
        <v>1</v>
      </c>
      <c r="AH633" s="34">
        <v>1</v>
      </c>
      <c r="AI633" s="34">
        <v>1</v>
      </c>
      <c r="AJ633" s="34">
        <v>1</v>
      </c>
      <c r="AK633" s="10">
        <f t="shared" si="44"/>
        <v>13</v>
      </c>
      <c r="AL633" s="11">
        <v>32000</v>
      </c>
      <c r="AM633" s="12">
        <f t="shared" si="45"/>
        <v>416000</v>
      </c>
    </row>
    <row r="634" spans="1:40" ht="13.5" customHeight="1">
      <c r="A634" s="48" t="s">
        <v>84</v>
      </c>
      <c r="B634" s="32">
        <v>24</v>
      </c>
      <c r="C634" s="33" t="s">
        <v>692</v>
      </c>
      <c r="D634" s="33" t="s">
        <v>394</v>
      </c>
      <c r="E634" s="33" t="s">
        <v>337</v>
      </c>
      <c r="F634" s="32" t="s">
        <v>705</v>
      </c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34">
        <v>1</v>
      </c>
      <c r="Y634" s="34">
        <v>1</v>
      </c>
      <c r="Z634" s="34">
        <v>1</v>
      </c>
      <c r="AA634" s="34">
        <v>1</v>
      </c>
      <c r="AB634" s="34">
        <v>1</v>
      </c>
      <c r="AC634" s="34">
        <v>1</v>
      </c>
      <c r="AD634" s="34">
        <v>1</v>
      </c>
      <c r="AE634" s="34">
        <v>1</v>
      </c>
      <c r="AF634" s="34">
        <v>1</v>
      </c>
      <c r="AG634" s="34">
        <v>1</v>
      </c>
      <c r="AH634" s="34">
        <v>1</v>
      </c>
      <c r="AI634" s="34">
        <v>1</v>
      </c>
      <c r="AJ634" s="34">
        <v>1</v>
      </c>
      <c r="AK634" s="10">
        <f t="shared" si="44"/>
        <v>13</v>
      </c>
      <c r="AL634" s="11">
        <v>32000</v>
      </c>
      <c r="AM634" s="12">
        <f t="shared" si="45"/>
        <v>416000</v>
      </c>
    </row>
    <row r="635" spans="1:40" ht="13.5" customHeight="1">
      <c r="A635" s="48" t="s">
        <v>84</v>
      </c>
      <c r="B635" s="32">
        <v>26</v>
      </c>
      <c r="C635" s="33" t="s">
        <v>97</v>
      </c>
      <c r="D635" s="33" t="s">
        <v>98</v>
      </c>
      <c r="E635" s="33" t="s">
        <v>93</v>
      </c>
      <c r="F635" s="32" t="s">
        <v>99</v>
      </c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34">
        <v>1</v>
      </c>
      <c r="Y635" s="34">
        <v>1</v>
      </c>
      <c r="Z635" s="34">
        <v>1</v>
      </c>
      <c r="AA635" s="34">
        <v>1</v>
      </c>
      <c r="AB635" s="34">
        <v>1</v>
      </c>
      <c r="AC635" s="34">
        <v>1</v>
      </c>
      <c r="AD635" s="34">
        <v>1</v>
      </c>
      <c r="AE635" s="34">
        <v>1</v>
      </c>
      <c r="AF635" s="34">
        <v>1</v>
      </c>
      <c r="AG635" s="34">
        <v>1</v>
      </c>
      <c r="AH635" s="34">
        <v>1</v>
      </c>
      <c r="AI635" s="34">
        <v>1</v>
      </c>
      <c r="AJ635" s="34">
        <v>1</v>
      </c>
      <c r="AK635" s="10">
        <f t="shared" si="44"/>
        <v>13</v>
      </c>
      <c r="AL635" s="11">
        <v>32000</v>
      </c>
      <c r="AM635" s="12">
        <f t="shared" si="45"/>
        <v>416000</v>
      </c>
    </row>
    <row r="636" spans="1:40" ht="12.75" customHeight="1">
      <c r="A636" s="40"/>
      <c r="B636" s="40"/>
      <c r="C636" s="41"/>
      <c r="D636" s="41"/>
      <c r="E636" s="41"/>
      <c r="F636" s="40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42"/>
      <c r="AL636" s="43"/>
      <c r="AM636" s="43"/>
    </row>
    <row r="637" spans="1:40">
      <c r="A637" s="3"/>
      <c r="G637" s="16">
        <f t="shared" ref="G637:AK637" si="46">SUM(G10:G636)</f>
        <v>187</v>
      </c>
      <c r="H637" s="16">
        <f t="shared" si="46"/>
        <v>187</v>
      </c>
      <c r="I637" s="16">
        <f t="shared" si="46"/>
        <v>192</v>
      </c>
      <c r="J637" s="16">
        <f t="shared" si="46"/>
        <v>199</v>
      </c>
      <c r="K637" s="16">
        <f t="shared" si="46"/>
        <v>205</v>
      </c>
      <c r="L637" s="16">
        <f t="shared" si="46"/>
        <v>199</v>
      </c>
      <c r="M637" s="16">
        <f t="shared" si="46"/>
        <v>199</v>
      </c>
      <c r="N637" s="16">
        <f t="shared" si="46"/>
        <v>199</v>
      </c>
      <c r="O637" s="16">
        <f t="shared" si="46"/>
        <v>199</v>
      </c>
      <c r="P637" s="16">
        <f t="shared" si="46"/>
        <v>214</v>
      </c>
      <c r="Q637" s="16">
        <f t="shared" si="46"/>
        <v>199</v>
      </c>
      <c r="R637" s="16">
        <f t="shared" si="46"/>
        <v>199</v>
      </c>
      <c r="S637" s="16">
        <f t="shared" si="46"/>
        <v>199</v>
      </c>
      <c r="T637" s="16">
        <f t="shared" si="46"/>
        <v>199</v>
      </c>
      <c r="U637" s="16">
        <f t="shared" si="46"/>
        <v>199</v>
      </c>
      <c r="V637" s="16">
        <f t="shared" si="46"/>
        <v>199</v>
      </c>
      <c r="W637" s="16">
        <f t="shared" si="46"/>
        <v>199</v>
      </c>
      <c r="X637" s="16">
        <f t="shared" si="46"/>
        <v>205</v>
      </c>
      <c r="Y637" s="16">
        <f t="shared" si="46"/>
        <v>205</v>
      </c>
      <c r="Z637" s="16">
        <f t="shared" si="46"/>
        <v>205</v>
      </c>
      <c r="AA637" s="16">
        <f t="shared" si="46"/>
        <v>205</v>
      </c>
      <c r="AB637" s="16">
        <f t="shared" si="46"/>
        <v>205</v>
      </c>
      <c r="AC637" s="16">
        <f t="shared" si="46"/>
        <v>205</v>
      </c>
      <c r="AD637" s="16">
        <f t="shared" si="46"/>
        <v>205</v>
      </c>
      <c r="AE637" s="16">
        <f t="shared" si="46"/>
        <v>205</v>
      </c>
      <c r="AF637" s="16">
        <f t="shared" si="46"/>
        <v>205</v>
      </c>
      <c r="AG637" s="16">
        <f t="shared" si="46"/>
        <v>205</v>
      </c>
      <c r="AH637" s="16">
        <f t="shared" si="46"/>
        <v>205</v>
      </c>
      <c r="AI637" s="16">
        <f t="shared" si="46"/>
        <v>205</v>
      </c>
      <c r="AJ637" s="16">
        <f t="shared" si="46"/>
        <v>205</v>
      </c>
      <c r="AK637" s="16">
        <f t="shared" si="46"/>
        <v>6038</v>
      </c>
      <c r="AN637" s="3" t="s">
        <v>30</v>
      </c>
    </row>
    <row r="638" spans="1:40">
      <c r="A638" s="3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</row>
    <row r="639" spans="1:40">
      <c r="A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7" t="s">
        <v>31</v>
      </c>
      <c r="AM639" s="18">
        <f>SUM(AM8:AM637)</f>
        <v>193216000</v>
      </c>
    </row>
    <row r="640" spans="1:40">
      <c r="A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75"/>
      <c r="AM640" s="76"/>
    </row>
    <row r="641" spans="1:40">
      <c r="A641" s="3"/>
      <c r="B641" s="117" t="s">
        <v>1158</v>
      </c>
      <c r="C641" s="118"/>
      <c r="D641" s="118"/>
      <c r="E641" s="118"/>
      <c r="F641" s="119"/>
      <c r="G641" s="78">
        <f>SUM(G637,'H3'!G99,'H7'!G48,ACONCAGUA!G124)</f>
        <v>214</v>
      </c>
      <c r="H641" s="78">
        <f>SUM(H637,'H3'!H99,'H7'!H48,ACONCAGUA!H124)</f>
        <v>216</v>
      </c>
      <c r="I641" s="78">
        <f>SUM(I637,'H3'!I99,'H7'!I48,ACONCAGUA!I124)</f>
        <v>222</v>
      </c>
      <c r="J641" s="78">
        <f>SUM(J637,'H3'!J99,'H7'!J48,ACONCAGUA!J124)</f>
        <v>240</v>
      </c>
      <c r="K641" s="78">
        <f>SUM(K637,'H3'!K99,'H7'!K48,ACONCAGUA!K124)</f>
        <v>282</v>
      </c>
      <c r="L641" s="78">
        <f>SUM(L637,'H3'!L99,'H7'!L48,ACONCAGUA!L124)</f>
        <v>276</v>
      </c>
      <c r="M641" s="78">
        <f>SUM(M637,'H3'!M99,'H7'!M48,ACONCAGUA!M124)</f>
        <v>276</v>
      </c>
      <c r="N641" s="78">
        <f>SUM(N637,'H3'!N99,'H7'!N48,ACONCAGUA!N124)</f>
        <v>276</v>
      </c>
      <c r="O641" s="78">
        <f>SUM(O637,'H3'!O99,'H7'!O48,ACONCAGUA!O124)</f>
        <v>278</v>
      </c>
      <c r="P641" s="78">
        <f>SUM(P637,'H3'!P99,'H7'!P48,ACONCAGUA!P124)</f>
        <v>293</v>
      </c>
      <c r="Q641" s="78">
        <f>SUM(Q637,'H3'!Q99,'H7'!Q48,ACONCAGUA!Q124)</f>
        <v>278</v>
      </c>
      <c r="R641" s="78">
        <f>SUM(R637,'H3'!R99,'H7'!R48,ACONCAGUA!R124)</f>
        <v>279</v>
      </c>
      <c r="S641" s="78">
        <f>SUM(S637,'H3'!S99,'H7'!S48,ACONCAGUA!S124)</f>
        <v>281</v>
      </c>
      <c r="T641" s="78">
        <f>SUM(T637,'H3'!T99,'H7'!T48,ACONCAGUA!T124)</f>
        <v>281</v>
      </c>
      <c r="U641" s="78">
        <f>SUM(U637,'H3'!U99,'H7'!U48,ACONCAGUA!U124)</f>
        <v>281</v>
      </c>
      <c r="V641" s="78">
        <f>SUM(V637,'H3'!V99,'H7'!V48,ACONCAGUA!V124)</f>
        <v>281</v>
      </c>
      <c r="W641" s="78">
        <f>SUM(W637,'H3'!W99,'H7'!W48,ACONCAGUA!W124)</f>
        <v>295</v>
      </c>
      <c r="X641" s="78">
        <f>SUM(X637,'H3'!X99,'H7'!X48,ACONCAGUA!X124)</f>
        <v>272</v>
      </c>
      <c r="Y641" s="78">
        <f>SUM(Y637,'H3'!Y99,'H7'!Y48,ACONCAGUA!Y124)</f>
        <v>255</v>
      </c>
      <c r="Z641" s="78">
        <f>SUM(Z637,'H3'!Z99,'H7'!Z48,ACONCAGUA!Z124)</f>
        <v>255</v>
      </c>
      <c r="AA641" s="78">
        <f>SUM(AA637,'H3'!AA99,'H7'!AA48,ACONCAGUA!AA124)</f>
        <v>255</v>
      </c>
      <c r="AB641" s="78">
        <f>SUM(AB637,'H3'!AB99,'H7'!AB48,ACONCAGUA!AB124)</f>
        <v>255</v>
      </c>
      <c r="AC641" s="78">
        <f>SUM(AC637,'H3'!AC99,'H7'!AC48,ACONCAGUA!AC124)</f>
        <v>255</v>
      </c>
      <c r="AD641" s="78">
        <f>SUM(AD637,'H3'!AD99,'H7'!AD48,ACONCAGUA!AD124)</f>
        <v>261</v>
      </c>
      <c r="AE641" s="78">
        <f>SUM(AE637,'H3'!AE99,'H7'!AE48,ACONCAGUA!AE124)</f>
        <v>255</v>
      </c>
      <c r="AF641" s="78">
        <f>SUM(AF637,'H3'!AF99,'H7'!AF48,ACONCAGUA!AF124)</f>
        <v>255</v>
      </c>
      <c r="AG641" s="78">
        <f>SUM(AG637,'H3'!AG99,'H7'!AG48,ACONCAGUA!AG124)</f>
        <v>255</v>
      </c>
      <c r="AH641" s="78">
        <f>SUM(AH637,'H3'!AH99,'H7'!AH48,ACONCAGUA!AH124)</f>
        <v>255</v>
      </c>
      <c r="AI641" s="78">
        <f>SUM(AI637,'H3'!AI99,'H7'!AI48,ACONCAGUA!AI124)</f>
        <v>255</v>
      </c>
      <c r="AJ641" s="78">
        <f>SUM(AJ637,'H3'!AJ99,'H7'!AJ48,ACONCAGUA!AJ124)</f>
        <v>255</v>
      </c>
      <c r="AK641" s="79">
        <f>SUM(G641:AJ641)</f>
        <v>7887</v>
      </c>
    </row>
    <row r="642" spans="1:40" ht="13.5" thickBot="1">
      <c r="A642" s="3"/>
    </row>
    <row r="643" spans="1:40" ht="17.25" customHeight="1" thickBot="1">
      <c r="A643" s="104" t="s">
        <v>736</v>
      </c>
      <c r="B643" s="105"/>
      <c r="C643" s="105"/>
      <c r="D643" s="105"/>
      <c r="E643" s="105"/>
      <c r="F643" s="106"/>
      <c r="G643" s="99">
        <v>45778</v>
      </c>
      <c r="H643" s="99">
        <v>45779</v>
      </c>
      <c r="I643" s="99">
        <v>45780</v>
      </c>
      <c r="J643" s="99">
        <v>45781</v>
      </c>
      <c r="K643" s="99">
        <v>45782</v>
      </c>
      <c r="L643" s="99">
        <v>45783</v>
      </c>
      <c r="M643" s="99">
        <v>45784</v>
      </c>
      <c r="N643" s="99">
        <v>45785</v>
      </c>
      <c r="O643" s="99">
        <v>45786</v>
      </c>
      <c r="P643" s="99">
        <v>45787</v>
      </c>
      <c r="Q643" s="99">
        <v>45788</v>
      </c>
      <c r="R643" s="99">
        <v>45789</v>
      </c>
      <c r="S643" s="99">
        <v>45790</v>
      </c>
      <c r="T643" s="99">
        <v>45791</v>
      </c>
      <c r="U643" s="99">
        <v>45792</v>
      </c>
      <c r="V643" s="99">
        <v>45793</v>
      </c>
      <c r="W643" s="99">
        <v>45794</v>
      </c>
      <c r="X643" s="99">
        <v>45795</v>
      </c>
      <c r="Y643" s="99">
        <v>45796</v>
      </c>
      <c r="Z643" s="99">
        <v>45797</v>
      </c>
      <c r="AA643" s="99">
        <v>45798</v>
      </c>
      <c r="AB643" s="99">
        <v>45799</v>
      </c>
      <c r="AC643" s="99">
        <v>45800</v>
      </c>
      <c r="AD643" s="99">
        <v>45801</v>
      </c>
      <c r="AE643" s="99">
        <v>45802</v>
      </c>
      <c r="AF643" s="99">
        <v>45803</v>
      </c>
      <c r="AG643" s="99">
        <v>45804</v>
      </c>
      <c r="AH643" s="99">
        <v>45805</v>
      </c>
      <c r="AI643" s="99">
        <v>45806</v>
      </c>
      <c r="AJ643" s="99">
        <v>45807</v>
      </c>
      <c r="AK643" s="94" t="s">
        <v>735</v>
      </c>
      <c r="AL643" s="94"/>
      <c r="AM643" s="94"/>
    </row>
    <row r="644" spans="1:40" ht="12.75" customHeight="1" thickBot="1">
      <c r="A644" s="107"/>
      <c r="B644" s="108"/>
      <c r="C644" s="108"/>
      <c r="D644" s="108"/>
      <c r="E644" s="108"/>
      <c r="F644" s="10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  <c r="AH644" s="99"/>
      <c r="AI644" s="99"/>
      <c r="AJ644" s="99"/>
      <c r="AK644" s="94"/>
      <c r="AL644" s="94"/>
      <c r="AM644" s="94"/>
    </row>
    <row r="645" spans="1:40" ht="13.5" customHeight="1" thickBot="1">
      <c r="A645" s="110"/>
      <c r="B645" s="111"/>
      <c r="C645" s="111"/>
      <c r="D645" s="111"/>
      <c r="E645" s="111"/>
      <c r="F645" s="112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  <c r="AH645" s="99"/>
      <c r="AI645" s="99"/>
      <c r="AJ645" s="99"/>
      <c r="AK645" s="94"/>
      <c r="AL645" s="94"/>
      <c r="AM645" s="94"/>
    </row>
    <row r="646" spans="1:40" ht="17.25" customHeight="1">
      <c r="A646" s="101" t="s">
        <v>32</v>
      </c>
      <c r="B646" s="102"/>
      <c r="C646" s="102"/>
      <c r="D646" s="102"/>
      <c r="E646" s="102"/>
      <c r="F646" s="103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  <c r="AH646" s="99"/>
      <c r="AI646" s="99"/>
      <c r="AJ646" s="99"/>
      <c r="AK646" s="21" t="s">
        <v>5</v>
      </c>
      <c r="AL646" s="21" t="s">
        <v>6</v>
      </c>
      <c r="AM646" s="22" t="s">
        <v>7</v>
      </c>
    </row>
    <row r="647" spans="1:40" ht="17.25" customHeight="1">
      <c r="A647" s="23">
        <v>1</v>
      </c>
      <c r="B647" s="96" t="s">
        <v>33</v>
      </c>
      <c r="C647" s="97"/>
      <c r="D647" s="97"/>
      <c r="E647" s="97"/>
      <c r="F647" s="98"/>
      <c r="G647" s="44">
        <v>4</v>
      </c>
      <c r="H647" s="44">
        <v>4</v>
      </c>
      <c r="I647" s="44">
        <v>4</v>
      </c>
      <c r="J647" s="44">
        <v>44</v>
      </c>
      <c r="K647" s="44">
        <v>36</v>
      </c>
      <c r="L647" s="44">
        <v>44</v>
      </c>
      <c r="M647" s="44">
        <v>58</v>
      </c>
      <c r="N647" s="44">
        <v>27</v>
      </c>
      <c r="O647" s="44">
        <v>17</v>
      </c>
      <c r="P647" s="44">
        <v>10</v>
      </c>
      <c r="Q647" s="44">
        <v>2</v>
      </c>
      <c r="R647" s="44">
        <v>2</v>
      </c>
      <c r="S647" s="44">
        <v>2</v>
      </c>
      <c r="T647" s="69"/>
      <c r="U647" s="69"/>
      <c r="V647" s="44">
        <v>1</v>
      </c>
      <c r="W647" s="44">
        <v>1</v>
      </c>
      <c r="X647" s="44">
        <v>2</v>
      </c>
      <c r="Y647" s="44">
        <v>10</v>
      </c>
      <c r="Z647" s="44">
        <v>5</v>
      </c>
      <c r="AA647" s="44">
        <v>2</v>
      </c>
      <c r="AB647" s="44">
        <v>2</v>
      </c>
      <c r="AC647" s="44">
        <v>2</v>
      </c>
      <c r="AD647" s="44">
        <v>5</v>
      </c>
      <c r="AE647" s="44">
        <v>5</v>
      </c>
      <c r="AF647" s="44">
        <v>7</v>
      </c>
      <c r="AG647" s="44">
        <v>5</v>
      </c>
      <c r="AH647" s="69"/>
      <c r="AI647" s="69"/>
      <c r="AJ647" s="44">
        <v>1</v>
      </c>
      <c r="AK647" s="24">
        <f>SUM(G647:AJ647)</f>
        <v>302</v>
      </c>
      <c r="AL647" s="15">
        <v>8500</v>
      </c>
      <c r="AM647" s="15">
        <f>AL647*AK647</f>
        <v>2567000</v>
      </c>
    </row>
    <row r="648" spans="1:40" ht="17.25" customHeight="1">
      <c r="A648" s="54"/>
      <c r="B648" s="96" t="s">
        <v>558</v>
      </c>
      <c r="C648" s="97"/>
      <c r="D648" s="97"/>
      <c r="E648" s="97"/>
      <c r="F648" s="98"/>
      <c r="G648" s="44">
        <f>SUM(G637,'H3'!G99,'H7'!G48,ACONCAGUA!G124)</f>
        <v>214</v>
      </c>
      <c r="H648" s="44">
        <f>SUM(H637,'H3'!H99,'H7'!H48,ACONCAGUA!H124)</f>
        <v>216</v>
      </c>
      <c r="I648" s="44">
        <f>SUM(I637,'H3'!I99,'H7'!I48,ACONCAGUA!I124)</f>
        <v>222</v>
      </c>
      <c r="J648" s="44">
        <f>SUM(J637,'H3'!J99,'H7'!J48,ACONCAGUA!J124)</f>
        <v>240</v>
      </c>
      <c r="K648" s="44">
        <f>SUM(K637,'H3'!K99,'H7'!K48,ACONCAGUA!K124)</f>
        <v>282</v>
      </c>
      <c r="L648" s="44">
        <f>SUM(L637,'H3'!L99,'H7'!L48,ACONCAGUA!L124)</f>
        <v>276</v>
      </c>
      <c r="M648" s="44">
        <f>SUM(M637,'H3'!M99,'H7'!M48,ACONCAGUA!M124)</f>
        <v>276</v>
      </c>
      <c r="N648" s="44">
        <f>SUM(N637,'H3'!N99,'H7'!N48,ACONCAGUA!N124)</f>
        <v>276</v>
      </c>
      <c r="O648" s="44">
        <f>SUM(O637,'H3'!O99,'H7'!O48,ACONCAGUA!O124)</f>
        <v>278</v>
      </c>
      <c r="P648" s="44">
        <f>SUM(P637,'H3'!P99,'H7'!P48,ACONCAGUA!P124)</f>
        <v>293</v>
      </c>
      <c r="Q648" s="44">
        <f>SUM(Q637,'H3'!Q99,'H7'!Q48,ACONCAGUA!Q124)</f>
        <v>278</v>
      </c>
      <c r="R648" s="44">
        <f>SUM(R637,'H3'!R99,'H7'!R48,ACONCAGUA!R124)</f>
        <v>279</v>
      </c>
      <c r="S648" s="44">
        <f>SUM(S637,'H3'!S99,'H7'!S48,ACONCAGUA!S124)</f>
        <v>281</v>
      </c>
      <c r="T648" s="44">
        <f>SUM(T637,'H3'!T99,'H7'!T48,ACONCAGUA!T124)</f>
        <v>281</v>
      </c>
      <c r="U648" s="44">
        <f>SUM(U637,'H3'!U99,'H7'!U48,ACONCAGUA!U124)</f>
        <v>281</v>
      </c>
      <c r="V648" s="44">
        <f>SUM(V637,'H3'!V99,'H7'!V48,ACONCAGUA!V124)</f>
        <v>281</v>
      </c>
      <c r="W648" s="44">
        <f>SUM(W637,'H3'!W99,'H7'!W48,ACONCAGUA!W124)</f>
        <v>295</v>
      </c>
      <c r="X648" s="44">
        <f>SUM(X637,'H3'!X99,'H7'!X48,ACONCAGUA!X124)</f>
        <v>272</v>
      </c>
      <c r="Y648" s="44">
        <f>SUM(Y637,'H3'!Y99,'H7'!Y48,ACONCAGUA!Y124)</f>
        <v>255</v>
      </c>
      <c r="Z648" s="44">
        <f>SUM(Z637,'H3'!Z99,'H7'!Z48,ACONCAGUA!Z124)</f>
        <v>255</v>
      </c>
      <c r="AA648" s="44">
        <f>SUM(AA637,'H3'!AA99,'H7'!AA48,ACONCAGUA!AA124)</f>
        <v>255</v>
      </c>
      <c r="AB648" s="44">
        <f>SUM(AB637,'H3'!AB99,'H7'!AB48,ACONCAGUA!AB124)</f>
        <v>255</v>
      </c>
      <c r="AC648" s="44">
        <f>SUM(AC637,'H3'!AC99,'H7'!AC48,ACONCAGUA!AC124)</f>
        <v>255</v>
      </c>
      <c r="AD648" s="44">
        <f>SUM(AD637,'H3'!AD99,'H7'!AD48,ACONCAGUA!AD124)</f>
        <v>261</v>
      </c>
      <c r="AE648" s="44">
        <f>SUM(AE637,'H3'!AE99,'H7'!AE48,ACONCAGUA!AE124)</f>
        <v>255</v>
      </c>
      <c r="AF648" s="44">
        <f>SUM(AF637,'H3'!AF99,'H7'!AF48,ACONCAGUA!AF124)</f>
        <v>255</v>
      </c>
      <c r="AG648" s="44">
        <f>SUM(AG637,'H3'!AG99,'H7'!AG48,ACONCAGUA!AG124)</f>
        <v>255</v>
      </c>
      <c r="AH648" s="44">
        <f>SUM(AH637,'H3'!AH99,'H7'!AH48,ACONCAGUA!AH124)</f>
        <v>255</v>
      </c>
      <c r="AI648" s="44">
        <f>SUM(AI637,'H3'!AI99,'H7'!AI48,ACONCAGUA!AI124)</f>
        <v>255</v>
      </c>
      <c r="AJ648" s="44">
        <f>SUM(AJ637,'H3'!AJ99,'H7'!AJ48,ACONCAGUA!AJ124)</f>
        <v>255</v>
      </c>
      <c r="AK648" s="24">
        <f>SUM(G648:AJ648)</f>
        <v>7887</v>
      </c>
      <c r="AL648" s="15">
        <v>1900</v>
      </c>
      <c r="AM648" s="15">
        <f>AL648*AK648</f>
        <v>14985300</v>
      </c>
    </row>
    <row r="650" spans="1:40" ht="20.25">
      <c r="AK650" s="25"/>
      <c r="AL650" s="26" t="s">
        <v>643</v>
      </c>
      <c r="AM650" s="27">
        <f>AM639</f>
        <v>193216000</v>
      </c>
      <c r="AN650" s="25"/>
    </row>
    <row r="651" spans="1:40" ht="20.25">
      <c r="AK651" s="25"/>
      <c r="AL651" s="26" t="s">
        <v>644</v>
      </c>
      <c r="AM651" s="27">
        <f>'H3'!AM101</f>
        <v>25776000</v>
      </c>
      <c r="AN651" s="25"/>
    </row>
    <row r="652" spans="1:40" ht="20.25">
      <c r="AK652" s="25"/>
      <c r="AL652" s="26" t="s">
        <v>645</v>
      </c>
      <c r="AM652" s="27">
        <f>ACONCAGUA!AM126</f>
        <v>18672500</v>
      </c>
      <c r="AN652" s="25"/>
    </row>
    <row r="653" spans="1:40" ht="20.25">
      <c r="AK653" s="25"/>
      <c r="AL653" s="26" t="s">
        <v>647</v>
      </c>
      <c r="AM653" s="27">
        <f>AM647</f>
        <v>2567000</v>
      </c>
      <c r="AN653" s="25"/>
    </row>
    <row r="654" spans="1:40" ht="20.25">
      <c r="AK654" s="25"/>
      <c r="AL654" s="26" t="s">
        <v>646</v>
      </c>
      <c r="AM654" s="27">
        <f>ACONCAGUA!AM135</f>
        <v>34000</v>
      </c>
      <c r="AN654" s="25"/>
    </row>
    <row r="655" spans="1:40" ht="20.25">
      <c r="AK655" s="25"/>
      <c r="AL655" s="26" t="s">
        <v>648</v>
      </c>
      <c r="AM655" s="27">
        <f>AM648</f>
        <v>14985300</v>
      </c>
      <c r="AN655" s="25"/>
    </row>
    <row r="656" spans="1:40" ht="14.25" customHeight="1">
      <c r="AK656" s="25"/>
      <c r="AL656" s="28"/>
      <c r="AM656" s="28"/>
      <c r="AN656" s="25"/>
    </row>
    <row r="657" spans="3:42" ht="14.25" customHeight="1">
      <c r="AK657" s="25"/>
      <c r="AL657" s="29" t="s">
        <v>35</v>
      </c>
      <c r="AM657" s="30">
        <f>SUM(AM650:AM656)</f>
        <v>255250800</v>
      </c>
      <c r="AN657" s="25"/>
    </row>
    <row r="658" spans="3:42" ht="14.25" customHeight="1">
      <c r="AK658" s="25"/>
      <c r="AL658" s="29" t="s">
        <v>36</v>
      </c>
      <c r="AM658" s="30">
        <f>AM657*0.19</f>
        <v>48497652</v>
      </c>
      <c r="AN658" s="25"/>
      <c r="AO658" s="93"/>
      <c r="AP658" s="93"/>
    </row>
    <row r="659" spans="3:42" ht="14.25" customHeight="1">
      <c r="AK659" s="25"/>
      <c r="AL659" s="29" t="s">
        <v>31</v>
      </c>
      <c r="AM659" s="30">
        <f>+AM657+AM658</f>
        <v>303748452</v>
      </c>
      <c r="AN659" s="25"/>
      <c r="AO659" s="2"/>
      <c r="AP659" s="2"/>
    </row>
    <row r="660" spans="3:42" ht="14.25" customHeight="1">
      <c r="AK660" s="25"/>
      <c r="AL660" s="25"/>
      <c r="AM660" s="25"/>
      <c r="AN660" s="25"/>
      <c r="AO660" s="2"/>
      <c r="AP660" s="2"/>
    </row>
    <row r="661" spans="3:42" ht="14.25" customHeight="1">
      <c r="AK661" s="25"/>
      <c r="AL661" s="25"/>
      <c r="AM661" s="25"/>
      <c r="AN661" s="25"/>
      <c r="AO661" s="2"/>
      <c r="AP661" s="2"/>
    </row>
    <row r="662" spans="3:42" ht="14.25" customHeight="1">
      <c r="AK662" s="28"/>
      <c r="AN662" s="28"/>
      <c r="AO662" s="2"/>
      <c r="AP662" s="2"/>
    </row>
    <row r="663" spans="3:42" ht="14.25" customHeight="1">
      <c r="AK663" s="25"/>
      <c r="AN663" s="25"/>
      <c r="AO663" s="31"/>
      <c r="AP663" s="31"/>
    </row>
    <row r="664" spans="3:42" ht="14.25" customHeight="1">
      <c r="AK664" s="25"/>
      <c r="AN664" s="25"/>
      <c r="AO664" s="31"/>
      <c r="AP664" s="31"/>
    </row>
    <row r="665" spans="3:42" ht="14.25" customHeight="1">
      <c r="AK665" s="25"/>
      <c r="AN665" s="25"/>
    </row>
    <row r="666" spans="3:42" ht="20.25">
      <c r="AK666" s="25"/>
      <c r="AN666" s="25"/>
    </row>
    <row r="667" spans="3:42" ht="20.25">
      <c r="AK667" s="25"/>
      <c r="AN667" s="25"/>
    </row>
    <row r="669" spans="3:42">
      <c r="C669" s="95"/>
      <c r="D669" s="95"/>
    </row>
  </sheetData>
  <autoFilter ref="B9:F154" xr:uid="{DD1DA04F-FEC7-4DF1-B52C-03C46657B1E5}"/>
  <sortState xmlns:xlrd2="http://schemas.microsoft.com/office/spreadsheetml/2017/richdata2" ref="A197:AM371">
    <sortCondition ref="B197:B371"/>
  </sortState>
  <mergeCells count="73">
    <mergeCell ref="AC643:AC646"/>
    <mergeCell ref="B641:F641"/>
    <mergeCell ref="Z643:Z646"/>
    <mergeCell ref="AA643:AA646"/>
    <mergeCell ref="AB643:AB646"/>
    <mergeCell ref="S643:S646"/>
    <mergeCell ref="T643:T646"/>
    <mergeCell ref="AG643:AG646"/>
    <mergeCell ref="AH643:AH646"/>
    <mergeCell ref="AI643:AI646"/>
    <mergeCell ref="AJ643:AJ646"/>
    <mergeCell ref="AF643:AF646"/>
    <mergeCell ref="A1:F5"/>
    <mergeCell ref="G1:AM3"/>
    <mergeCell ref="G4:AM5"/>
    <mergeCell ref="A6:F8"/>
    <mergeCell ref="G6:G9"/>
    <mergeCell ref="H6:H9"/>
    <mergeCell ref="I6:I9"/>
    <mergeCell ref="J6:J9"/>
    <mergeCell ref="K6:K9"/>
    <mergeCell ref="L6:L9"/>
    <mergeCell ref="Z6:Z9"/>
    <mergeCell ref="AA6:AA9"/>
    <mergeCell ref="AB6:AB9"/>
    <mergeCell ref="AC6:AC9"/>
    <mergeCell ref="W6:W9"/>
    <mergeCell ref="AK6:AM8"/>
    <mergeCell ref="AI6:AI9"/>
    <mergeCell ref="AJ6:AJ9"/>
    <mergeCell ref="S6:S9"/>
    <mergeCell ref="T6:T9"/>
    <mergeCell ref="U6:U9"/>
    <mergeCell ref="V6:V9"/>
    <mergeCell ref="X6:X9"/>
    <mergeCell ref="Y6:Y9"/>
    <mergeCell ref="AD6:AD9"/>
    <mergeCell ref="AE6:AE9"/>
    <mergeCell ref="AF6:AF9"/>
    <mergeCell ref="AG6:AG9"/>
    <mergeCell ref="AH6:AH9"/>
    <mergeCell ref="O6:O9"/>
    <mergeCell ref="P6:P9"/>
    <mergeCell ref="Q6:Q9"/>
    <mergeCell ref="R6:R9"/>
    <mergeCell ref="A646:F646"/>
    <mergeCell ref="O643:O646"/>
    <mergeCell ref="P643:P646"/>
    <mergeCell ref="Q643:Q646"/>
    <mergeCell ref="R643:R646"/>
    <mergeCell ref="L643:L646"/>
    <mergeCell ref="M643:M646"/>
    <mergeCell ref="N643:N646"/>
    <mergeCell ref="M6:M9"/>
    <mergeCell ref="N6:N9"/>
    <mergeCell ref="A643:F645"/>
    <mergeCell ref="G643:G646"/>
    <mergeCell ref="AO658:AP658"/>
    <mergeCell ref="AK643:AM645"/>
    <mergeCell ref="C669:D669"/>
    <mergeCell ref="B647:F647"/>
    <mergeCell ref="U643:U646"/>
    <mergeCell ref="V643:V646"/>
    <mergeCell ref="H643:H646"/>
    <mergeCell ref="I643:I646"/>
    <mergeCell ref="J643:J646"/>
    <mergeCell ref="K643:K646"/>
    <mergeCell ref="B648:F648"/>
    <mergeCell ref="W643:W646"/>
    <mergeCell ref="X643:X646"/>
    <mergeCell ref="Y643:Y646"/>
    <mergeCell ref="AD643:AD646"/>
    <mergeCell ref="AE643:AE646"/>
  </mergeCells>
  <pageMargins left="0.25" right="0.25" top="0.75" bottom="0.75" header="0.511811023622047" footer="0.511811023622047"/>
  <pageSetup scale="7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7AA2-908A-4A32-9084-5DE35C09A3D9}">
  <dimension ref="A1:AP121"/>
  <sheetViews>
    <sheetView zoomScale="118" zoomScaleNormal="118" workbookViewId="0">
      <pane xSplit="6" ySplit="9" topLeftCell="G78" activePane="bottomRight" state="frozen"/>
      <selection pane="topRight" activeCell="I1" sqref="I1"/>
      <selection pane="bottomLeft" activeCell="A46" sqref="A46"/>
      <selection pane="bottomRight" activeCell="X93" sqref="X93"/>
    </sheetView>
  </sheetViews>
  <sheetFormatPr baseColWidth="10" defaultColWidth="11.42578125" defaultRowHeight="12.75"/>
  <cols>
    <col min="1" max="1" width="6.28515625" style="1" customWidth="1"/>
    <col min="2" max="2" width="4.7109375" style="1" customWidth="1"/>
    <col min="3" max="3" width="10.7109375" style="3" customWidth="1"/>
    <col min="4" max="4" width="12.42578125" style="3" customWidth="1"/>
    <col min="5" max="5" width="13.5703125" style="3" customWidth="1"/>
    <col min="6" max="6" width="10.5703125" style="1" customWidth="1"/>
    <col min="7" max="36" width="3.7109375" style="3" customWidth="1"/>
    <col min="37" max="37" width="5.5703125" style="3" customWidth="1"/>
    <col min="38" max="38" width="18.28515625" style="3" customWidth="1"/>
    <col min="39" max="39" width="15.5703125" style="3" customWidth="1"/>
    <col min="40" max="40" width="6.28515625" style="3" customWidth="1"/>
    <col min="41" max="43" width="3" style="3" customWidth="1"/>
    <col min="44" max="16384" width="11.42578125" style="3"/>
  </cols>
  <sheetData>
    <row r="1" spans="1:39" ht="12.75" customHeight="1" thickBot="1">
      <c r="A1" s="113"/>
      <c r="B1" s="113"/>
      <c r="C1" s="113"/>
      <c r="D1" s="113"/>
      <c r="E1" s="113"/>
      <c r="F1" s="113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</row>
    <row r="2" spans="1:39" ht="12.75" customHeight="1" thickBot="1">
      <c r="A2" s="113"/>
      <c r="B2" s="113"/>
      <c r="C2" s="113"/>
      <c r="D2" s="113"/>
      <c r="E2" s="113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</row>
    <row r="3" spans="1:39" ht="20.25" customHeight="1" thickBot="1">
      <c r="A3" s="113"/>
      <c r="B3" s="113"/>
      <c r="C3" s="113"/>
      <c r="D3" s="113"/>
      <c r="E3" s="113"/>
      <c r="F3" s="113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</row>
    <row r="4" spans="1:39" ht="12.75" customHeight="1" thickBot="1">
      <c r="A4" s="113"/>
      <c r="B4" s="113"/>
      <c r="C4" s="113"/>
      <c r="D4" s="113"/>
      <c r="E4" s="113"/>
      <c r="F4" s="113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</row>
    <row r="5" spans="1:39" ht="7.5" customHeight="1" thickBot="1">
      <c r="A5" s="113"/>
      <c r="B5" s="113"/>
      <c r="C5" s="113"/>
      <c r="D5" s="113"/>
      <c r="E5" s="113"/>
      <c r="F5" s="113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 spans="1:39" ht="12.75" customHeight="1" thickBot="1">
      <c r="A6" s="116" t="s">
        <v>124</v>
      </c>
      <c r="B6" s="116"/>
      <c r="C6" s="116"/>
      <c r="D6" s="116"/>
      <c r="E6" s="116"/>
      <c r="F6" s="116"/>
      <c r="G6" s="99">
        <v>45809</v>
      </c>
      <c r="H6" s="99">
        <v>45810</v>
      </c>
      <c r="I6" s="99">
        <v>45811</v>
      </c>
      <c r="J6" s="99">
        <v>45812</v>
      </c>
      <c r="K6" s="99">
        <v>45813</v>
      </c>
      <c r="L6" s="99">
        <v>45814</v>
      </c>
      <c r="M6" s="99">
        <v>45815</v>
      </c>
      <c r="N6" s="99">
        <v>45816</v>
      </c>
      <c r="O6" s="99">
        <v>45817</v>
      </c>
      <c r="P6" s="99">
        <v>45818</v>
      </c>
      <c r="Q6" s="99">
        <v>45819</v>
      </c>
      <c r="R6" s="99">
        <v>45820</v>
      </c>
      <c r="S6" s="99">
        <v>45821</v>
      </c>
      <c r="T6" s="99">
        <v>45822</v>
      </c>
      <c r="U6" s="99">
        <v>45823</v>
      </c>
      <c r="V6" s="99">
        <v>45824</v>
      </c>
      <c r="W6" s="99">
        <v>45825</v>
      </c>
      <c r="X6" s="99">
        <v>45826</v>
      </c>
      <c r="Y6" s="99">
        <v>45827</v>
      </c>
      <c r="Z6" s="99">
        <v>45828</v>
      </c>
      <c r="AA6" s="99">
        <v>45829</v>
      </c>
      <c r="AB6" s="99">
        <v>45830</v>
      </c>
      <c r="AC6" s="99">
        <v>45831</v>
      </c>
      <c r="AD6" s="99">
        <v>45832</v>
      </c>
      <c r="AE6" s="99">
        <v>45833</v>
      </c>
      <c r="AF6" s="99">
        <v>45834</v>
      </c>
      <c r="AG6" s="99">
        <v>45835</v>
      </c>
      <c r="AH6" s="99">
        <v>45836</v>
      </c>
      <c r="AI6" s="99">
        <v>45837</v>
      </c>
      <c r="AJ6" s="99">
        <v>45838</v>
      </c>
      <c r="AK6" s="94" t="s">
        <v>735</v>
      </c>
      <c r="AL6" s="94"/>
      <c r="AM6" s="94"/>
    </row>
    <row r="7" spans="1:39" ht="15" customHeight="1" thickBot="1">
      <c r="A7" s="116"/>
      <c r="B7" s="116"/>
      <c r="C7" s="116"/>
      <c r="D7" s="116"/>
      <c r="E7" s="116"/>
      <c r="F7" s="116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4"/>
      <c r="AL7" s="94"/>
      <c r="AM7" s="94"/>
    </row>
    <row r="8" spans="1:39" ht="15.75" customHeight="1" thickBot="1">
      <c r="A8" s="116"/>
      <c r="B8" s="116"/>
      <c r="C8" s="116"/>
      <c r="D8" s="116"/>
      <c r="E8" s="116"/>
      <c r="F8" s="116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4"/>
      <c r="AL8" s="94"/>
      <c r="AM8" s="94"/>
    </row>
    <row r="9" spans="1:39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7" t="s">
        <v>5</v>
      </c>
      <c r="AL9" s="8" t="s">
        <v>6</v>
      </c>
      <c r="AM9" s="9" t="s">
        <v>7</v>
      </c>
    </row>
    <row r="10" spans="1:39">
      <c r="A10" s="49" t="s">
        <v>396</v>
      </c>
      <c r="B10" s="32">
        <v>2</v>
      </c>
      <c r="C10" s="33" t="s">
        <v>629</v>
      </c>
      <c r="D10" s="33" t="s">
        <v>630</v>
      </c>
      <c r="E10" s="33" t="s">
        <v>11</v>
      </c>
      <c r="F10" s="32" t="s">
        <v>635</v>
      </c>
      <c r="G10" s="34">
        <v>1</v>
      </c>
      <c r="H10" s="34">
        <v>1</v>
      </c>
      <c r="I10" s="34">
        <v>1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2">
        <f t="shared" ref="AK10:AK22" si="0">SUM(G10:AJ10)</f>
        <v>3</v>
      </c>
      <c r="AL10" s="11">
        <v>32000</v>
      </c>
      <c r="AM10" s="11">
        <f t="shared" ref="AM10:AM22" si="1">AL10*AK10</f>
        <v>96000</v>
      </c>
    </row>
    <row r="11" spans="1:39">
      <c r="A11" s="49" t="s">
        <v>396</v>
      </c>
      <c r="B11" s="32">
        <v>29</v>
      </c>
      <c r="C11" s="33" t="s">
        <v>346</v>
      </c>
      <c r="D11" s="33" t="s">
        <v>553</v>
      </c>
      <c r="E11" s="33" t="s">
        <v>631</v>
      </c>
      <c r="F11" s="32" t="s">
        <v>634</v>
      </c>
      <c r="G11" s="34">
        <v>1</v>
      </c>
      <c r="H11" s="34">
        <v>1</v>
      </c>
      <c r="I11" s="34">
        <v>1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10">
        <f t="shared" si="0"/>
        <v>3</v>
      </c>
      <c r="AL11" s="11">
        <v>32000</v>
      </c>
      <c r="AM11" s="12">
        <f t="shared" si="1"/>
        <v>96000</v>
      </c>
    </row>
    <row r="12" spans="1:39">
      <c r="A12" s="49" t="s">
        <v>396</v>
      </c>
      <c r="B12" s="32">
        <v>29</v>
      </c>
      <c r="C12" s="33" t="s">
        <v>632</v>
      </c>
      <c r="D12" s="33" t="s">
        <v>632</v>
      </c>
      <c r="E12" s="33" t="s">
        <v>9</v>
      </c>
      <c r="F12" s="32" t="s">
        <v>633</v>
      </c>
      <c r="G12" s="34">
        <v>1</v>
      </c>
      <c r="H12" s="34">
        <v>1</v>
      </c>
      <c r="I12" s="34">
        <v>1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10">
        <f t="shared" si="0"/>
        <v>3</v>
      </c>
      <c r="AL12" s="11">
        <v>32000</v>
      </c>
      <c r="AM12" s="12">
        <f t="shared" si="1"/>
        <v>96000</v>
      </c>
    </row>
    <row r="13" spans="1:39">
      <c r="A13" s="49" t="s">
        <v>396</v>
      </c>
      <c r="B13" s="32">
        <v>46</v>
      </c>
      <c r="C13" s="33" t="s">
        <v>342</v>
      </c>
      <c r="D13" s="33" t="s">
        <v>20</v>
      </c>
      <c r="E13" s="33" t="s">
        <v>625</v>
      </c>
      <c r="F13" s="32" t="s">
        <v>642</v>
      </c>
      <c r="G13" s="34">
        <v>1</v>
      </c>
      <c r="H13" s="34">
        <v>1</v>
      </c>
      <c r="I13" s="34">
        <v>1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10">
        <f t="shared" si="0"/>
        <v>3</v>
      </c>
      <c r="AL13" s="11">
        <v>32000</v>
      </c>
      <c r="AM13" s="12">
        <f t="shared" si="1"/>
        <v>96000</v>
      </c>
    </row>
    <row r="14" spans="1:39">
      <c r="A14" s="49" t="s">
        <v>396</v>
      </c>
      <c r="B14" s="32">
        <v>46</v>
      </c>
      <c r="C14" s="33" t="s">
        <v>210</v>
      </c>
      <c r="D14" s="33" t="s">
        <v>210</v>
      </c>
      <c r="E14" s="33" t="s">
        <v>626</v>
      </c>
      <c r="F14" s="32" t="s">
        <v>641</v>
      </c>
      <c r="G14" s="34">
        <v>1</v>
      </c>
      <c r="H14" s="34">
        <v>1</v>
      </c>
      <c r="I14" s="34">
        <v>1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10">
        <f t="shared" si="0"/>
        <v>3</v>
      </c>
      <c r="AL14" s="11">
        <v>32000</v>
      </c>
      <c r="AM14" s="12">
        <f t="shared" si="1"/>
        <v>96000</v>
      </c>
    </row>
    <row r="15" spans="1:39">
      <c r="A15" s="49" t="s">
        <v>396</v>
      </c>
      <c r="B15" s="32">
        <v>48</v>
      </c>
      <c r="C15" s="33" t="s">
        <v>414</v>
      </c>
      <c r="D15" s="33" t="s">
        <v>118</v>
      </c>
      <c r="E15" s="33" t="s">
        <v>25</v>
      </c>
      <c r="F15" s="32" t="s">
        <v>640</v>
      </c>
      <c r="G15" s="34">
        <v>1</v>
      </c>
      <c r="H15" s="34">
        <v>1</v>
      </c>
      <c r="I15" s="34">
        <v>1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10">
        <f t="shared" si="0"/>
        <v>3</v>
      </c>
      <c r="AL15" s="11">
        <v>32000</v>
      </c>
      <c r="AM15" s="12">
        <f t="shared" si="1"/>
        <v>96000</v>
      </c>
    </row>
    <row r="16" spans="1:39">
      <c r="A16" s="49" t="s">
        <v>396</v>
      </c>
      <c r="B16" s="32">
        <v>48</v>
      </c>
      <c r="C16" s="33" t="s">
        <v>627</v>
      </c>
      <c r="D16" s="33" t="s">
        <v>628</v>
      </c>
      <c r="E16" s="33" t="s">
        <v>86</v>
      </c>
      <c r="F16" s="32" t="s">
        <v>639</v>
      </c>
      <c r="G16" s="34">
        <v>1</v>
      </c>
      <c r="H16" s="34">
        <v>1</v>
      </c>
      <c r="I16" s="34">
        <v>1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10">
        <f t="shared" si="0"/>
        <v>3</v>
      </c>
      <c r="AL16" s="11">
        <v>32000</v>
      </c>
      <c r="AM16" s="12">
        <f t="shared" si="1"/>
        <v>96000</v>
      </c>
    </row>
    <row r="17" spans="1:39">
      <c r="A17" s="49" t="s">
        <v>396</v>
      </c>
      <c r="B17" s="32">
        <v>49</v>
      </c>
      <c r="C17" s="33" t="s">
        <v>394</v>
      </c>
      <c r="D17" s="33" t="s">
        <v>429</v>
      </c>
      <c r="E17" s="33" t="s">
        <v>41</v>
      </c>
      <c r="F17" s="32" t="s">
        <v>434</v>
      </c>
      <c r="G17" s="34">
        <v>1</v>
      </c>
      <c r="H17" s="34">
        <v>1</v>
      </c>
      <c r="I17" s="34">
        <v>1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10">
        <f t="shared" si="0"/>
        <v>3</v>
      </c>
      <c r="AL17" s="11">
        <v>32000</v>
      </c>
      <c r="AM17" s="12">
        <f t="shared" si="1"/>
        <v>96000</v>
      </c>
    </row>
    <row r="18" spans="1:39">
      <c r="A18" s="49" t="s">
        <v>396</v>
      </c>
      <c r="B18" s="32">
        <v>51</v>
      </c>
      <c r="C18" s="33" t="s">
        <v>628</v>
      </c>
      <c r="D18" s="33" t="s">
        <v>606</v>
      </c>
      <c r="E18" s="33" t="s">
        <v>57</v>
      </c>
      <c r="F18" s="32" t="s">
        <v>638</v>
      </c>
      <c r="G18" s="34">
        <v>1</v>
      </c>
      <c r="H18" s="34">
        <v>1</v>
      </c>
      <c r="I18" s="34">
        <v>1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10">
        <f t="shared" si="0"/>
        <v>3</v>
      </c>
      <c r="AL18" s="11">
        <v>32000</v>
      </c>
      <c r="AM18" s="12">
        <f t="shared" si="1"/>
        <v>96000</v>
      </c>
    </row>
    <row r="19" spans="1:39">
      <c r="A19" s="49" t="s">
        <v>396</v>
      </c>
      <c r="B19" s="32">
        <v>51</v>
      </c>
      <c r="C19" s="33" t="s">
        <v>514</v>
      </c>
      <c r="D19" s="33" t="s">
        <v>260</v>
      </c>
      <c r="E19" s="33" t="s">
        <v>347</v>
      </c>
      <c r="F19" s="32" t="s">
        <v>637</v>
      </c>
      <c r="G19" s="34">
        <v>1</v>
      </c>
      <c r="H19" s="34">
        <v>1</v>
      </c>
      <c r="I19" s="34">
        <v>1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10">
        <f t="shared" si="0"/>
        <v>3</v>
      </c>
      <c r="AL19" s="11">
        <v>32000</v>
      </c>
      <c r="AM19" s="12">
        <f t="shared" si="1"/>
        <v>96000</v>
      </c>
    </row>
    <row r="20" spans="1:39">
      <c r="A20" s="49" t="s">
        <v>396</v>
      </c>
      <c r="B20" s="32">
        <v>53</v>
      </c>
      <c r="C20" s="33" t="s">
        <v>85</v>
      </c>
      <c r="D20" s="33" t="s">
        <v>430</v>
      </c>
      <c r="E20" s="33" t="s">
        <v>263</v>
      </c>
      <c r="F20" s="32" t="s">
        <v>433</v>
      </c>
      <c r="G20" s="34">
        <v>1</v>
      </c>
      <c r="H20" s="34">
        <v>1</v>
      </c>
      <c r="I20" s="34">
        <v>1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10">
        <f t="shared" si="0"/>
        <v>3</v>
      </c>
      <c r="AL20" s="11">
        <v>32000</v>
      </c>
      <c r="AM20" s="12">
        <f t="shared" si="1"/>
        <v>96000</v>
      </c>
    </row>
    <row r="21" spans="1:39">
      <c r="A21" s="55" t="s">
        <v>396</v>
      </c>
      <c r="B21" s="35">
        <v>53</v>
      </c>
      <c r="C21" s="36" t="s">
        <v>431</v>
      </c>
      <c r="D21" s="36" t="s">
        <v>66</v>
      </c>
      <c r="E21" s="36" t="s">
        <v>211</v>
      </c>
      <c r="F21" s="35" t="s">
        <v>432</v>
      </c>
      <c r="G21" s="37">
        <v>1</v>
      </c>
      <c r="H21" s="37">
        <v>1</v>
      </c>
      <c r="I21" s="37">
        <v>1</v>
      </c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10">
        <f t="shared" si="0"/>
        <v>3</v>
      </c>
      <c r="AL21" s="12">
        <v>32000</v>
      </c>
      <c r="AM21" s="12">
        <f t="shared" si="1"/>
        <v>96000</v>
      </c>
    </row>
    <row r="22" spans="1:39" ht="13.5" thickBot="1">
      <c r="A22" s="56" t="s">
        <v>396</v>
      </c>
      <c r="B22" s="57">
        <v>61</v>
      </c>
      <c r="C22" s="58" t="s">
        <v>251</v>
      </c>
      <c r="D22" s="58" t="s">
        <v>286</v>
      </c>
      <c r="E22" s="58" t="s">
        <v>368</v>
      </c>
      <c r="F22" s="57" t="s">
        <v>636</v>
      </c>
      <c r="G22" s="59">
        <v>1</v>
      </c>
      <c r="H22" s="59">
        <v>1</v>
      </c>
      <c r="I22" s="59">
        <v>1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13">
        <f t="shared" si="0"/>
        <v>3</v>
      </c>
      <c r="AL22" s="61">
        <v>32000</v>
      </c>
      <c r="AM22" s="14">
        <f t="shared" si="1"/>
        <v>96000</v>
      </c>
    </row>
    <row r="23" spans="1:39">
      <c r="A23" s="49" t="s">
        <v>396</v>
      </c>
      <c r="B23" s="32">
        <v>1</v>
      </c>
      <c r="C23" s="33" t="s">
        <v>302</v>
      </c>
      <c r="D23" s="33" t="s">
        <v>861</v>
      </c>
      <c r="E23" s="33" t="s">
        <v>15</v>
      </c>
      <c r="F23" s="32" t="s">
        <v>380</v>
      </c>
      <c r="G23" s="46"/>
      <c r="H23" s="46"/>
      <c r="I23" s="46"/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42">
        <f t="shared" ref="AK23:AK47" si="2">SUM(G23:AJ23)</f>
        <v>14</v>
      </c>
      <c r="AL23" s="11">
        <v>32000</v>
      </c>
      <c r="AM23" s="11">
        <f t="shared" ref="AM23:AM47" si="3">AL23*AK23</f>
        <v>448000</v>
      </c>
    </row>
    <row r="24" spans="1:39">
      <c r="A24" s="49" t="s">
        <v>396</v>
      </c>
      <c r="B24" s="32">
        <v>1</v>
      </c>
      <c r="C24" s="33" t="s">
        <v>381</v>
      </c>
      <c r="D24" s="33" t="s">
        <v>118</v>
      </c>
      <c r="E24" s="33" t="s">
        <v>217</v>
      </c>
      <c r="F24" s="32" t="s">
        <v>382</v>
      </c>
      <c r="G24" s="46"/>
      <c r="H24" s="46"/>
      <c r="I24" s="46"/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10">
        <f t="shared" si="2"/>
        <v>14</v>
      </c>
      <c r="AL24" s="11">
        <v>32000</v>
      </c>
      <c r="AM24" s="12">
        <f t="shared" si="3"/>
        <v>448000</v>
      </c>
    </row>
    <row r="25" spans="1:39">
      <c r="A25" s="49" t="s">
        <v>396</v>
      </c>
      <c r="B25" s="32">
        <v>2</v>
      </c>
      <c r="C25" s="33" t="s">
        <v>629</v>
      </c>
      <c r="D25" s="33" t="s">
        <v>630</v>
      </c>
      <c r="E25" s="33" t="s">
        <v>11</v>
      </c>
      <c r="F25" s="32" t="s">
        <v>635</v>
      </c>
      <c r="G25" s="46"/>
      <c r="H25" s="46"/>
      <c r="I25" s="46"/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10">
        <f t="shared" si="2"/>
        <v>14</v>
      </c>
      <c r="AL25" s="11">
        <v>32000</v>
      </c>
      <c r="AM25" s="12">
        <f t="shared" si="3"/>
        <v>448000</v>
      </c>
    </row>
    <row r="26" spans="1:39">
      <c r="A26" s="49" t="s">
        <v>396</v>
      </c>
      <c r="B26" s="32">
        <v>2</v>
      </c>
      <c r="C26" s="33" t="s">
        <v>251</v>
      </c>
      <c r="D26" s="33" t="s">
        <v>286</v>
      </c>
      <c r="E26" s="33" t="s">
        <v>862</v>
      </c>
      <c r="F26" s="32" t="s">
        <v>636</v>
      </c>
      <c r="G26" s="46"/>
      <c r="H26" s="46"/>
      <c r="I26" s="46"/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10">
        <f t="shared" si="2"/>
        <v>14</v>
      </c>
      <c r="AL26" s="11">
        <v>32000</v>
      </c>
      <c r="AM26" s="12">
        <f t="shared" si="3"/>
        <v>448000</v>
      </c>
    </row>
    <row r="27" spans="1:39">
      <c r="A27" s="49" t="s">
        <v>396</v>
      </c>
      <c r="B27" s="32">
        <v>16</v>
      </c>
      <c r="C27" s="33" t="s">
        <v>372</v>
      </c>
      <c r="D27" s="33" t="s">
        <v>373</v>
      </c>
      <c r="E27" s="33" t="s">
        <v>252</v>
      </c>
      <c r="F27" s="32" t="s">
        <v>374</v>
      </c>
      <c r="G27" s="46"/>
      <c r="H27" s="46"/>
      <c r="I27" s="46"/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10">
        <f t="shared" si="2"/>
        <v>14</v>
      </c>
      <c r="AL27" s="11">
        <v>32000</v>
      </c>
      <c r="AM27" s="12">
        <f t="shared" si="3"/>
        <v>448000</v>
      </c>
    </row>
    <row r="28" spans="1:39">
      <c r="A28" s="49" t="s">
        <v>396</v>
      </c>
      <c r="B28" s="32">
        <v>16</v>
      </c>
      <c r="C28" s="33" t="s">
        <v>554</v>
      </c>
      <c r="D28" s="33" t="s">
        <v>375</v>
      </c>
      <c r="E28" s="33" t="s">
        <v>9</v>
      </c>
      <c r="F28" s="32" t="s">
        <v>863</v>
      </c>
      <c r="G28" s="46"/>
      <c r="H28" s="46"/>
      <c r="I28" s="46"/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10">
        <f t="shared" si="2"/>
        <v>14</v>
      </c>
      <c r="AL28" s="11">
        <v>32000</v>
      </c>
      <c r="AM28" s="12">
        <f t="shared" si="3"/>
        <v>448000</v>
      </c>
    </row>
    <row r="29" spans="1:39">
      <c r="A29" s="49" t="s">
        <v>396</v>
      </c>
      <c r="B29" s="32">
        <v>20</v>
      </c>
      <c r="C29" s="33" t="s">
        <v>227</v>
      </c>
      <c r="D29" s="33" t="s">
        <v>314</v>
      </c>
      <c r="E29" s="33" t="s">
        <v>378</v>
      </c>
      <c r="F29" s="32" t="s">
        <v>379</v>
      </c>
      <c r="G29" s="46"/>
      <c r="H29" s="46"/>
      <c r="I29" s="46"/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10">
        <f t="shared" si="2"/>
        <v>14</v>
      </c>
      <c r="AL29" s="11">
        <v>32000</v>
      </c>
      <c r="AM29" s="12">
        <f t="shared" si="3"/>
        <v>448000</v>
      </c>
    </row>
    <row r="30" spans="1:39">
      <c r="A30" s="49" t="s">
        <v>396</v>
      </c>
      <c r="B30" s="32">
        <v>20</v>
      </c>
      <c r="C30" s="33" t="s">
        <v>300</v>
      </c>
      <c r="D30" s="33" t="s">
        <v>376</v>
      </c>
      <c r="E30" s="33" t="s">
        <v>75</v>
      </c>
      <c r="F30" s="32" t="s">
        <v>377</v>
      </c>
      <c r="G30" s="46"/>
      <c r="H30" s="46"/>
      <c r="I30" s="46"/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10">
        <f t="shared" si="2"/>
        <v>14</v>
      </c>
      <c r="AL30" s="11">
        <v>32000</v>
      </c>
      <c r="AM30" s="12">
        <f t="shared" si="3"/>
        <v>448000</v>
      </c>
    </row>
    <row r="31" spans="1:39">
      <c r="A31" s="49" t="s">
        <v>396</v>
      </c>
      <c r="B31" s="32">
        <v>29</v>
      </c>
      <c r="C31" s="33" t="s">
        <v>346</v>
      </c>
      <c r="D31" s="33" t="s">
        <v>553</v>
      </c>
      <c r="E31" s="33" t="s">
        <v>631</v>
      </c>
      <c r="F31" s="32" t="s">
        <v>634</v>
      </c>
      <c r="G31" s="46"/>
      <c r="H31" s="46"/>
      <c r="I31" s="46"/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10">
        <f t="shared" si="2"/>
        <v>14</v>
      </c>
      <c r="AL31" s="11">
        <v>32000</v>
      </c>
      <c r="AM31" s="12">
        <f t="shared" si="3"/>
        <v>448000</v>
      </c>
    </row>
    <row r="32" spans="1:39">
      <c r="A32" s="49" t="s">
        <v>396</v>
      </c>
      <c r="B32" s="32">
        <v>29</v>
      </c>
      <c r="C32" s="33" t="s">
        <v>632</v>
      </c>
      <c r="D32" s="33" t="s">
        <v>632</v>
      </c>
      <c r="E32" s="33" t="s">
        <v>9</v>
      </c>
      <c r="F32" s="32" t="s">
        <v>633</v>
      </c>
      <c r="G32" s="46"/>
      <c r="H32" s="46"/>
      <c r="I32" s="46"/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10">
        <f t="shared" si="2"/>
        <v>14</v>
      </c>
      <c r="AL32" s="11">
        <v>32000</v>
      </c>
      <c r="AM32" s="12">
        <f t="shared" si="3"/>
        <v>448000</v>
      </c>
    </row>
    <row r="33" spans="1:40">
      <c r="A33" s="49" t="s">
        <v>396</v>
      </c>
      <c r="B33" s="32">
        <v>30</v>
      </c>
      <c r="C33" s="33" t="s">
        <v>363</v>
      </c>
      <c r="D33" s="33" t="s">
        <v>364</v>
      </c>
      <c r="E33" s="33" t="s">
        <v>15</v>
      </c>
      <c r="F33" s="32" t="s">
        <v>365</v>
      </c>
      <c r="G33" s="46"/>
      <c r="H33" s="46"/>
      <c r="I33" s="46"/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10">
        <f t="shared" si="2"/>
        <v>14</v>
      </c>
      <c r="AL33" s="11">
        <v>32000</v>
      </c>
      <c r="AM33" s="12">
        <f t="shared" si="3"/>
        <v>448000</v>
      </c>
    </row>
    <row r="34" spans="1:40">
      <c r="A34" s="49" t="s">
        <v>396</v>
      </c>
      <c r="B34" s="32">
        <v>30</v>
      </c>
      <c r="C34" s="33" t="s">
        <v>361</v>
      </c>
      <c r="D34" s="33" t="s">
        <v>66</v>
      </c>
      <c r="E34" s="33" t="s">
        <v>9</v>
      </c>
      <c r="F34" s="32" t="s">
        <v>362</v>
      </c>
      <c r="G34" s="46"/>
      <c r="H34" s="46"/>
      <c r="I34" s="46"/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10">
        <f t="shared" si="2"/>
        <v>14</v>
      </c>
      <c r="AL34" s="11">
        <v>32000</v>
      </c>
      <c r="AM34" s="12">
        <f t="shared" si="3"/>
        <v>448000</v>
      </c>
    </row>
    <row r="35" spans="1:40" ht="13.5" customHeight="1">
      <c r="A35" s="49" t="s">
        <v>396</v>
      </c>
      <c r="B35" s="32">
        <v>46</v>
      </c>
      <c r="C35" s="33" t="s">
        <v>342</v>
      </c>
      <c r="D35" s="33" t="s">
        <v>20</v>
      </c>
      <c r="E35" s="33" t="s">
        <v>864</v>
      </c>
      <c r="F35" s="32" t="s">
        <v>642</v>
      </c>
      <c r="G35" s="46"/>
      <c r="H35" s="46"/>
      <c r="I35" s="46"/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10">
        <f t="shared" ref="AK35:AK37" si="4">SUM(G35:AJ35)</f>
        <v>14</v>
      </c>
      <c r="AL35" s="11">
        <v>32000</v>
      </c>
      <c r="AM35" s="12">
        <f t="shared" ref="AM35:AM37" si="5">AL35*AK35</f>
        <v>448000</v>
      </c>
    </row>
    <row r="36" spans="1:40">
      <c r="A36" s="49" t="s">
        <v>396</v>
      </c>
      <c r="B36" s="32">
        <v>46</v>
      </c>
      <c r="C36" s="33" t="s">
        <v>210</v>
      </c>
      <c r="D36" s="33" t="s">
        <v>210</v>
      </c>
      <c r="E36" s="33" t="s">
        <v>626</v>
      </c>
      <c r="F36" s="32" t="s">
        <v>641</v>
      </c>
      <c r="G36" s="46"/>
      <c r="H36" s="46"/>
      <c r="I36" s="46"/>
      <c r="J36" s="34">
        <v>1</v>
      </c>
      <c r="K36" s="34">
        <v>1</v>
      </c>
      <c r="L36" s="34">
        <v>1</v>
      </c>
      <c r="M36" s="34">
        <v>1</v>
      </c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10">
        <f t="shared" si="4"/>
        <v>14</v>
      </c>
      <c r="AL36" s="11">
        <v>32000</v>
      </c>
      <c r="AM36" s="12">
        <f t="shared" si="5"/>
        <v>448000</v>
      </c>
    </row>
    <row r="37" spans="1:40">
      <c r="A37" s="49" t="s">
        <v>396</v>
      </c>
      <c r="B37" s="32">
        <v>48</v>
      </c>
      <c r="C37" s="33" t="s">
        <v>66</v>
      </c>
      <c r="D37" s="33" t="s">
        <v>118</v>
      </c>
      <c r="E37" s="33" t="s">
        <v>337</v>
      </c>
      <c r="F37" s="32" t="s">
        <v>640</v>
      </c>
      <c r="G37" s="46"/>
      <c r="H37" s="46"/>
      <c r="I37" s="46"/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10">
        <f t="shared" si="4"/>
        <v>14</v>
      </c>
      <c r="AL37" s="11">
        <v>32000</v>
      </c>
      <c r="AM37" s="12">
        <f t="shared" si="5"/>
        <v>448000</v>
      </c>
    </row>
    <row r="38" spans="1:40">
      <c r="A38" s="49" t="s">
        <v>396</v>
      </c>
      <c r="B38" s="32">
        <v>48</v>
      </c>
      <c r="C38" s="33" t="s">
        <v>865</v>
      </c>
      <c r="D38" s="33" t="s">
        <v>628</v>
      </c>
      <c r="E38" s="33" t="s">
        <v>86</v>
      </c>
      <c r="F38" s="32" t="s">
        <v>639</v>
      </c>
      <c r="G38" s="46"/>
      <c r="H38" s="46"/>
      <c r="I38" s="46"/>
      <c r="J38" s="34">
        <v>1</v>
      </c>
      <c r="K38" s="34">
        <v>1</v>
      </c>
      <c r="L38" s="34">
        <v>1</v>
      </c>
      <c r="M38" s="34">
        <v>1</v>
      </c>
      <c r="N38" s="34">
        <v>1</v>
      </c>
      <c r="O38" s="34">
        <v>1</v>
      </c>
      <c r="P38" s="34">
        <v>1</v>
      </c>
      <c r="Q38" s="34">
        <v>1</v>
      </c>
      <c r="R38" s="34">
        <v>1</v>
      </c>
      <c r="S38" s="34">
        <v>1</v>
      </c>
      <c r="T38" s="34">
        <v>1</v>
      </c>
      <c r="U38" s="34">
        <v>1</v>
      </c>
      <c r="V38" s="34">
        <v>1</v>
      </c>
      <c r="W38" s="34">
        <v>1</v>
      </c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10">
        <f t="shared" si="2"/>
        <v>14</v>
      </c>
      <c r="AL38" s="11">
        <v>32000</v>
      </c>
      <c r="AM38" s="12">
        <f t="shared" si="3"/>
        <v>448000</v>
      </c>
    </row>
    <row r="39" spans="1:40">
      <c r="A39" s="49" t="s">
        <v>396</v>
      </c>
      <c r="B39" s="32">
        <v>49</v>
      </c>
      <c r="C39" s="33" t="s">
        <v>92</v>
      </c>
      <c r="D39" s="33" t="s">
        <v>370</v>
      </c>
      <c r="E39" s="33" t="s">
        <v>324</v>
      </c>
      <c r="F39" s="32" t="s">
        <v>371</v>
      </c>
      <c r="G39" s="46"/>
      <c r="H39" s="46"/>
      <c r="I39" s="46"/>
      <c r="J39" s="34">
        <v>1</v>
      </c>
      <c r="K39" s="34">
        <v>1</v>
      </c>
      <c r="L39" s="34">
        <v>1</v>
      </c>
      <c r="M39" s="34">
        <v>1</v>
      </c>
      <c r="N39" s="34">
        <v>1</v>
      </c>
      <c r="O39" s="34">
        <v>1</v>
      </c>
      <c r="P39" s="34">
        <v>1</v>
      </c>
      <c r="Q39" s="34">
        <v>1</v>
      </c>
      <c r="R39" s="34">
        <v>1</v>
      </c>
      <c r="S39" s="34">
        <v>1</v>
      </c>
      <c r="T39" s="34">
        <v>1</v>
      </c>
      <c r="U39" s="34">
        <v>1</v>
      </c>
      <c r="V39" s="34">
        <v>1</v>
      </c>
      <c r="W39" s="34">
        <v>1</v>
      </c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10">
        <f t="shared" si="2"/>
        <v>14</v>
      </c>
      <c r="AL39" s="11">
        <v>32000</v>
      </c>
      <c r="AM39" s="12">
        <f t="shared" si="3"/>
        <v>448000</v>
      </c>
    </row>
    <row r="40" spans="1:40">
      <c r="A40" s="49" t="s">
        <v>396</v>
      </c>
      <c r="B40" s="32">
        <v>49</v>
      </c>
      <c r="C40" s="33" t="s">
        <v>866</v>
      </c>
      <c r="D40" s="33" t="s">
        <v>367</v>
      </c>
      <c r="E40" s="33" t="s">
        <v>862</v>
      </c>
      <c r="F40" s="32" t="s">
        <v>369</v>
      </c>
      <c r="G40" s="46"/>
      <c r="H40" s="46"/>
      <c r="I40" s="46"/>
      <c r="J40" s="34">
        <v>1</v>
      </c>
      <c r="K40" s="34">
        <v>1</v>
      </c>
      <c r="L40" s="34">
        <v>1</v>
      </c>
      <c r="M40" s="34">
        <v>1</v>
      </c>
      <c r="N40" s="34">
        <v>1</v>
      </c>
      <c r="O40" s="34">
        <v>1</v>
      </c>
      <c r="P40" s="34">
        <v>1</v>
      </c>
      <c r="Q40" s="34">
        <v>1</v>
      </c>
      <c r="R40" s="34">
        <v>1</v>
      </c>
      <c r="S40" s="34">
        <v>1</v>
      </c>
      <c r="T40" s="34">
        <v>1</v>
      </c>
      <c r="U40" s="34">
        <v>1</v>
      </c>
      <c r="V40" s="34">
        <v>1</v>
      </c>
      <c r="W40" s="34">
        <v>1</v>
      </c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10">
        <f t="shared" si="2"/>
        <v>14</v>
      </c>
      <c r="AL40" s="11">
        <v>32000</v>
      </c>
      <c r="AM40" s="12">
        <f t="shared" si="3"/>
        <v>448000</v>
      </c>
    </row>
    <row r="41" spans="1:40">
      <c r="A41" s="49" t="s">
        <v>396</v>
      </c>
      <c r="B41" s="32">
        <v>51</v>
      </c>
      <c r="C41" s="33" t="s">
        <v>628</v>
      </c>
      <c r="D41" s="33" t="s">
        <v>606</v>
      </c>
      <c r="E41" s="33" t="s">
        <v>57</v>
      </c>
      <c r="F41" s="32" t="s">
        <v>638</v>
      </c>
      <c r="G41" s="46"/>
      <c r="H41" s="46"/>
      <c r="I41" s="46"/>
      <c r="J41" s="34">
        <v>1</v>
      </c>
      <c r="K41" s="34">
        <v>1</v>
      </c>
      <c r="L41" s="34">
        <v>1</v>
      </c>
      <c r="M41" s="34">
        <v>1</v>
      </c>
      <c r="N41" s="34">
        <v>1</v>
      </c>
      <c r="O41" s="34">
        <v>1</v>
      </c>
      <c r="P41" s="34">
        <v>1</v>
      </c>
      <c r="Q41" s="34">
        <v>1</v>
      </c>
      <c r="R41" s="34">
        <v>1</v>
      </c>
      <c r="S41" s="34">
        <v>1</v>
      </c>
      <c r="T41" s="34">
        <v>1</v>
      </c>
      <c r="U41" s="34">
        <v>1</v>
      </c>
      <c r="V41" s="34">
        <v>1</v>
      </c>
      <c r="W41" s="34">
        <v>1</v>
      </c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10">
        <f t="shared" si="2"/>
        <v>14</v>
      </c>
      <c r="AL41" s="11">
        <v>32000</v>
      </c>
      <c r="AM41" s="12">
        <f t="shared" si="3"/>
        <v>448000</v>
      </c>
    </row>
    <row r="42" spans="1:40">
      <c r="A42" s="49" t="s">
        <v>396</v>
      </c>
      <c r="B42" s="32">
        <v>51</v>
      </c>
      <c r="C42" s="33" t="s">
        <v>406</v>
      </c>
      <c r="D42" s="33" t="s">
        <v>260</v>
      </c>
      <c r="E42" s="33" t="s">
        <v>347</v>
      </c>
      <c r="F42" s="32" t="s">
        <v>637</v>
      </c>
      <c r="G42" s="46"/>
      <c r="H42" s="46"/>
      <c r="I42" s="46"/>
      <c r="J42" s="34">
        <v>1</v>
      </c>
      <c r="K42" s="34">
        <v>1</v>
      </c>
      <c r="L42" s="34">
        <v>1</v>
      </c>
      <c r="M42" s="34">
        <v>1</v>
      </c>
      <c r="N42" s="34">
        <v>1</v>
      </c>
      <c r="O42" s="34">
        <v>1</v>
      </c>
      <c r="P42" s="34">
        <v>1</v>
      </c>
      <c r="Q42" s="34">
        <v>1</v>
      </c>
      <c r="R42" s="34">
        <v>1</v>
      </c>
      <c r="S42" s="34">
        <v>1</v>
      </c>
      <c r="T42" s="34">
        <v>1</v>
      </c>
      <c r="U42" s="34">
        <v>1</v>
      </c>
      <c r="V42" s="34">
        <v>1</v>
      </c>
      <c r="W42" s="34">
        <v>1</v>
      </c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10">
        <f t="shared" si="2"/>
        <v>14</v>
      </c>
      <c r="AL42" s="11">
        <v>32000</v>
      </c>
      <c r="AM42" s="12">
        <f t="shared" si="3"/>
        <v>448000</v>
      </c>
    </row>
    <row r="43" spans="1:40">
      <c r="A43" s="49" t="s">
        <v>396</v>
      </c>
      <c r="B43" s="32">
        <v>53</v>
      </c>
      <c r="C43" s="33" t="s">
        <v>867</v>
      </c>
      <c r="D43" s="33"/>
      <c r="E43" s="33" t="s">
        <v>386</v>
      </c>
      <c r="F43" s="32" t="s">
        <v>387</v>
      </c>
      <c r="G43" s="46"/>
      <c r="H43" s="46"/>
      <c r="I43" s="46"/>
      <c r="J43" s="34">
        <v>1</v>
      </c>
      <c r="K43" s="34">
        <v>1</v>
      </c>
      <c r="L43" s="34">
        <v>1</v>
      </c>
      <c r="M43" s="34">
        <v>1</v>
      </c>
      <c r="N43" s="34">
        <v>1</v>
      </c>
      <c r="O43" s="34">
        <v>1</v>
      </c>
      <c r="P43" s="34">
        <v>1</v>
      </c>
      <c r="Q43" s="34">
        <v>1</v>
      </c>
      <c r="R43" s="34">
        <v>1</v>
      </c>
      <c r="S43" s="34">
        <v>1</v>
      </c>
      <c r="T43" s="34">
        <v>1</v>
      </c>
      <c r="U43" s="34">
        <v>1</v>
      </c>
      <c r="V43" s="34">
        <v>1</v>
      </c>
      <c r="W43" s="34">
        <v>1</v>
      </c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10">
        <f t="shared" si="2"/>
        <v>14</v>
      </c>
      <c r="AL43" s="11">
        <v>32000</v>
      </c>
      <c r="AM43" s="12">
        <f t="shared" si="3"/>
        <v>448000</v>
      </c>
    </row>
    <row r="44" spans="1:40">
      <c r="A44" s="49" t="s">
        <v>396</v>
      </c>
      <c r="B44" s="32">
        <v>53</v>
      </c>
      <c r="C44" s="33" t="s">
        <v>383</v>
      </c>
      <c r="D44" s="33" t="s">
        <v>383</v>
      </c>
      <c r="E44" s="33" t="s">
        <v>384</v>
      </c>
      <c r="F44" s="32" t="s">
        <v>385</v>
      </c>
      <c r="G44" s="46"/>
      <c r="H44" s="46"/>
      <c r="I44" s="46"/>
      <c r="J44" s="34">
        <v>1</v>
      </c>
      <c r="K44" s="34">
        <v>1</v>
      </c>
      <c r="L44" s="34">
        <v>1</v>
      </c>
      <c r="M44" s="34">
        <v>1</v>
      </c>
      <c r="N44" s="34">
        <v>1</v>
      </c>
      <c r="O44" s="34">
        <v>1</v>
      </c>
      <c r="P44" s="34">
        <v>1</v>
      </c>
      <c r="Q44" s="34">
        <v>1</v>
      </c>
      <c r="R44" s="34">
        <v>1</v>
      </c>
      <c r="S44" s="34">
        <v>1</v>
      </c>
      <c r="T44" s="34">
        <v>1</v>
      </c>
      <c r="U44" s="34">
        <v>1</v>
      </c>
      <c r="V44" s="34">
        <v>1</v>
      </c>
      <c r="W44" s="34">
        <v>1</v>
      </c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10">
        <f t="shared" si="2"/>
        <v>14</v>
      </c>
      <c r="AL44" s="11">
        <v>32000</v>
      </c>
      <c r="AM44" s="12">
        <f t="shared" si="3"/>
        <v>448000</v>
      </c>
    </row>
    <row r="45" spans="1:40">
      <c r="A45" s="49" t="s">
        <v>396</v>
      </c>
      <c r="B45" s="32">
        <v>73</v>
      </c>
      <c r="C45" s="33" t="s">
        <v>13</v>
      </c>
      <c r="D45" s="33" t="s">
        <v>152</v>
      </c>
      <c r="E45" s="33" t="s">
        <v>166</v>
      </c>
      <c r="F45" s="32" t="s">
        <v>868</v>
      </c>
      <c r="G45" s="46"/>
      <c r="H45" s="46"/>
      <c r="I45" s="46"/>
      <c r="J45" s="34">
        <v>1</v>
      </c>
      <c r="K45" s="34">
        <v>1</v>
      </c>
      <c r="L45" s="34">
        <v>1</v>
      </c>
      <c r="M45" s="34">
        <v>1</v>
      </c>
      <c r="N45" s="34">
        <v>1</v>
      </c>
      <c r="O45" s="34">
        <v>1</v>
      </c>
      <c r="P45" s="34">
        <v>1</v>
      </c>
      <c r="Q45" s="34">
        <v>1</v>
      </c>
      <c r="R45" s="34">
        <v>1</v>
      </c>
      <c r="S45" s="34">
        <v>1</v>
      </c>
      <c r="T45" s="34">
        <v>1</v>
      </c>
      <c r="U45" s="34">
        <v>1</v>
      </c>
      <c r="V45" s="34">
        <v>1</v>
      </c>
      <c r="W45" s="34">
        <v>1</v>
      </c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10">
        <f t="shared" si="2"/>
        <v>14</v>
      </c>
      <c r="AL45" s="11">
        <v>32000</v>
      </c>
      <c r="AM45" s="12">
        <f t="shared" si="3"/>
        <v>448000</v>
      </c>
    </row>
    <row r="46" spans="1:40">
      <c r="A46" s="49" t="s">
        <v>396</v>
      </c>
      <c r="B46" s="32">
        <v>77</v>
      </c>
      <c r="C46" s="33" t="s">
        <v>388</v>
      </c>
      <c r="D46" s="33" t="s">
        <v>389</v>
      </c>
      <c r="E46" s="33" t="s">
        <v>22</v>
      </c>
      <c r="F46" s="32" t="s">
        <v>390</v>
      </c>
      <c r="G46" s="46"/>
      <c r="H46" s="46"/>
      <c r="I46" s="46"/>
      <c r="J46" s="34">
        <v>1</v>
      </c>
      <c r="K46" s="34">
        <v>1</v>
      </c>
      <c r="L46" s="34">
        <v>1</v>
      </c>
      <c r="M46" s="34">
        <v>1</v>
      </c>
      <c r="N46" s="34">
        <v>1</v>
      </c>
      <c r="O46" s="34">
        <v>1</v>
      </c>
      <c r="P46" s="34">
        <v>1</v>
      </c>
      <c r="Q46" s="34">
        <v>1</v>
      </c>
      <c r="R46" s="34">
        <v>1</v>
      </c>
      <c r="S46" s="34">
        <v>1</v>
      </c>
      <c r="T46" s="34">
        <v>1</v>
      </c>
      <c r="U46" s="34">
        <v>1</v>
      </c>
      <c r="V46" s="34">
        <v>1</v>
      </c>
      <c r="W46" s="34">
        <v>1</v>
      </c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10">
        <f t="shared" si="2"/>
        <v>14</v>
      </c>
      <c r="AL46" s="11">
        <v>32000</v>
      </c>
      <c r="AM46" s="12">
        <f t="shared" si="3"/>
        <v>448000</v>
      </c>
    </row>
    <row r="47" spans="1:40">
      <c r="A47" s="49" t="s">
        <v>396</v>
      </c>
      <c r="B47" s="32">
        <v>77</v>
      </c>
      <c r="C47" s="33" t="s">
        <v>391</v>
      </c>
      <c r="D47" s="33" t="s">
        <v>392</v>
      </c>
      <c r="E47" s="33" t="s">
        <v>263</v>
      </c>
      <c r="F47" s="32" t="s">
        <v>393</v>
      </c>
      <c r="G47" s="46"/>
      <c r="H47" s="46"/>
      <c r="I47" s="46"/>
      <c r="J47" s="34">
        <v>1</v>
      </c>
      <c r="K47" s="34">
        <v>1</v>
      </c>
      <c r="L47" s="34">
        <v>1</v>
      </c>
      <c r="M47" s="34">
        <v>1</v>
      </c>
      <c r="N47" s="34">
        <v>1</v>
      </c>
      <c r="O47" s="34">
        <v>1</v>
      </c>
      <c r="P47" s="34">
        <v>1</v>
      </c>
      <c r="Q47" s="34">
        <v>1</v>
      </c>
      <c r="R47" s="34">
        <v>1</v>
      </c>
      <c r="S47" s="34">
        <v>1</v>
      </c>
      <c r="T47" s="34">
        <v>1</v>
      </c>
      <c r="U47" s="34">
        <v>1</v>
      </c>
      <c r="V47" s="34">
        <v>1</v>
      </c>
      <c r="W47" s="34">
        <v>1</v>
      </c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10">
        <f t="shared" si="2"/>
        <v>14</v>
      </c>
      <c r="AL47" s="11">
        <v>32000</v>
      </c>
      <c r="AM47" s="12">
        <f t="shared" si="3"/>
        <v>448000</v>
      </c>
    </row>
    <row r="48" spans="1:40">
      <c r="A48" s="49" t="s">
        <v>396</v>
      </c>
      <c r="B48" s="32">
        <v>75</v>
      </c>
      <c r="C48" s="33" t="s">
        <v>50</v>
      </c>
      <c r="D48" s="33" t="s">
        <v>544</v>
      </c>
      <c r="E48" s="33" t="s">
        <v>53</v>
      </c>
      <c r="F48" s="32" t="s">
        <v>54</v>
      </c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34">
        <v>1</v>
      </c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10">
        <f t="shared" ref="AK48:AK61" si="6">SUM(G48:AJ48)</f>
        <v>1</v>
      </c>
      <c r="AL48" s="11">
        <v>32000</v>
      </c>
      <c r="AM48" s="12">
        <f t="shared" ref="AM48:AM61" si="7">AL48*AK48</f>
        <v>32000</v>
      </c>
      <c r="AN48" s="3" t="s">
        <v>1000</v>
      </c>
    </row>
    <row r="49" spans="1:40">
      <c r="A49" s="49" t="s">
        <v>396</v>
      </c>
      <c r="B49" s="32">
        <v>75</v>
      </c>
      <c r="C49" s="33" t="s">
        <v>40</v>
      </c>
      <c r="D49" s="33" t="s">
        <v>555</v>
      </c>
      <c r="E49" s="33" t="s">
        <v>41</v>
      </c>
      <c r="F49" s="32" t="s">
        <v>42</v>
      </c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34">
        <v>1</v>
      </c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10">
        <f t="shared" si="6"/>
        <v>1</v>
      </c>
      <c r="AL49" s="11">
        <v>32000</v>
      </c>
      <c r="AM49" s="12">
        <f t="shared" si="7"/>
        <v>32000</v>
      </c>
      <c r="AN49" s="3" t="s">
        <v>1000</v>
      </c>
    </row>
    <row r="50" spans="1:40">
      <c r="A50" s="49" t="s">
        <v>396</v>
      </c>
      <c r="B50" s="32">
        <v>76</v>
      </c>
      <c r="C50" s="33" t="s">
        <v>43</v>
      </c>
      <c r="D50" s="33" t="s">
        <v>562</v>
      </c>
      <c r="E50" s="33" t="s">
        <v>44</v>
      </c>
      <c r="F50" s="32" t="s">
        <v>45</v>
      </c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34">
        <v>1</v>
      </c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10">
        <f t="shared" si="6"/>
        <v>1</v>
      </c>
      <c r="AL50" s="11">
        <v>32000</v>
      </c>
      <c r="AM50" s="12">
        <f t="shared" si="7"/>
        <v>32000</v>
      </c>
      <c r="AN50" s="3" t="s">
        <v>1000</v>
      </c>
    </row>
    <row r="51" spans="1:40">
      <c r="A51" s="49" t="s">
        <v>396</v>
      </c>
      <c r="B51" s="32">
        <v>76</v>
      </c>
      <c r="C51" s="33" t="s">
        <v>46</v>
      </c>
      <c r="D51" s="33" t="s">
        <v>561</v>
      </c>
      <c r="E51" s="33" t="s">
        <v>47</v>
      </c>
      <c r="F51" s="32" t="s">
        <v>48</v>
      </c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34">
        <v>1</v>
      </c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10">
        <f t="shared" si="6"/>
        <v>1</v>
      </c>
      <c r="AL51" s="11">
        <v>32000</v>
      </c>
      <c r="AM51" s="12">
        <f t="shared" si="7"/>
        <v>32000</v>
      </c>
      <c r="AN51" s="3" t="s">
        <v>1000</v>
      </c>
    </row>
    <row r="52" spans="1:40">
      <c r="A52" s="49" t="s">
        <v>396</v>
      </c>
      <c r="B52" s="32">
        <v>79</v>
      </c>
      <c r="C52" s="33" t="s">
        <v>14</v>
      </c>
      <c r="D52" s="33"/>
      <c r="E52" s="33" t="s">
        <v>559</v>
      </c>
      <c r="F52" s="32" t="s">
        <v>39</v>
      </c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34">
        <v>1</v>
      </c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10">
        <f t="shared" si="6"/>
        <v>1</v>
      </c>
      <c r="AL52" s="11">
        <v>32000</v>
      </c>
      <c r="AM52" s="12">
        <f t="shared" si="7"/>
        <v>32000</v>
      </c>
      <c r="AN52" s="3" t="s">
        <v>1000</v>
      </c>
    </row>
    <row r="53" spans="1:40">
      <c r="A53" s="49" t="s">
        <v>396</v>
      </c>
      <c r="B53" s="32">
        <v>82</v>
      </c>
      <c r="C53" s="33" t="s">
        <v>55</v>
      </c>
      <c r="D53" s="33"/>
      <c r="E53" s="33" t="s">
        <v>41</v>
      </c>
      <c r="F53" s="32" t="s">
        <v>557</v>
      </c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34">
        <v>1</v>
      </c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10">
        <f t="shared" si="6"/>
        <v>1</v>
      </c>
      <c r="AL53" s="11">
        <v>32000</v>
      </c>
      <c r="AM53" s="12">
        <f t="shared" si="7"/>
        <v>32000</v>
      </c>
      <c r="AN53" s="3" t="s">
        <v>1000</v>
      </c>
    </row>
    <row r="54" spans="1:40">
      <c r="A54" s="49" t="s">
        <v>396</v>
      </c>
      <c r="B54" s="32">
        <v>82</v>
      </c>
      <c r="C54" s="33" t="s">
        <v>49</v>
      </c>
      <c r="D54" s="33" t="s">
        <v>50</v>
      </c>
      <c r="E54" s="33" t="s">
        <v>51</v>
      </c>
      <c r="F54" s="32" t="s">
        <v>52</v>
      </c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34">
        <v>1</v>
      </c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10">
        <f t="shared" si="6"/>
        <v>1</v>
      </c>
      <c r="AL54" s="11">
        <v>32000</v>
      </c>
      <c r="AM54" s="12">
        <f t="shared" si="7"/>
        <v>32000</v>
      </c>
      <c r="AN54" s="3" t="s">
        <v>1000</v>
      </c>
    </row>
    <row r="55" spans="1:40">
      <c r="A55" s="49" t="s">
        <v>396</v>
      </c>
      <c r="B55" s="32">
        <v>88</v>
      </c>
      <c r="C55" s="33" t="s">
        <v>313</v>
      </c>
      <c r="D55" s="33"/>
      <c r="E55" s="33" t="s">
        <v>312</v>
      </c>
      <c r="F55" s="32" t="s">
        <v>310</v>
      </c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34">
        <v>1</v>
      </c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10">
        <f t="shared" si="6"/>
        <v>1</v>
      </c>
      <c r="AL55" s="11">
        <v>32000</v>
      </c>
      <c r="AM55" s="12">
        <f t="shared" si="7"/>
        <v>32000</v>
      </c>
      <c r="AN55" s="3" t="s">
        <v>1000</v>
      </c>
    </row>
    <row r="56" spans="1:40">
      <c r="A56" s="49" t="s">
        <v>396</v>
      </c>
      <c r="B56" s="32">
        <v>88</v>
      </c>
      <c r="C56" s="33" t="s">
        <v>560</v>
      </c>
      <c r="D56" s="33"/>
      <c r="E56" s="33" t="s">
        <v>61</v>
      </c>
      <c r="F56" s="32" t="s">
        <v>308</v>
      </c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34">
        <v>1</v>
      </c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10">
        <f t="shared" si="6"/>
        <v>1</v>
      </c>
      <c r="AL56" s="11">
        <v>32000</v>
      </c>
      <c r="AM56" s="12">
        <f t="shared" si="7"/>
        <v>32000</v>
      </c>
      <c r="AN56" s="3" t="s">
        <v>1000</v>
      </c>
    </row>
    <row r="57" spans="1:40">
      <c r="A57" s="49" t="s">
        <v>396</v>
      </c>
      <c r="B57" s="32">
        <v>79</v>
      </c>
      <c r="C57" s="33" t="s">
        <v>69</v>
      </c>
      <c r="D57" s="33"/>
      <c r="E57" s="33" t="s">
        <v>70</v>
      </c>
      <c r="F57" s="32" t="s">
        <v>71</v>
      </c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34">
        <v>1</v>
      </c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10">
        <f t="shared" si="6"/>
        <v>1</v>
      </c>
      <c r="AL57" s="11">
        <v>32000</v>
      </c>
      <c r="AM57" s="12">
        <f t="shared" si="7"/>
        <v>32000</v>
      </c>
      <c r="AN57" s="3" t="s">
        <v>1000</v>
      </c>
    </row>
    <row r="58" spans="1:40">
      <c r="A58" s="49" t="s">
        <v>396</v>
      </c>
      <c r="B58" s="32">
        <v>89</v>
      </c>
      <c r="C58" s="33" t="s">
        <v>311</v>
      </c>
      <c r="D58" s="33"/>
      <c r="E58" s="33" t="s">
        <v>25</v>
      </c>
      <c r="F58" s="32" t="s">
        <v>309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34">
        <v>1</v>
      </c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10">
        <f t="shared" si="6"/>
        <v>1</v>
      </c>
      <c r="AL58" s="11">
        <v>32000</v>
      </c>
      <c r="AM58" s="12">
        <f t="shared" si="7"/>
        <v>32000</v>
      </c>
      <c r="AN58" s="3" t="s">
        <v>1000</v>
      </c>
    </row>
    <row r="59" spans="1:40">
      <c r="A59" s="49" t="s">
        <v>396</v>
      </c>
      <c r="B59" s="32">
        <v>89</v>
      </c>
      <c r="C59" s="33" t="s">
        <v>63</v>
      </c>
      <c r="D59" s="33"/>
      <c r="E59" s="33" t="s">
        <v>64</v>
      </c>
      <c r="F59" s="32" t="s">
        <v>65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34">
        <v>1</v>
      </c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10">
        <f t="shared" si="6"/>
        <v>1</v>
      </c>
      <c r="AL59" s="11">
        <v>32000</v>
      </c>
      <c r="AM59" s="12">
        <f t="shared" si="7"/>
        <v>32000</v>
      </c>
      <c r="AN59" s="3" t="s">
        <v>1000</v>
      </c>
    </row>
    <row r="60" spans="1:40">
      <c r="A60" s="49" t="s">
        <v>396</v>
      </c>
      <c r="B60" s="32">
        <v>90</v>
      </c>
      <c r="C60" s="33" t="s">
        <v>56</v>
      </c>
      <c r="D60" s="33"/>
      <c r="E60" s="33" t="s">
        <v>57</v>
      </c>
      <c r="F60" s="32" t="s">
        <v>58</v>
      </c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34">
        <v>1</v>
      </c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10">
        <f t="shared" si="6"/>
        <v>1</v>
      </c>
      <c r="AL60" s="11">
        <v>32000</v>
      </c>
      <c r="AM60" s="12">
        <f t="shared" si="7"/>
        <v>32000</v>
      </c>
      <c r="AN60" s="3" t="s">
        <v>1000</v>
      </c>
    </row>
    <row r="61" spans="1:40" ht="13.5" thickBot="1">
      <c r="A61" s="70" t="s">
        <v>396</v>
      </c>
      <c r="B61" s="66">
        <v>90</v>
      </c>
      <c r="C61" s="38" t="s">
        <v>563</v>
      </c>
      <c r="D61" s="38"/>
      <c r="E61" s="38" t="s">
        <v>59</v>
      </c>
      <c r="F61" s="66" t="s">
        <v>60</v>
      </c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39">
        <v>1</v>
      </c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13">
        <f t="shared" si="6"/>
        <v>1</v>
      </c>
      <c r="AL61" s="14">
        <v>32000</v>
      </c>
      <c r="AM61" s="14">
        <f t="shared" si="7"/>
        <v>32000</v>
      </c>
      <c r="AN61" s="3" t="s">
        <v>1000</v>
      </c>
    </row>
    <row r="62" spans="1:40">
      <c r="A62" s="49" t="s">
        <v>396</v>
      </c>
      <c r="B62" s="32">
        <v>1</v>
      </c>
      <c r="C62" s="33" t="s">
        <v>514</v>
      </c>
      <c r="D62" s="33" t="s">
        <v>1001</v>
      </c>
      <c r="E62" s="33" t="s">
        <v>540</v>
      </c>
      <c r="F62" s="32" t="s">
        <v>1002</v>
      </c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34">
        <v>1</v>
      </c>
      <c r="Y62" s="34">
        <v>1</v>
      </c>
      <c r="Z62" s="34">
        <v>1</v>
      </c>
      <c r="AA62" s="34">
        <v>1</v>
      </c>
      <c r="AB62" s="34">
        <v>1</v>
      </c>
      <c r="AC62" s="34">
        <v>1</v>
      </c>
      <c r="AD62" s="34">
        <v>1</v>
      </c>
      <c r="AE62" s="34">
        <v>1</v>
      </c>
      <c r="AF62" s="34">
        <v>1</v>
      </c>
      <c r="AG62" s="34">
        <v>1</v>
      </c>
      <c r="AH62" s="34">
        <v>1</v>
      </c>
      <c r="AI62" s="34">
        <v>1</v>
      </c>
      <c r="AJ62" s="34">
        <v>1</v>
      </c>
      <c r="AK62" s="42">
        <f t="shared" ref="AK62:AK87" si="8">SUM(G62:AJ62)</f>
        <v>13</v>
      </c>
      <c r="AL62" s="11">
        <v>32000</v>
      </c>
      <c r="AM62" s="11">
        <f t="shared" ref="AM62:AM87" si="9">AL62*AK62</f>
        <v>416000</v>
      </c>
    </row>
    <row r="63" spans="1:40">
      <c r="A63" s="49" t="s">
        <v>396</v>
      </c>
      <c r="B63" s="32">
        <v>1</v>
      </c>
      <c r="C63" s="33" t="s">
        <v>1003</v>
      </c>
      <c r="D63" s="33" t="s">
        <v>1004</v>
      </c>
      <c r="E63" s="33" t="s">
        <v>9</v>
      </c>
      <c r="F63" s="32" t="s">
        <v>1005</v>
      </c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34">
        <v>1</v>
      </c>
      <c r="Y63" s="34">
        <v>1</v>
      </c>
      <c r="Z63" s="34">
        <v>1</v>
      </c>
      <c r="AA63" s="34">
        <v>1</v>
      </c>
      <c r="AB63" s="34">
        <v>1</v>
      </c>
      <c r="AC63" s="34">
        <v>1</v>
      </c>
      <c r="AD63" s="34">
        <v>1</v>
      </c>
      <c r="AE63" s="34">
        <v>1</v>
      </c>
      <c r="AF63" s="34">
        <v>1</v>
      </c>
      <c r="AG63" s="34">
        <v>1</v>
      </c>
      <c r="AH63" s="34">
        <v>1</v>
      </c>
      <c r="AI63" s="34">
        <v>1</v>
      </c>
      <c r="AJ63" s="34">
        <v>1</v>
      </c>
      <c r="AK63" s="10">
        <f t="shared" si="8"/>
        <v>13</v>
      </c>
      <c r="AL63" s="11">
        <v>32000</v>
      </c>
      <c r="AM63" s="12">
        <f t="shared" si="9"/>
        <v>416000</v>
      </c>
    </row>
    <row r="64" spans="1:40">
      <c r="A64" s="49" t="s">
        <v>396</v>
      </c>
      <c r="B64" s="32">
        <v>2</v>
      </c>
      <c r="C64" s="33" t="s">
        <v>381</v>
      </c>
      <c r="D64" s="33" t="s">
        <v>191</v>
      </c>
      <c r="E64" s="33" t="s">
        <v>22</v>
      </c>
      <c r="F64" s="32" t="s">
        <v>1006</v>
      </c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34">
        <v>1</v>
      </c>
      <c r="Y64" s="34">
        <v>1</v>
      </c>
      <c r="Z64" s="34">
        <v>1</v>
      </c>
      <c r="AA64" s="34">
        <v>1</v>
      </c>
      <c r="AB64" s="34">
        <v>1</v>
      </c>
      <c r="AC64" s="34">
        <v>1</v>
      </c>
      <c r="AD64" s="34">
        <v>1</v>
      </c>
      <c r="AE64" s="34">
        <v>1</v>
      </c>
      <c r="AF64" s="34">
        <v>1</v>
      </c>
      <c r="AG64" s="34">
        <v>1</v>
      </c>
      <c r="AH64" s="34">
        <v>1</v>
      </c>
      <c r="AI64" s="34">
        <v>1</v>
      </c>
      <c r="AJ64" s="34">
        <v>1</v>
      </c>
      <c r="AK64" s="10">
        <f t="shared" si="8"/>
        <v>13</v>
      </c>
      <c r="AL64" s="11">
        <v>32000</v>
      </c>
      <c r="AM64" s="12">
        <f t="shared" si="9"/>
        <v>416000</v>
      </c>
    </row>
    <row r="65" spans="1:39">
      <c r="A65" s="49" t="s">
        <v>396</v>
      </c>
      <c r="B65" s="32">
        <v>2</v>
      </c>
      <c r="C65" s="33" t="s">
        <v>251</v>
      </c>
      <c r="D65" s="33" t="s">
        <v>1001</v>
      </c>
      <c r="E65" s="33" t="s">
        <v>41</v>
      </c>
      <c r="F65" s="32" t="s">
        <v>1007</v>
      </c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34">
        <v>1</v>
      </c>
      <c r="Y65" s="34">
        <v>1</v>
      </c>
      <c r="Z65" s="34">
        <v>1</v>
      </c>
      <c r="AA65" s="34">
        <v>1</v>
      </c>
      <c r="AB65" s="34">
        <v>1</v>
      </c>
      <c r="AC65" s="34">
        <v>1</v>
      </c>
      <c r="AD65" s="34">
        <v>1</v>
      </c>
      <c r="AE65" s="34">
        <v>1</v>
      </c>
      <c r="AF65" s="34">
        <v>1</v>
      </c>
      <c r="AG65" s="34">
        <v>1</v>
      </c>
      <c r="AH65" s="34">
        <v>1</v>
      </c>
      <c r="AI65" s="34">
        <v>1</v>
      </c>
      <c r="AJ65" s="34">
        <v>1</v>
      </c>
      <c r="AK65" s="10">
        <f t="shared" si="8"/>
        <v>13</v>
      </c>
      <c r="AL65" s="11">
        <v>32000</v>
      </c>
      <c r="AM65" s="12">
        <f t="shared" si="9"/>
        <v>416000</v>
      </c>
    </row>
    <row r="66" spans="1:39">
      <c r="A66" s="49" t="s">
        <v>396</v>
      </c>
      <c r="B66" s="32">
        <v>11</v>
      </c>
      <c r="C66" s="33" t="s">
        <v>554</v>
      </c>
      <c r="D66" s="33" t="s">
        <v>13</v>
      </c>
      <c r="E66" s="33" t="s">
        <v>261</v>
      </c>
      <c r="F66" s="32" t="s">
        <v>1008</v>
      </c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34">
        <v>1</v>
      </c>
      <c r="Y66" s="34">
        <v>1</v>
      </c>
      <c r="Z66" s="34">
        <v>1</v>
      </c>
      <c r="AA66" s="34">
        <v>1</v>
      </c>
      <c r="AB66" s="34">
        <v>1</v>
      </c>
      <c r="AC66" s="34">
        <v>1</v>
      </c>
      <c r="AD66" s="34">
        <v>1</v>
      </c>
      <c r="AE66" s="34">
        <v>1</v>
      </c>
      <c r="AF66" s="34">
        <v>1</v>
      </c>
      <c r="AG66" s="34">
        <v>1</v>
      </c>
      <c r="AH66" s="34">
        <v>1</v>
      </c>
      <c r="AI66" s="34">
        <v>1</v>
      </c>
      <c r="AJ66" s="34">
        <v>1</v>
      </c>
      <c r="AK66" s="10">
        <f t="shared" si="8"/>
        <v>13</v>
      </c>
      <c r="AL66" s="11">
        <v>32000</v>
      </c>
      <c r="AM66" s="12">
        <f t="shared" si="9"/>
        <v>416000</v>
      </c>
    </row>
    <row r="67" spans="1:39">
      <c r="A67" s="49" t="s">
        <v>396</v>
      </c>
      <c r="B67" s="32">
        <v>11</v>
      </c>
      <c r="C67" s="33" t="s">
        <v>394</v>
      </c>
      <c r="D67" s="33" t="s">
        <v>429</v>
      </c>
      <c r="E67" s="33" t="s">
        <v>41</v>
      </c>
      <c r="F67" s="32" t="s">
        <v>434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34">
        <v>1</v>
      </c>
      <c r="Y67" s="34">
        <v>1</v>
      </c>
      <c r="Z67" s="34">
        <v>1</v>
      </c>
      <c r="AA67" s="34">
        <v>1</v>
      </c>
      <c r="AB67" s="34">
        <v>1</v>
      </c>
      <c r="AC67" s="34">
        <v>1</v>
      </c>
      <c r="AD67" s="34">
        <v>1</v>
      </c>
      <c r="AE67" s="34">
        <v>1</v>
      </c>
      <c r="AF67" s="34">
        <v>1</v>
      </c>
      <c r="AG67" s="34">
        <v>1</v>
      </c>
      <c r="AH67" s="34">
        <v>1</v>
      </c>
      <c r="AI67" s="34">
        <v>1</v>
      </c>
      <c r="AJ67" s="34">
        <v>1</v>
      </c>
      <c r="AK67" s="10">
        <f t="shared" si="8"/>
        <v>13</v>
      </c>
      <c r="AL67" s="11">
        <v>32000</v>
      </c>
      <c r="AM67" s="12">
        <f t="shared" si="9"/>
        <v>416000</v>
      </c>
    </row>
    <row r="68" spans="1:39">
      <c r="A68" s="49" t="s">
        <v>396</v>
      </c>
      <c r="B68" s="32">
        <v>12</v>
      </c>
      <c r="C68" s="33" t="s">
        <v>251</v>
      </c>
      <c r="D68" s="33" t="s">
        <v>18</v>
      </c>
      <c r="E68" s="33" t="s">
        <v>419</v>
      </c>
      <c r="F68" s="32" t="s">
        <v>1009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34">
        <v>1</v>
      </c>
      <c r="Y68" s="34">
        <v>1</v>
      </c>
      <c r="Z68" s="34">
        <v>1</v>
      </c>
      <c r="AA68" s="34">
        <v>1</v>
      </c>
      <c r="AB68" s="34">
        <v>1</v>
      </c>
      <c r="AC68" s="34">
        <v>1</v>
      </c>
      <c r="AD68" s="34">
        <v>1</v>
      </c>
      <c r="AE68" s="34">
        <v>1</v>
      </c>
      <c r="AF68" s="34">
        <v>1</v>
      </c>
      <c r="AG68" s="34">
        <v>1</v>
      </c>
      <c r="AH68" s="34">
        <v>1</v>
      </c>
      <c r="AI68" s="34">
        <v>1</v>
      </c>
      <c r="AJ68" s="34">
        <v>1</v>
      </c>
      <c r="AK68" s="10">
        <f t="shared" si="8"/>
        <v>13</v>
      </c>
      <c r="AL68" s="11">
        <v>32000</v>
      </c>
      <c r="AM68" s="12">
        <f t="shared" si="9"/>
        <v>416000</v>
      </c>
    </row>
    <row r="69" spans="1:39">
      <c r="A69" s="49" t="s">
        <v>396</v>
      </c>
      <c r="B69" s="32">
        <v>12</v>
      </c>
      <c r="C69" s="33" t="s">
        <v>1010</v>
      </c>
      <c r="D69" s="33" t="s">
        <v>89</v>
      </c>
      <c r="E69" s="33" t="s">
        <v>22</v>
      </c>
      <c r="F69" s="32" t="s">
        <v>1011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34">
        <v>1</v>
      </c>
      <c r="Y69" s="34">
        <v>1</v>
      </c>
      <c r="Z69" s="34">
        <v>1</v>
      </c>
      <c r="AA69" s="34">
        <v>1</v>
      </c>
      <c r="AB69" s="34">
        <v>1</v>
      </c>
      <c r="AC69" s="34">
        <v>1</v>
      </c>
      <c r="AD69" s="34">
        <v>1</v>
      </c>
      <c r="AE69" s="34">
        <v>1</v>
      </c>
      <c r="AF69" s="34">
        <v>1</v>
      </c>
      <c r="AG69" s="34">
        <v>1</v>
      </c>
      <c r="AH69" s="34">
        <v>1</v>
      </c>
      <c r="AI69" s="34">
        <v>1</v>
      </c>
      <c r="AJ69" s="34">
        <v>1</v>
      </c>
      <c r="AK69" s="10">
        <f t="shared" si="8"/>
        <v>13</v>
      </c>
      <c r="AL69" s="11">
        <v>32000</v>
      </c>
      <c r="AM69" s="12">
        <f t="shared" si="9"/>
        <v>416000</v>
      </c>
    </row>
    <row r="70" spans="1:39">
      <c r="A70" s="49" t="s">
        <v>396</v>
      </c>
      <c r="B70" s="32">
        <v>13</v>
      </c>
      <c r="C70" s="33" t="s">
        <v>1012</v>
      </c>
      <c r="D70" s="33" t="s">
        <v>66</v>
      </c>
      <c r="E70" s="33" t="s">
        <v>166</v>
      </c>
      <c r="F70" s="32" t="s">
        <v>1013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34">
        <v>1</v>
      </c>
      <c r="Y70" s="34">
        <v>1</v>
      </c>
      <c r="Z70" s="34">
        <v>1</v>
      </c>
      <c r="AA70" s="34">
        <v>1</v>
      </c>
      <c r="AB70" s="34">
        <v>1</v>
      </c>
      <c r="AC70" s="34">
        <v>1</v>
      </c>
      <c r="AD70" s="34">
        <v>1</v>
      </c>
      <c r="AE70" s="34">
        <v>1</v>
      </c>
      <c r="AF70" s="34">
        <v>1</v>
      </c>
      <c r="AG70" s="34">
        <v>1</v>
      </c>
      <c r="AH70" s="34">
        <v>1</v>
      </c>
      <c r="AI70" s="34">
        <v>1</v>
      </c>
      <c r="AJ70" s="34">
        <v>1</v>
      </c>
      <c r="AK70" s="10">
        <f t="shared" si="8"/>
        <v>13</v>
      </c>
      <c r="AL70" s="11">
        <v>32000</v>
      </c>
      <c r="AM70" s="12">
        <f t="shared" si="9"/>
        <v>416000</v>
      </c>
    </row>
    <row r="71" spans="1:39">
      <c r="A71" s="49" t="s">
        <v>396</v>
      </c>
      <c r="B71" s="32">
        <v>13</v>
      </c>
      <c r="C71" s="33" t="s">
        <v>1014</v>
      </c>
      <c r="D71" s="33" t="s">
        <v>481</v>
      </c>
      <c r="E71" s="33" t="s">
        <v>468</v>
      </c>
      <c r="F71" s="32" t="s">
        <v>1015</v>
      </c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34">
        <v>1</v>
      </c>
      <c r="Y71" s="34">
        <v>1</v>
      </c>
      <c r="Z71" s="34">
        <v>1</v>
      </c>
      <c r="AA71" s="34">
        <v>1</v>
      </c>
      <c r="AB71" s="34">
        <v>1</v>
      </c>
      <c r="AC71" s="34">
        <v>1</v>
      </c>
      <c r="AD71" s="34">
        <v>1</v>
      </c>
      <c r="AE71" s="34">
        <v>1</v>
      </c>
      <c r="AF71" s="34">
        <v>1</v>
      </c>
      <c r="AG71" s="34">
        <v>1</v>
      </c>
      <c r="AH71" s="34">
        <v>1</v>
      </c>
      <c r="AI71" s="34">
        <v>1</v>
      </c>
      <c r="AJ71" s="34">
        <v>1</v>
      </c>
      <c r="AK71" s="10">
        <f t="shared" si="8"/>
        <v>13</v>
      </c>
      <c r="AL71" s="11">
        <v>32000</v>
      </c>
      <c r="AM71" s="12">
        <f t="shared" si="9"/>
        <v>416000</v>
      </c>
    </row>
    <row r="72" spans="1:39">
      <c r="A72" s="49" t="s">
        <v>396</v>
      </c>
      <c r="B72" s="32">
        <v>15</v>
      </c>
      <c r="C72" s="33" t="s">
        <v>554</v>
      </c>
      <c r="D72" s="33" t="s">
        <v>597</v>
      </c>
      <c r="E72" s="33" t="s">
        <v>303</v>
      </c>
      <c r="F72" s="32" t="s">
        <v>1016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34">
        <v>1</v>
      </c>
      <c r="Y72" s="34">
        <v>1</v>
      </c>
      <c r="Z72" s="34">
        <v>1</v>
      </c>
      <c r="AA72" s="34">
        <v>1</v>
      </c>
      <c r="AB72" s="34">
        <v>1</v>
      </c>
      <c r="AC72" s="34">
        <v>1</v>
      </c>
      <c r="AD72" s="34">
        <v>1</v>
      </c>
      <c r="AE72" s="34">
        <v>1</v>
      </c>
      <c r="AF72" s="34">
        <v>1</v>
      </c>
      <c r="AG72" s="34">
        <v>1</v>
      </c>
      <c r="AH72" s="34">
        <v>1</v>
      </c>
      <c r="AI72" s="34">
        <v>1</v>
      </c>
      <c r="AJ72" s="34">
        <v>1</v>
      </c>
      <c r="AK72" s="10">
        <f t="shared" si="8"/>
        <v>13</v>
      </c>
      <c r="AL72" s="11">
        <v>32000</v>
      </c>
      <c r="AM72" s="12">
        <f t="shared" si="9"/>
        <v>416000</v>
      </c>
    </row>
    <row r="73" spans="1:39">
      <c r="A73" s="49" t="s">
        <v>396</v>
      </c>
      <c r="B73" s="32">
        <v>15</v>
      </c>
      <c r="C73" s="33" t="s">
        <v>1017</v>
      </c>
      <c r="D73" s="33" t="s">
        <v>1018</v>
      </c>
      <c r="E73" s="33" t="s">
        <v>168</v>
      </c>
      <c r="F73" s="32" t="s">
        <v>1019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34">
        <v>1</v>
      </c>
      <c r="Y73" s="34">
        <v>1</v>
      </c>
      <c r="Z73" s="34">
        <v>1</v>
      </c>
      <c r="AA73" s="34">
        <v>1</v>
      </c>
      <c r="AB73" s="34">
        <v>1</v>
      </c>
      <c r="AC73" s="34">
        <v>1</v>
      </c>
      <c r="AD73" s="34">
        <v>1</v>
      </c>
      <c r="AE73" s="34">
        <v>1</v>
      </c>
      <c r="AF73" s="34">
        <v>1</v>
      </c>
      <c r="AG73" s="34">
        <v>1</v>
      </c>
      <c r="AH73" s="34">
        <v>1</v>
      </c>
      <c r="AI73" s="34">
        <v>1</v>
      </c>
      <c r="AJ73" s="34">
        <v>1</v>
      </c>
      <c r="AK73" s="10">
        <f t="shared" si="8"/>
        <v>13</v>
      </c>
      <c r="AL73" s="11">
        <v>32000</v>
      </c>
      <c r="AM73" s="12">
        <f t="shared" si="9"/>
        <v>416000</v>
      </c>
    </row>
    <row r="74" spans="1:39">
      <c r="A74" s="49" t="s">
        <v>396</v>
      </c>
      <c r="B74" s="32">
        <v>17</v>
      </c>
      <c r="C74" s="33" t="s">
        <v>274</v>
      </c>
      <c r="D74" s="33" t="s">
        <v>545</v>
      </c>
      <c r="E74" s="33" t="s">
        <v>211</v>
      </c>
      <c r="F74" s="32" t="s">
        <v>1020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34">
        <v>1</v>
      </c>
      <c r="Y74" s="34">
        <v>1</v>
      </c>
      <c r="Z74" s="34">
        <v>1</v>
      </c>
      <c r="AA74" s="34">
        <v>1</v>
      </c>
      <c r="AB74" s="34">
        <v>1</v>
      </c>
      <c r="AC74" s="34">
        <v>1</v>
      </c>
      <c r="AD74" s="34">
        <v>1</v>
      </c>
      <c r="AE74" s="34">
        <v>1</v>
      </c>
      <c r="AF74" s="34">
        <v>1</v>
      </c>
      <c r="AG74" s="34">
        <v>1</v>
      </c>
      <c r="AH74" s="34">
        <v>1</v>
      </c>
      <c r="AI74" s="34">
        <v>1</v>
      </c>
      <c r="AJ74" s="34">
        <v>1</v>
      </c>
      <c r="AK74" s="10">
        <f t="shared" si="8"/>
        <v>13</v>
      </c>
      <c r="AL74" s="11">
        <v>32000</v>
      </c>
      <c r="AM74" s="12">
        <f t="shared" si="9"/>
        <v>416000</v>
      </c>
    </row>
    <row r="75" spans="1:39">
      <c r="A75" s="49" t="s">
        <v>396</v>
      </c>
      <c r="B75" s="32">
        <v>17</v>
      </c>
      <c r="C75" s="33" t="s">
        <v>196</v>
      </c>
      <c r="D75" s="33" t="s">
        <v>545</v>
      </c>
      <c r="E75" s="33" t="s">
        <v>1021</v>
      </c>
      <c r="F75" s="32" t="s">
        <v>1022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34">
        <v>1</v>
      </c>
      <c r="Y75" s="34">
        <v>1</v>
      </c>
      <c r="Z75" s="34">
        <v>1</v>
      </c>
      <c r="AA75" s="34">
        <v>1</v>
      </c>
      <c r="AB75" s="34">
        <v>1</v>
      </c>
      <c r="AC75" s="34">
        <v>1</v>
      </c>
      <c r="AD75" s="34">
        <v>1</v>
      </c>
      <c r="AE75" s="34">
        <v>1</v>
      </c>
      <c r="AF75" s="34">
        <v>1</v>
      </c>
      <c r="AG75" s="34">
        <v>1</v>
      </c>
      <c r="AH75" s="34">
        <v>1</v>
      </c>
      <c r="AI75" s="34">
        <v>1</v>
      </c>
      <c r="AJ75" s="34">
        <v>1</v>
      </c>
      <c r="AK75" s="10">
        <f t="shared" si="8"/>
        <v>13</v>
      </c>
      <c r="AL75" s="11">
        <v>32000</v>
      </c>
      <c r="AM75" s="12">
        <f t="shared" si="9"/>
        <v>416000</v>
      </c>
    </row>
    <row r="76" spans="1:39">
      <c r="A76" s="49" t="s">
        <v>396</v>
      </c>
      <c r="B76" s="32">
        <v>19</v>
      </c>
      <c r="C76" s="33" t="s">
        <v>1023</v>
      </c>
      <c r="D76" s="33" t="s">
        <v>1023</v>
      </c>
      <c r="E76" s="33" t="s">
        <v>211</v>
      </c>
      <c r="F76" s="32" t="s">
        <v>1024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34">
        <v>1</v>
      </c>
      <c r="Y76" s="34">
        <v>1</v>
      </c>
      <c r="Z76" s="34">
        <v>1</v>
      </c>
      <c r="AA76" s="34">
        <v>1</v>
      </c>
      <c r="AB76" s="34">
        <v>1</v>
      </c>
      <c r="AC76" s="34">
        <v>1</v>
      </c>
      <c r="AD76" s="34">
        <v>1</v>
      </c>
      <c r="AE76" s="34">
        <v>1</v>
      </c>
      <c r="AF76" s="34">
        <v>1</v>
      </c>
      <c r="AG76" s="34">
        <v>1</v>
      </c>
      <c r="AH76" s="34">
        <v>1</v>
      </c>
      <c r="AI76" s="34">
        <v>1</v>
      </c>
      <c r="AJ76" s="34">
        <v>1</v>
      </c>
      <c r="AK76" s="10">
        <f t="shared" si="8"/>
        <v>13</v>
      </c>
      <c r="AL76" s="11">
        <v>32000</v>
      </c>
      <c r="AM76" s="12">
        <f t="shared" si="9"/>
        <v>416000</v>
      </c>
    </row>
    <row r="77" spans="1:39">
      <c r="A77" s="49" t="s">
        <v>396</v>
      </c>
      <c r="B77" s="32">
        <v>19</v>
      </c>
      <c r="C77" s="33" t="s">
        <v>1025</v>
      </c>
      <c r="D77" s="33" t="s">
        <v>1026</v>
      </c>
      <c r="E77" s="33" t="s">
        <v>1027</v>
      </c>
      <c r="F77" s="32" t="s">
        <v>1028</v>
      </c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34">
        <v>1</v>
      </c>
      <c r="Y77" s="34">
        <v>1</v>
      </c>
      <c r="Z77" s="34">
        <v>1</v>
      </c>
      <c r="AA77" s="34">
        <v>1</v>
      </c>
      <c r="AB77" s="34">
        <v>1</v>
      </c>
      <c r="AC77" s="34">
        <v>1</v>
      </c>
      <c r="AD77" s="34">
        <v>1</v>
      </c>
      <c r="AE77" s="34">
        <v>1</v>
      </c>
      <c r="AF77" s="34">
        <v>1</v>
      </c>
      <c r="AG77" s="34">
        <v>1</v>
      </c>
      <c r="AH77" s="34">
        <v>1</v>
      </c>
      <c r="AI77" s="34">
        <v>1</v>
      </c>
      <c r="AJ77" s="34">
        <v>1</v>
      </c>
      <c r="AK77" s="10">
        <f t="shared" si="8"/>
        <v>13</v>
      </c>
      <c r="AL77" s="11">
        <v>32000</v>
      </c>
      <c r="AM77" s="12">
        <f t="shared" si="9"/>
        <v>416000</v>
      </c>
    </row>
    <row r="78" spans="1:39">
      <c r="A78" s="49" t="s">
        <v>396</v>
      </c>
      <c r="B78" s="32">
        <v>27</v>
      </c>
      <c r="C78" s="33" t="s">
        <v>156</v>
      </c>
      <c r="D78" s="33" t="s">
        <v>1029</v>
      </c>
      <c r="E78" s="33" t="s">
        <v>1030</v>
      </c>
      <c r="F78" s="32" t="s">
        <v>1031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34">
        <v>1</v>
      </c>
      <c r="Y78" s="34">
        <v>1</v>
      </c>
      <c r="Z78" s="34">
        <v>1</v>
      </c>
      <c r="AA78" s="34">
        <v>1</v>
      </c>
      <c r="AB78" s="34">
        <v>1</v>
      </c>
      <c r="AC78" s="34">
        <v>1</v>
      </c>
      <c r="AD78" s="34">
        <v>1</v>
      </c>
      <c r="AE78" s="34">
        <v>1</v>
      </c>
      <c r="AF78" s="34">
        <v>1</v>
      </c>
      <c r="AG78" s="34">
        <v>1</v>
      </c>
      <c r="AH78" s="34">
        <v>1</v>
      </c>
      <c r="AI78" s="34">
        <v>1</v>
      </c>
      <c r="AJ78" s="34">
        <v>1</v>
      </c>
      <c r="AK78" s="10">
        <f t="shared" si="8"/>
        <v>13</v>
      </c>
      <c r="AL78" s="11">
        <v>32000</v>
      </c>
      <c r="AM78" s="12">
        <f t="shared" si="9"/>
        <v>416000</v>
      </c>
    </row>
    <row r="79" spans="1:39">
      <c r="A79" s="49" t="s">
        <v>396</v>
      </c>
      <c r="B79" s="32">
        <v>27</v>
      </c>
      <c r="C79" s="33" t="s">
        <v>632</v>
      </c>
      <c r="D79" s="33" t="s">
        <v>632</v>
      </c>
      <c r="E79" s="33" t="s">
        <v>9</v>
      </c>
      <c r="F79" s="32" t="s">
        <v>633</v>
      </c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34">
        <v>1</v>
      </c>
      <c r="Y79" s="34">
        <v>1</v>
      </c>
      <c r="Z79" s="34">
        <v>1</v>
      </c>
      <c r="AA79" s="34">
        <v>1</v>
      </c>
      <c r="AB79" s="34">
        <v>1</v>
      </c>
      <c r="AC79" s="34">
        <v>1</v>
      </c>
      <c r="AD79" s="34">
        <v>1</v>
      </c>
      <c r="AE79" s="34">
        <v>1</v>
      </c>
      <c r="AF79" s="34">
        <v>1</v>
      </c>
      <c r="AG79" s="34">
        <v>1</v>
      </c>
      <c r="AH79" s="34">
        <v>1</v>
      </c>
      <c r="AI79" s="34">
        <v>1</v>
      </c>
      <c r="AJ79" s="34">
        <v>1</v>
      </c>
      <c r="AK79" s="10">
        <f t="shared" si="8"/>
        <v>13</v>
      </c>
      <c r="AL79" s="11">
        <v>32000</v>
      </c>
      <c r="AM79" s="12">
        <f t="shared" si="9"/>
        <v>416000</v>
      </c>
    </row>
    <row r="80" spans="1:39">
      <c r="A80" s="49" t="s">
        <v>396</v>
      </c>
      <c r="B80" s="32">
        <v>35</v>
      </c>
      <c r="C80" s="33" t="s">
        <v>66</v>
      </c>
      <c r="D80" s="33" t="s">
        <v>474</v>
      </c>
      <c r="E80" s="33" t="s">
        <v>337</v>
      </c>
      <c r="F80" s="32" t="s">
        <v>475</v>
      </c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34">
        <v>1</v>
      </c>
      <c r="Y80" s="34">
        <v>1</v>
      </c>
      <c r="Z80" s="34">
        <v>1</v>
      </c>
      <c r="AA80" s="34">
        <v>1</v>
      </c>
      <c r="AB80" s="34">
        <v>1</v>
      </c>
      <c r="AC80" s="34">
        <v>1</v>
      </c>
      <c r="AD80" s="34">
        <v>1</v>
      </c>
      <c r="AE80" s="34">
        <v>1</v>
      </c>
      <c r="AF80" s="34">
        <v>1</v>
      </c>
      <c r="AG80" s="34">
        <v>1</v>
      </c>
      <c r="AH80" s="34">
        <v>1</v>
      </c>
      <c r="AI80" s="34">
        <v>1</v>
      </c>
      <c r="AJ80" s="34">
        <v>1</v>
      </c>
      <c r="AK80" s="10">
        <f t="shared" si="8"/>
        <v>13</v>
      </c>
      <c r="AL80" s="11">
        <v>32000</v>
      </c>
      <c r="AM80" s="12">
        <f t="shared" si="9"/>
        <v>416000</v>
      </c>
    </row>
    <row r="81" spans="1:40">
      <c r="A81" s="49" t="s">
        <v>396</v>
      </c>
      <c r="B81" s="32">
        <v>35</v>
      </c>
      <c r="C81" s="33" t="s">
        <v>89</v>
      </c>
      <c r="D81" s="33" t="s">
        <v>24</v>
      </c>
      <c r="E81" s="33" t="s">
        <v>651</v>
      </c>
      <c r="F81" s="32" t="s">
        <v>655</v>
      </c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34">
        <v>1</v>
      </c>
      <c r="Y81" s="34">
        <v>1</v>
      </c>
      <c r="Z81" s="34">
        <v>1</v>
      </c>
      <c r="AA81" s="34">
        <v>1</v>
      </c>
      <c r="AB81" s="34">
        <v>1</v>
      </c>
      <c r="AC81" s="34">
        <v>1</v>
      </c>
      <c r="AD81" s="34">
        <v>1</v>
      </c>
      <c r="AE81" s="34">
        <v>1</v>
      </c>
      <c r="AF81" s="34">
        <v>1</v>
      </c>
      <c r="AG81" s="34">
        <v>1</v>
      </c>
      <c r="AH81" s="34">
        <v>1</v>
      </c>
      <c r="AI81" s="34">
        <v>1</v>
      </c>
      <c r="AJ81" s="34">
        <v>1</v>
      </c>
      <c r="AK81" s="10">
        <f t="shared" si="8"/>
        <v>13</v>
      </c>
      <c r="AL81" s="11">
        <v>32000</v>
      </c>
      <c r="AM81" s="12">
        <f t="shared" si="9"/>
        <v>416000</v>
      </c>
    </row>
    <row r="82" spans="1:40">
      <c r="A82" s="49" t="s">
        <v>396</v>
      </c>
      <c r="B82" s="32">
        <v>39</v>
      </c>
      <c r="C82" s="33" t="s">
        <v>431</v>
      </c>
      <c r="D82" s="33" t="s">
        <v>66</v>
      </c>
      <c r="E82" s="33" t="s">
        <v>211</v>
      </c>
      <c r="F82" s="32" t="s">
        <v>432</v>
      </c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34">
        <v>1</v>
      </c>
      <c r="Y82" s="34">
        <v>1</v>
      </c>
      <c r="Z82" s="34">
        <v>1</v>
      </c>
      <c r="AA82" s="34">
        <v>1</v>
      </c>
      <c r="AB82" s="34">
        <v>1</v>
      </c>
      <c r="AC82" s="34">
        <v>1</v>
      </c>
      <c r="AD82" s="34">
        <v>1</v>
      </c>
      <c r="AE82" s="34">
        <v>1</v>
      </c>
      <c r="AF82" s="34">
        <v>1</v>
      </c>
      <c r="AG82" s="34">
        <v>1</v>
      </c>
      <c r="AH82" s="34">
        <v>1</v>
      </c>
      <c r="AI82" s="34">
        <v>1</v>
      </c>
      <c r="AJ82" s="34">
        <v>1</v>
      </c>
      <c r="AK82" s="10">
        <f t="shared" si="8"/>
        <v>13</v>
      </c>
      <c r="AL82" s="11">
        <v>32000</v>
      </c>
      <c r="AM82" s="12">
        <f t="shared" si="9"/>
        <v>416000</v>
      </c>
    </row>
    <row r="83" spans="1:40">
      <c r="A83" s="49" t="s">
        <v>396</v>
      </c>
      <c r="B83" s="32">
        <v>39</v>
      </c>
      <c r="C83" s="33" t="s">
        <v>85</v>
      </c>
      <c r="D83" s="33" t="s">
        <v>430</v>
      </c>
      <c r="E83" s="33" t="s">
        <v>1032</v>
      </c>
      <c r="F83" s="32" t="s">
        <v>433</v>
      </c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34">
        <v>1</v>
      </c>
      <c r="Y83" s="34">
        <v>1</v>
      </c>
      <c r="Z83" s="34">
        <v>1</v>
      </c>
      <c r="AA83" s="34">
        <v>1</v>
      </c>
      <c r="AB83" s="34">
        <v>1</v>
      </c>
      <c r="AC83" s="34">
        <v>1</v>
      </c>
      <c r="AD83" s="34">
        <v>1</v>
      </c>
      <c r="AE83" s="34">
        <v>1</v>
      </c>
      <c r="AF83" s="34">
        <v>1</v>
      </c>
      <c r="AG83" s="34">
        <v>1</v>
      </c>
      <c r="AH83" s="34">
        <v>1</v>
      </c>
      <c r="AI83" s="34">
        <v>1</v>
      </c>
      <c r="AJ83" s="34">
        <v>1</v>
      </c>
      <c r="AK83" s="10">
        <f t="shared" si="8"/>
        <v>13</v>
      </c>
      <c r="AL83" s="11">
        <v>32000</v>
      </c>
      <c r="AM83" s="12">
        <f t="shared" si="9"/>
        <v>416000</v>
      </c>
    </row>
    <row r="84" spans="1:40">
      <c r="A84" s="49" t="s">
        <v>396</v>
      </c>
      <c r="B84" s="32">
        <v>88</v>
      </c>
      <c r="C84" s="33" t="s">
        <v>342</v>
      </c>
      <c r="D84" s="33" t="s">
        <v>20</v>
      </c>
      <c r="E84" s="33" t="s">
        <v>761</v>
      </c>
      <c r="F84" s="32" t="s">
        <v>642</v>
      </c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34">
        <v>1</v>
      </c>
      <c r="Y84" s="34">
        <v>1</v>
      </c>
      <c r="Z84" s="34">
        <v>1</v>
      </c>
      <c r="AA84" s="34">
        <v>1</v>
      </c>
      <c r="AB84" s="34">
        <v>1</v>
      </c>
      <c r="AC84" s="34">
        <v>1</v>
      </c>
      <c r="AD84" s="34">
        <v>1</v>
      </c>
      <c r="AE84" s="34">
        <v>1</v>
      </c>
      <c r="AF84" s="34">
        <v>1</v>
      </c>
      <c r="AG84" s="34">
        <v>1</v>
      </c>
      <c r="AH84" s="34">
        <v>1</v>
      </c>
      <c r="AI84" s="34">
        <v>1</v>
      </c>
      <c r="AJ84" s="34">
        <v>1</v>
      </c>
      <c r="AK84" s="10">
        <f t="shared" si="8"/>
        <v>13</v>
      </c>
      <c r="AL84" s="11">
        <v>32000</v>
      </c>
      <c r="AM84" s="12">
        <f t="shared" si="9"/>
        <v>416000</v>
      </c>
    </row>
    <row r="85" spans="1:40">
      <c r="A85" s="49" t="s">
        <v>396</v>
      </c>
      <c r="B85" s="32">
        <v>88</v>
      </c>
      <c r="C85" s="33" t="s">
        <v>210</v>
      </c>
      <c r="D85" s="33" t="s">
        <v>210</v>
      </c>
      <c r="E85" s="33" t="s">
        <v>626</v>
      </c>
      <c r="F85" s="32" t="s">
        <v>641</v>
      </c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34">
        <v>1</v>
      </c>
      <c r="Y85" s="34">
        <v>1</v>
      </c>
      <c r="Z85" s="34">
        <v>1</v>
      </c>
      <c r="AA85" s="34">
        <v>1</v>
      </c>
      <c r="AB85" s="34">
        <v>1</v>
      </c>
      <c r="AC85" s="34">
        <v>1</v>
      </c>
      <c r="AD85" s="34">
        <v>1</v>
      </c>
      <c r="AE85" s="34">
        <v>1</v>
      </c>
      <c r="AF85" s="34">
        <v>1</v>
      </c>
      <c r="AG85" s="34">
        <v>1</v>
      </c>
      <c r="AH85" s="34">
        <v>1</v>
      </c>
      <c r="AI85" s="34">
        <v>1</v>
      </c>
      <c r="AJ85" s="34">
        <v>1</v>
      </c>
      <c r="AK85" s="10">
        <f t="shared" si="8"/>
        <v>13</v>
      </c>
      <c r="AL85" s="11">
        <v>32000</v>
      </c>
      <c r="AM85" s="12">
        <f t="shared" si="9"/>
        <v>416000</v>
      </c>
    </row>
    <row r="86" spans="1:40">
      <c r="A86" s="49" t="s">
        <v>396</v>
      </c>
      <c r="B86" s="32">
        <v>89</v>
      </c>
      <c r="C86" s="33" t="s">
        <v>629</v>
      </c>
      <c r="D86" s="33" t="s">
        <v>630</v>
      </c>
      <c r="E86" s="33" t="s">
        <v>11</v>
      </c>
      <c r="F86" s="32" t="s">
        <v>635</v>
      </c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34">
        <v>1</v>
      </c>
      <c r="Y86" s="34">
        <v>1</v>
      </c>
      <c r="Z86" s="34">
        <v>1</v>
      </c>
      <c r="AA86" s="34">
        <v>1</v>
      </c>
      <c r="AB86" s="34">
        <v>1</v>
      </c>
      <c r="AC86" s="34">
        <v>1</v>
      </c>
      <c r="AD86" s="34">
        <v>1</v>
      </c>
      <c r="AE86" s="34">
        <v>1</v>
      </c>
      <c r="AF86" s="34">
        <v>1</v>
      </c>
      <c r="AG86" s="34">
        <v>1</v>
      </c>
      <c r="AH86" s="34">
        <v>1</v>
      </c>
      <c r="AI86" s="34">
        <v>1</v>
      </c>
      <c r="AJ86" s="34">
        <v>1</v>
      </c>
      <c r="AK86" s="10">
        <f t="shared" si="8"/>
        <v>13</v>
      </c>
      <c r="AL86" s="11">
        <v>32000</v>
      </c>
      <c r="AM86" s="12">
        <f t="shared" si="9"/>
        <v>416000</v>
      </c>
    </row>
    <row r="87" spans="1:40">
      <c r="A87" s="49" t="s">
        <v>396</v>
      </c>
      <c r="B87" s="32">
        <v>89</v>
      </c>
      <c r="C87" s="33" t="s">
        <v>346</v>
      </c>
      <c r="D87" s="33" t="s">
        <v>1033</v>
      </c>
      <c r="E87" s="33" t="s">
        <v>631</v>
      </c>
      <c r="F87" s="32" t="s">
        <v>634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34">
        <v>1</v>
      </c>
      <c r="Y87" s="34">
        <v>1</v>
      </c>
      <c r="Z87" s="34">
        <v>1</v>
      </c>
      <c r="AA87" s="34">
        <v>1</v>
      </c>
      <c r="AB87" s="34">
        <v>1</v>
      </c>
      <c r="AC87" s="34">
        <v>1</v>
      </c>
      <c r="AD87" s="34">
        <v>1</v>
      </c>
      <c r="AE87" s="34">
        <v>1</v>
      </c>
      <c r="AF87" s="34">
        <v>1</v>
      </c>
      <c r="AG87" s="34">
        <v>1</v>
      </c>
      <c r="AH87" s="34">
        <v>1</v>
      </c>
      <c r="AI87" s="34">
        <v>1</v>
      </c>
      <c r="AJ87" s="34">
        <v>1</v>
      </c>
      <c r="AK87" s="10">
        <f t="shared" si="8"/>
        <v>13</v>
      </c>
      <c r="AL87" s="11">
        <v>32000</v>
      </c>
      <c r="AM87" s="12">
        <f t="shared" si="9"/>
        <v>416000</v>
      </c>
    </row>
    <row r="88" spans="1:40">
      <c r="A88" s="49" t="s">
        <v>396</v>
      </c>
      <c r="B88" s="32">
        <v>90</v>
      </c>
      <c r="C88" s="33" t="s">
        <v>66</v>
      </c>
      <c r="D88" s="33" t="s">
        <v>118</v>
      </c>
      <c r="E88" s="33" t="s">
        <v>337</v>
      </c>
      <c r="F88" s="32" t="s">
        <v>640</v>
      </c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34">
        <v>1</v>
      </c>
      <c r="Y88" s="34">
        <v>1</v>
      </c>
      <c r="Z88" s="34">
        <v>1</v>
      </c>
      <c r="AA88" s="34">
        <v>1</v>
      </c>
      <c r="AB88" s="34">
        <v>1</v>
      </c>
      <c r="AC88" s="34">
        <v>1</v>
      </c>
      <c r="AD88" s="34">
        <v>1</v>
      </c>
      <c r="AE88" s="34">
        <v>1</v>
      </c>
      <c r="AF88" s="34">
        <v>1</v>
      </c>
      <c r="AG88" s="34">
        <v>1</v>
      </c>
      <c r="AH88" s="34">
        <v>1</v>
      </c>
      <c r="AI88" s="34">
        <v>1</v>
      </c>
      <c r="AJ88" s="34">
        <v>1</v>
      </c>
      <c r="AK88" s="10">
        <f t="shared" ref="AK88:AK97" si="10">SUM(G88:AJ88)</f>
        <v>13</v>
      </c>
      <c r="AL88" s="11">
        <v>32000</v>
      </c>
      <c r="AM88" s="12">
        <f t="shared" ref="AM88:AM97" si="11">AL88*AK88</f>
        <v>416000</v>
      </c>
    </row>
    <row r="89" spans="1:40">
      <c r="A89" s="49" t="s">
        <v>396</v>
      </c>
      <c r="B89" s="32">
        <v>90</v>
      </c>
      <c r="C89" s="33" t="s">
        <v>627</v>
      </c>
      <c r="D89" s="33" t="s">
        <v>628</v>
      </c>
      <c r="E89" s="33" t="s">
        <v>86</v>
      </c>
      <c r="F89" s="32" t="s">
        <v>639</v>
      </c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34">
        <v>1</v>
      </c>
      <c r="Y89" s="34">
        <v>1</v>
      </c>
      <c r="Z89" s="34">
        <v>1</v>
      </c>
      <c r="AA89" s="34">
        <v>1</v>
      </c>
      <c r="AB89" s="34">
        <v>1</v>
      </c>
      <c r="AC89" s="34">
        <v>1</v>
      </c>
      <c r="AD89" s="34">
        <v>1</v>
      </c>
      <c r="AE89" s="34">
        <v>1</v>
      </c>
      <c r="AF89" s="34">
        <v>1</v>
      </c>
      <c r="AG89" s="34">
        <v>1</v>
      </c>
      <c r="AH89" s="34">
        <v>1</v>
      </c>
      <c r="AI89" s="34">
        <v>1</v>
      </c>
      <c r="AJ89" s="34">
        <v>1</v>
      </c>
      <c r="AK89" s="10">
        <f t="shared" si="10"/>
        <v>13</v>
      </c>
      <c r="AL89" s="11">
        <v>32000</v>
      </c>
      <c r="AM89" s="12">
        <f t="shared" si="11"/>
        <v>416000</v>
      </c>
    </row>
    <row r="90" spans="1:40">
      <c r="A90" s="49" t="s">
        <v>396</v>
      </c>
      <c r="B90" s="32">
        <v>66</v>
      </c>
      <c r="C90" s="33" t="s">
        <v>681</v>
      </c>
      <c r="D90" s="33" t="s">
        <v>156</v>
      </c>
      <c r="E90" s="33" t="s">
        <v>682</v>
      </c>
      <c r="F90" s="32" t="s">
        <v>684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34">
        <v>1</v>
      </c>
      <c r="Y90" s="34">
        <v>1</v>
      </c>
      <c r="Z90" s="34">
        <v>1</v>
      </c>
      <c r="AA90" s="34">
        <v>1</v>
      </c>
      <c r="AB90" s="34">
        <v>1</v>
      </c>
      <c r="AC90" s="34">
        <v>1</v>
      </c>
      <c r="AD90" s="34">
        <v>1</v>
      </c>
      <c r="AE90" s="34">
        <v>1</v>
      </c>
      <c r="AF90" s="34">
        <v>1</v>
      </c>
      <c r="AG90" s="34">
        <v>1</v>
      </c>
      <c r="AH90" s="34">
        <v>1</v>
      </c>
      <c r="AI90" s="34">
        <v>1</v>
      </c>
      <c r="AJ90" s="34">
        <v>1</v>
      </c>
      <c r="AK90" s="10">
        <f t="shared" si="10"/>
        <v>13</v>
      </c>
      <c r="AL90" s="11">
        <v>32000</v>
      </c>
      <c r="AM90" s="12">
        <f t="shared" si="11"/>
        <v>416000</v>
      </c>
    </row>
    <row r="91" spans="1:40">
      <c r="A91" s="49" t="s">
        <v>396</v>
      </c>
      <c r="B91" s="64">
        <v>32</v>
      </c>
      <c r="C91" s="33" t="s">
        <v>1122</v>
      </c>
      <c r="D91" s="33" t="s">
        <v>1098</v>
      </c>
      <c r="E91" s="33" t="s">
        <v>1123</v>
      </c>
      <c r="F91" s="32" t="s">
        <v>1124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34">
        <v>1</v>
      </c>
      <c r="Y91" s="34">
        <v>1</v>
      </c>
      <c r="Z91" s="34">
        <v>1</v>
      </c>
      <c r="AA91" s="34">
        <v>1</v>
      </c>
      <c r="AB91" s="34">
        <v>1</v>
      </c>
      <c r="AC91" s="34">
        <v>1</v>
      </c>
      <c r="AD91" s="34">
        <v>1</v>
      </c>
      <c r="AE91" s="34">
        <v>1</v>
      </c>
      <c r="AF91" s="34">
        <v>1</v>
      </c>
      <c r="AG91" s="34">
        <v>1</v>
      </c>
      <c r="AH91" s="34">
        <v>1</v>
      </c>
      <c r="AI91" s="34">
        <v>1</v>
      </c>
      <c r="AJ91" s="34">
        <v>1</v>
      </c>
      <c r="AK91" s="87">
        <f t="shared" ref="AK91:AK92" si="12">SUM(G91:AJ91)</f>
        <v>13</v>
      </c>
      <c r="AL91" s="11">
        <v>48000</v>
      </c>
      <c r="AM91" s="12">
        <f t="shared" ref="AM91:AM92" si="13">AL91*AK91</f>
        <v>624000</v>
      </c>
    </row>
    <row r="92" spans="1:40">
      <c r="A92" s="49" t="s">
        <v>396</v>
      </c>
      <c r="B92" s="32">
        <v>78</v>
      </c>
      <c r="C92" s="33" t="s">
        <v>82</v>
      </c>
      <c r="D92" s="33" t="s">
        <v>17</v>
      </c>
      <c r="E92" s="33" t="s">
        <v>974</v>
      </c>
      <c r="F92" s="32" t="s">
        <v>83</v>
      </c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67"/>
      <c r="AD92" s="34">
        <v>1</v>
      </c>
      <c r="AE92" s="67"/>
      <c r="AF92" s="67"/>
      <c r="AG92" s="67"/>
      <c r="AH92" s="67"/>
      <c r="AI92" s="67"/>
      <c r="AJ92" s="67"/>
      <c r="AK92" s="10">
        <f t="shared" si="12"/>
        <v>1</v>
      </c>
      <c r="AL92" s="11">
        <v>32000</v>
      </c>
      <c r="AM92" s="12">
        <f t="shared" si="13"/>
        <v>32000</v>
      </c>
      <c r="AN92" s="3" t="s">
        <v>1000</v>
      </c>
    </row>
    <row r="93" spans="1:40">
      <c r="A93" s="49" t="s">
        <v>396</v>
      </c>
      <c r="B93" s="32">
        <v>78</v>
      </c>
      <c r="C93" s="33" t="s">
        <v>78</v>
      </c>
      <c r="D93" s="33" t="s">
        <v>975</v>
      </c>
      <c r="E93" s="33" t="s">
        <v>79</v>
      </c>
      <c r="F93" s="32" t="s">
        <v>80</v>
      </c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67"/>
      <c r="AD93" s="34">
        <v>1</v>
      </c>
      <c r="AE93" s="67"/>
      <c r="AF93" s="67"/>
      <c r="AG93" s="67"/>
      <c r="AH93" s="67"/>
      <c r="AI93" s="67"/>
      <c r="AJ93" s="67"/>
      <c r="AK93" s="10">
        <f t="shared" si="10"/>
        <v>1</v>
      </c>
      <c r="AL93" s="11">
        <v>32000</v>
      </c>
      <c r="AM93" s="12">
        <f t="shared" si="11"/>
        <v>32000</v>
      </c>
      <c r="AN93" s="3" t="s">
        <v>1000</v>
      </c>
    </row>
    <row r="94" spans="1:40">
      <c r="A94" s="49" t="s">
        <v>396</v>
      </c>
      <c r="B94" s="32">
        <v>6</v>
      </c>
      <c r="C94" s="33" t="s">
        <v>67</v>
      </c>
      <c r="D94" s="33" t="s">
        <v>978</v>
      </c>
      <c r="E94" s="33" t="s">
        <v>360</v>
      </c>
      <c r="F94" s="32" t="s">
        <v>68</v>
      </c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67"/>
      <c r="AD94" s="34">
        <v>1</v>
      </c>
      <c r="AE94" s="67"/>
      <c r="AF94" s="67"/>
      <c r="AG94" s="67"/>
      <c r="AH94" s="67"/>
      <c r="AI94" s="67"/>
      <c r="AJ94" s="67"/>
      <c r="AK94" s="10">
        <f t="shared" si="10"/>
        <v>1</v>
      </c>
      <c r="AL94" s="11">
        <v>32000</v>
      </c>
      <c r="AM94" s="12">
        <f t="shared" si="11"/>
        <v>32000</v>
      </c>
      <c r="AN94" s="3" t="s">
        <v>1000</v>
      </c>
    </row>
    <row r="95" spans="1:40">
      <c r="A95" s="49" t="s">
        <v>396</v>
      </c>
      <c r="B95" s="32">
        <v>6</v>
      </c>
      <c r="C95" s="33" t="s">
        <v>970</v>
      </c>
      <c r="D95" s="33" t="s">
        <v>354</v>
      </c>
      <c r="E95" s="33" t="s">
        <v>972</v>
      </c>
      <c r="F95" s="32" t="s">
        <v>973</v>
      </c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67"/>
      <c r="AD95" s="34">
        <v>1</v>
      </c>
      <c r="AE95" s="67"/>
      <c r="AF95" s="67"/>
      <c r="AG95" s="67"/>
      <c r="AH95" s="67"/>
      <c r="AI95" s="67"/>
      <c r="AJ95" s="67"/>
      <c r="AK95" s="10">
        <f t="shared" si="10"/>
        <v>1</v>
      </c>
      <c r="AL95" s="11">
        <v>32000</v>
      </c>
      <c r="AM95" s="12">
        <f t="shared" si="11"/>
        <v>32000</v>
      </c>
      <c r="AN95" s="3" t="s">
        <v>1000</v>
      </c>
    </row>
    <row r="96" spans="1:40">
      <c r="A96" s="49" t="s">
        <v>396</v>
      </c>
      <c r="B96" s="32">
        <v>79</v>
      </c>
      <c r="C96" s="33" t="s">
        <v>63</v>
      </c>
      <c r="D96" s="33" t="s">
        <v>195</v>
      </c>
      <c r="E96" s="33" t="s">
        <v>1110</v>
      </c>
      <c r="F96" s="32" t="s">
        <v>993</v>
      </c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67"/>
      <c r="AD96" s="34">
        <v>1</v>
      </c>
      <c r="AE96" s="67"/>
      <c r="AF96" s="67"/>
      <c r="AG96" s="67"/>
      <c r="AH96" s="67"/>
      <c r="AI96" s="67"/>
      <c r="AJ96" s="67"/>
      <c r="AK96" s="10">
        <f t="shared" si="10"/>
        <v>1</v>
      </c>
      <c r="AL96" s="11">
        <v>32000</v>
      </c>
      <c r="AM96" s="12">
        <f t="shared" si="11"/>
        <v>32000</v>
      </c>
      <c r="AN96" s="3" t="s">
        <v>1000</v>
      </c>
    </row>
    <row r="97" spans="1:42">
      <c r="A97" s="49" t="s">
        <v>396</v>
      </c>
      <c r="B97" s="32">
        <v>79</v>
      </c>
      <c r="C97" s="33" t="s">
        <v>12</v>
      </c>
      <c r="D97" s="33" t="s">
        <v>97</v>
      </c>
      <c r="E97" s="33" t="s">
        <v>77</v>
      </c>
      <c r="F97" s="32" t="s">
        <v>992</v>
      </c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67"/>
      <c r="AD97" s="34">
        <v>1</v>
      </c>
      <c r="AE97" s="67"/>
      <c r="AF97" s="67"/>
      <c r="AG97" s="67"/>
      <c r="AH97" s="67"/>
      <c r="AI97" s="67"/>
      <c r="AJ97" s="67"/>
      <c r="AK97" s="10">
        <f t="shared" si="10"/>
        <v>1</v>
      </c>
      <c r="AL97" s="11">
        <v>32000</v>
      </c>
      <c r="AM97" s="12">
        <f t="shared" si="11"/>
        <v>32000</v>
      </c>
      <c r="AN97" s="3" t="s">
        <v>1000</v>
      </c>
    </row>
    <row r="98" spans="1:42" ht="12.75" customHeight="1">
      <c r="A98" s="40"/>
      <c r="B98" s="40"/>
      <c r="C98" s="41"/>
      <c r="D98" s="41"/>
      <c r="E98" s="41"/>
      <c r="F98" s="40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42"/>
      <c r="AL98" s="43"/>
      <c r="AM98" s="43"/>
    </row>
    <row r="99" spans="1:42">
      <c r="A99" s="3"/>
      <c r="G99" s="16">
        <f t="shared" ref="G99:AK99" si="14">SUM(G10:G98)</f>
        <v>13</v>
      </c>
      <c r="H99" s="16">
        <f t="shared" si="14"/>
        <v>13</v>
      </c>
      <c r="I99" s="16">
        <f t="shared" si="14"/>
        <v>13</v>
      </c>
      <c r="J99" s="16">
        <f t="shared" si="14"/>
        <v>25</v>
      </c>
      <c r="K99" s="16">
        <f t="shared" si="14"/>
        <v>25</v>
      </c>
      <c r="L99" s="16">
        <f t="shared" si="14"/>
        <v>25</v>
      </c>
      <c r="M99" s="16">
        <f t="shared" si="14"/>
        <v>25</v>
      </c>
      <c r="N99" s="16">
        <f t="shared" si="14"/>
        <v>25</v>
      </c>
      <c r="O99" s="16">
        <f t="shared" si="14"/>
        <v>25</v>
      </c>
      <c r="P99" s="16">
        <f t="shared" si="14"/>
        <v>25</v>
      </c>
      <c r="Q99" s="16">
        <f t="shared" si="14"/>
        <v>25</v>
      </c>
      <c r="R99" s="16">
        <f t="shared" si="14"/>
        <v>25</v>
      </c>
      <c r="S99" s="16">
        <f t="shared" si="14"/>
        <v>25</v>
      </c>
      <c r="T99" s="16">
        <f t="shared" si="14"/>
        <v>25</v>
      </c>
      <c r="U99" s="16">
        <f t="shared" si="14"/>
        <v>25</v>
      </c>
      <c r="V99" s="16">
        <f t="shared" si="14"/>
        <v>25</v>
      </c>
      <c r="W99" s="16">
        <f t="shared" si="14"/>
        <v>39</v>
      </c>
      <c r="X99" s="16">
        <f t="shared" si="14"/>
        <v>30</v>
      </c>
      <c r="Y99" s="16">
        <f t="shared" si="14"/>
        <v>30</v>
      </c>
      <c r="Z99" s="16">
        <f t="shared" si="14"/>
        <v>30</v>
      </c>
      <c r="AA99" s="16">
        <f t="shared" si="14"/>
        <v>30</v>
      </c>
      <c r="AB99" s="16">
        <f t="shared" si="14"/>
        <v>30</v>
      </c>
      <c r="AC99" s="16">
        <f t="shared" si="14"/>
        <v>30</v>
      </c>
      <c r="AD99" s="16">
        <f t="shared" si="14"/>
        <v>36</v>
      </c>
      <c r="AE99" s="16">
        <f t="shared" si="14"/>
        <v>30</v>
      </c>
      <c r="AF99" s="16">
        <f t="shared" si="14"/>
        <v>30</v>
      </c>
      <c r="AG99" s="16">
        <f t="shared" si="14"/>
        <v>30</v>
      </c>
      <c r="AH99" s="16">
        <f t="shared" si="14"/>
        <v>30</v>
      </c>
      <c r="AI99" s="16">
        <f t="shared" si="14"/>
        <v>30</v>
      </c>
      <c r="AJ99" s="16">
        <f t="shared" si="14"/>
        <v>30</v>
      </c>
      <c r="AK99" s="16">
        <f t="shared" si="14"/>
        <v>799</v>
      </c>
      <c r="AN99" s="3" t="s">
        <v>30</v>
      </c>
    </row>
    <row r="100" spans="1:42">
      <c r="A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42">
      <c r="A101" s="3"/>
      <c r="AL101" s="17" t="s">
        <v>31</v>
      </c>
      <c r="AM101" s="18">
        <f>SUM(AM10:AM100)</f>
        <v>25776000</v>
      </c>
    </row>
    <row r="102" spans="1:42" ht="17.25" customHeight="1" thickBot="1">
      <c r="A102" s="19"/>
      <c r="B102" s="20"/>
      <c r="C102" s="19"/>
      <c r="D102" s="19"/>
      <c r="E102" s="19"/>
    </row>
    <row r="103" spans="1:42" ht="17.25" customHeight="1" thickBot="1">
      <c r="A103" s="116" t="s">
        <v>124</v>
      </c>
      <c r="B103" s="116"/>
      <c r="C103" s="116"/>
      <c r="D103" s="116"/>
      <c r="E103" s="116"/>
      <c r="F103" s="116"/>
      <c r="G103" s="99">
        <v>45809</v>
      </c>
      <c r="H103" s="99">
        <v>45810</v>
      </c>
      <c r="I103" s="99">
        <v>45811</v>
      </c>
      <c r="J103" s="99">
        <v>45812</v>
      </c>
      <c r="K103" s="99">
        <v>45813</v>
      </c>
      <c r="L103" s="99">
        <v>45814</v>
      </c>
      <c r="M103" s="99">
        <v>45815</v>
      </c>
      <c r="N103" s="99">
        <v>45816</v>
      </c>
      <c r="O103" s="99">
        <v>45817</v>
      </c>
      <c r="P103" s="99">
        <v>45818</v>
      </c>
      <c r="Q103" s="99">
        <v>45819</v>
      </c>
      <c r="R103" s="99">
        <v>45820</v>
      </c>
      <c r="S103" s="99">
        <v>45821</v>
      </c>
      <c r="T103" s="99">
        <v>45822</v>
      </c>
      <c r="U103" s="99">
        <v>45823</v>
      </c>
      <c r="V103" s="99">
        <v>45824</v>
      </c>
      <c r="W103" s="99">
        <v>45825</v>
      </c>
      <c r="X103" s="99">
        <v>45826</v>
      </c>
      <c r="Y103" s="99">
        <v>45827</v>
      </c>
      <c r="Z103" s="99">
        <v>45828</v>
      </c>
      <c r="AA103" s="99">
        <v>45829</v>
      </c>
      <c r="AB103" s="99">
        <v>45830</v>
      </c>
      <c r="AC103" s="99">
        <v>45831</v>
      </c>
      <c r="AD103" s="99">
        <v>45832</v>
      </c>
      <c r="AE103" s="99">
        <v>45833</v>
      </c>
      <c r="AF103" s="99">
        <v>45834</v>
      </c>
      <c r="AG103" s="99">
        <v>45835</v>
      </c>
      <c r="AH103" s="99">
        <v>45836</v>
      </c>
      <c r="AI103" s="99">
        <v>45837</v>
      </c>
      <c r="AJ103" s="99">
        <v>45838</v>
      </c>
      <c r="AK103" s="94" t="s">
        <v>735</v>
      </c>
      <c r="AL103" s="94"/>
      <c r="AM103" s="94"/>
    </row>
    <row r="104" spans="1:42" ht="12.75" customHeight="1" thickBot="1">
      <c r="A104" s="116"/>
      <c r="B104" s="116"/>
      <c r="C104" s="116"/>
      <c r="D104" s="116"/>
      <c r="E104" s="116"/>
      <c r="F104" s="116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4"/>
      <c r="AL104" s="94"/>
      <c r="AM104" s="94"/>
    </row>
    <row r="105" spans="1:42" ht="11.25" hidden="1" customHeight="1" thickBot="1">
      <c r="A105" s="116"/>
      <c r="B105" s="116"/>
      <c r="C105" s="116"/>
      <c r="D105" s="116"/>
      <c r="E105" s="116"/>
      <c r="F105" s="116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4"/>
      <c r="AL105" s="94"/>
      <c r="AM105" s="94"/>
    </row>
    <row r="106" spans="1:42" ht="17.25" customHeight="1">
      <c r="A106" s="120" t="s">
        <v>32</v>
      </c>
      <c r="B106" s="120"/>
      <c r="C106" s="120"/>
      <c r="D106" s="120"/>
      <c r="E106" s="120"/>
      <c r="F106" s="120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21" t="s">
        <v>5</v>
      </c>
      <c r="AL106" s="21" t="s">
        <v>6</v>
      </c>
      <c r="AM106" s="22" t="s">
        <v>7</v>
      </c>
    </row>
    <row r="107" spans="1:42" ht="17.25" customHeight="1">
      <c r="A107" s="23">
        <v>1</v>
      </c>
      <c r="B107" s="121" t="s">
        <v>33</v>
      </c>
      <c r="C107" s="121"/>
      <c r="D107" s="121"/>
      <c r="E107" s="121"/>
      <c r="F107" s="121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44">
        <v>4</v>
      </c>
      <c r="AA107" s="44">
        <v>5</v>
      </c>
      <c r="AB107" s="44">
        <v>4</v>
      </c>
      <c r="AC107" s="50"/>
      <c r="AD107" s="50"/>
      <c r="AE107" s="50"/>
      <c r="AF107" s="50"/>
      <c r="AG107" s="50"/>
      <c r="AH107" s="50"/>
      <c r="AI107" s="50"/>
      <c r="AJ107" s="50"/>
      <c r="AK107" s="24">
        <f>SUM(G107:AJ107)</f>
        <v>13</v>
      </c>
      <c r="AL107" s="15">
        <v>8500</v>
      </c>
      <c r="AM107" s="15">
        <f>AL107*AK107</f>
        <v>110500</v>
      </c>
    </row>
    <row r="109" spans="1:42" ht="11.25" customHeight="1">
      <c r="AK109" s="25"/>
      <c r="AL109" s="26" t="s">
        <v>34</v>
      </c>
      <c r="AM109" s="27">
        <f>AM101</f>
        <v>25776000</v>
      </c>
      <c r="AN109" s="25"/>
    </row>
    <row r="110" spans="1:42" ht="11.25" customHeight="1">
      <c r="AK110" s="25"/>
      <c r="AL110" s="26" t="s">
        <v>33</v>
      </c>
      <c r="AM110" s="27">
        <f>AM107</f>
        <v>110500</v>
      </c>
      <c r="AN110" s="25"/>
    </row>
    <row r="111" spans="1:42" ht="14.25" customHeight="1">
      <c r="AK111" s="25"/>
      <c r="AL111" s="28"/>
      <c r="AM111" s="28"/>
      <c r="AN111" s="25"/>
    </row>
    <row r="112" spans="1:42" ht="14.25" customHeight="1">
      <c r="AK112" s="25"/>
      <c r="AL112" s="25"/>
      <c r="AM112" s="25"/>
      <c r="AN112" s="25"/>
      <c r="AO112" s="2"/>
      <c r="AP112" s="2"/>
    </row>
    <row r="113" spans="3:42" ht="14.25" customHeight="1">
      <c r="AK113" s="25"/>
      <c r="AL113" s="25"/>
      <c r="AM113" s="25"/>
      <c r="AN113" s="25"/>
      <c r="AO113" s="2"/>
      <c r="AP113" s="2"/>
    </row>
    <row r="114" spans="3:42" ht="14.25" customHeight="1">
      <c r="AK114" s="28"/>
      <c r="AN114" s="28"/>
      <c r="AO114" s="2"/>
      <c r="AP114" s="2"/>
    </row>
    <row r="115" spans="3:42" ht="14.25" customHeight="1">
      <c r="AK115" s="25"/>
      <c r="AN115" s="25"/>
      <c r="AO115" s="31"/>
      <c r="AP115" s="31"/>
    </row>
    <row r="116" spans="3:42" ht="14.25" customHeight="1">
      <c r="AK116" s="25"/>
      <c r="AN116" s="25"/>
      <c r="AO116" s="31"/>
      <c r="AP116" s="31"/>
    </row>
    <row r="117" spans="3:42" ht="14.25" customHeight="1">
      <c r="AK117" s="25"/>
      <c r="AN117" s="25"/>
    </row>
    <row r="118" spans="3:42" ht="20.25">
      <c r="AK118" s="25"/>
      <c r="AN118" s="25"/>
    </row>
    <row r="119" spans="3:42" ht="20.25">
      <c r="AK119" s="25"/>
      <c r="AN119" s="25"/>
    </row>
    <row r="121" spans="3:42">
      <c r="C121" s="95"/>
      <c r="D121" s="95"/>
    </row>
  </sheetData>
  <autoFilter ref="AK9:AM9" xr:uid="{00000000-0001-0000-0000-000000000000}"/>
  <mergeCells count="70">
    <mergeCell ref="AI103:AI106"/>
    <mergeCell ref="AJ103:AJ106"/>
    <mergeCell ref="AF6:AF9"/>
    <mergeCell ref="AG6:AG9"/>
    <mergeCell ref="AH6:AH9"/>
    <mergeCell ref="AI6:AI9"/>
    <mergeCell ref="AJ6:AJ9"/>
    <mergeCell ref="A1:F5"/>
    <mergeCell ref="G1:AM3"/>
    <mergeCell ref="G4:AM5"/>
    <mergeCell ref="A6:F8"/>
    <mergeCell ref="AK6:AM8"/>
    <mergeCell ref="O6:O9"/>
    <mergeCell ref="P6:P9"/>
    <mergeCell ref="Q6:Q9"/>
    <mergeCell ref="AC6:AC9"/>
    <mergeCell ref="AD6:AD9"/>
    <mergeCell ref="AE6:AE9"/>
    <mergeCell ref="U6:U9"/>
    <mergeCell ref="V6:V9"/>
    <mergeCell ref="W6:W9"/>
    <mergeCell ref="X6:X9"/>
    <mergeCell ref="Y6:Y9"/>
    <mergeCell ref="R6:R9"/>
    <mergeCell ref="S6:S9"/>
    <mergeCell ref="T6:T9"/>
    <mergeCell ref="AA6:AA9"/>
    <mergeCell ref="AB6:AB9"/>
    <mergeCell ref="Z6:Z9"/>
    <mergeCell ref="L6:L9"/>
    <mergeCell ref="M6:M9"/>
    <mergeCell ref="N6:N9"/>
    <mergeCell ref="L103:L106"/>
    <mergeCell ref="G6:G9"/>
    <mergeCell ref="H6:H9"/>
    <mergeCell ref="I6:I9"/>
    <mergeCell ref="J6:J9"/>
    <mergeCell ref="K6:K9"/>
    <mergeCell ref="AK103:AM105"/>
    <mergeCell ref="A106:F106"/>
    <mergeCell ref="B107:F107"/>
    <mergeCell ref="G103:G106"/>
    <mergeCell ref="H103:H106"/>
    <mergeCell ref="I103:I106"/>
    <mergeCell ref="J103:J106"/>
    <mergeCell ref="K103:K106"/>
    <mergeCell ref="R103:R106"/>
    <mergeCell ref="S103:S106"/>
    <mergeCell ref="T103:T106"/>
    <mergeCell ref="AA103:AA106"/>
    <mergeCell ref="AB103:AB106"/>
    <mergeCell ref="AF103:AF106"/>
    <mergeCell ref="AG103:AG106"/>
    <mergeCell ref="AH103:AH106"/>
    <mergeCell ref="C121:D121"/>
    <mergeCell ref="AC103:AC106"/>
    <mergeCell ref="AD103:AD106"/>
    <mergeCell ref="AE103:AE106"/>
    <mergeCell ref="M103:M106"/>
    <mergeCell ref="N103:N106"/>
    <mergeCell ref="A103:F105"/>
    <mergeCell ref="U103:U106"/>
    <mergeCell ref="V103:V106"/>
    <mergeCell ref="W103:W106"/>
    <mergeCell ref="X103:X106"/>
    <mergeCell ref="Y103:Y106"/>
    <mergeCell ref="Z103:Z106"/>
    <mergeCell ref="O103:O106"/>
    <mergeCell ref="P103:P106"/>
    <mergeCell ref="Q103:Q106"/>
  </mergeCells>
  <phoneticPr fontId="23" type="noConversion"/>
  <pageMargins left="0.25" right="0.25" top="0.75" bottom="0.75" header="0.511811023622047" footer="0.511811023622047"/>
  <pageSetup scale="7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5B74-58C8-4895-86BA-62A2538177FB}">
  <dimension ref="A1:AP70"/>
  <sheetViews>
    <sheetView zoomScale="118" zoomScaleNormal="118" workbookViewId="0">
      <pane xSplit="6" ySplit="9" topLeftCell="G34" activePane="bottomRight" state="frozen"/>
      <selection pane="topRight" activeCell="I1" sqref="I1"/>
      <selection pane="bottomLeft" activeCell="A46" sqref="A46"/>
      <selection pane="bottomRight" activeCell="Z64" sqref="Z64"/>
    </sheetView>
  </sheetViews>
  <sheetFormatPr baseColWidth="10" defaultColWidth="11.42578125" defaultRowHeight="12.75"/>
  <cols>
    <col min="1" max="1" width="6.28515625" style="1" customWidth="1"/>
    <col min="2" max="2" width="4.7109375" style="1" customWidth="1"/>
    <col min="3" max="3" width="10.7109375" style="3" customWidth="1"/>
    <col min="4" max="4" width="12.42578125" style="3" customWidth="1"/>
    <col min="5" max="5" width="13.5703125" style="3" customWidth="1"/>
    <col min="6" max="6" width="10.5703125" style="1" customWidth="1"/>
    <col min="7" max="36" width="3.7109375" style="3" customWidth="1"/>
    <col min="37" max="37" width="5.5703125" style="3" customWidth="1"/>
    <col min="38" max="38" width="18.28515625" style="3" customWidth="1"/>
    <col min="39" max="39" width="15.5703125" style="3" customWidth="1"/>
    <col min="40" max="40" width="12.42578125" style="3" customWidth="1"/>
    <col min="41" max="43" width="3" style="3" customWidth="1"/>
    <col min="44" max="16384" width="11.42578125" style="3"/>
  </cols>
  <sheetData>
    <row r="1" spans="1:39" ht="12.75" customHeight="1" thickBot="1">
      <c r="A1" s="113"/>
      <c r="B1" s="113"/>
      <c r="C1" s="113"/>
      <c r="D1" s="113"/>
      <c r="E1" s="113"/>
      <c r="F1" s="113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</row>
    <row r="2" spans="1:39" ht="12.75" customHeight="1" thickBot="1">
      <c r="A2" s="113"/>
      <c r="B2" s="113"/>
      <c r="C2" s="113"/>
      <c r="D2" s="113"/>
      <c r="E2" s="113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</row>
    <row r="3" spans="1:39" ht="20.25" customHeight="1" thickBot="1">
      <c r="A3" s="113"/>
      <c r="B3" s="113"/>
      <c r="C3" s="113"/>
      <c r="D3" s="113"/>
      <c r="E3" s="113"/>
      <c r="F3" s="113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</row>
    <row r="4" spans="1:39" ht="12.75" customHeight="1" thickBot="1">
      <c r="A4" s="113"/>
      <c r="B4" s="113"/>
      <c r="C4" s="113"/>
      <c r="D4" s="113"/>
      <c r="E4" s="113"/>
      <c r="F4" s="113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</row>
    <row r="5" spans="1:39" ht="7.5" customHeight="1" thickBot="1">
      <c r="A5" s="113"/>
      <c r="B5" s="113"/>
      <c r="C5" s="113"/>
      <c r="D5" s="113"/>
      <c r="E5" s="113"/>
      <c r="F5" s="113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 spans="1:39" ht="12.75" customHeight="1" thickBot="1">
      <c r="A6" s="116" t="s">
        <v>124</v>
      </c>
      <c r="B6" s="116"/>
      <c r="C6" s="116"/>
      <c r="D6" s="116"/>
      <c r="E6" s="116"/>
      <c r="F6" s="116"/>
      <c r="G6" s="99">
        <v>45809</v>
      </c>
      <c r="H6" s="99">
        <v>45810</v>
      </c>
      <c r="I6" s="99">
        <v>45811</v>
      </c>
      <c r="J6" s="99">
        <v>45812</v>
      </c>
      <c r="K6" s="99">
        <v>45813</v>
      </c>
      <c r="L6" s="99">
        <v>45814</v>
      </c>
      <c r="M6" s="99">
        <v>45815</v>
      </c>
      <c r="N6" s="99">
        <v>45816</v>
      </c>
      <c r="O6" s="99">
        <v>45817</v>
      </c>
      <c r="P6" s="99">
        <v>45818</v>
      </c>
      <c r="Q6" s="99">
        <v>45819</v>
      </c>
      <c r="R6" s="99">
        <v>45820</v>
      </c>
      <c r="S6" s="99">
        <v>45821</v>
      </c>
      <c r="T6" s="99">
        <v>45822</v>
      </c>
      <c r="U6" s="99">
        <v>45823</v>
      </c>
      <c r="V6" s="99">
        <v>45824</v>
      </c>
      <c r="W6" s="99">
        <v>45825</v>
      </c>
      <c r="X6" s="99">
        <v>45826</v>
      </c>
      <c r="Y6" s="99">
        <v>45827</v>
      </c>
      <c r="Z6" s="99">
        <v>45828</v>
      </c>
      <c r="AA6" s="99">
        <v>45829</v>
      </c>
      <c r="AB6" s="99">
        <v>45830</v>
      </c>
      <c r="AC6" s="99">
        <v>45831</v>
      </c>
      <c r="AD6" s="99">
        <v>45832</v>
      </c>
      <c r="AE6" s="99">
        <v>45833</v>
      </c>
      <c r="AF6" s="99">
        <v>45834</v>
      </c>
      <c r="AG6" s="99">
        <v>45835</v>
      </c>
      <c r="AH6" s="99">
        <v>45836</v>
      </c>
      <c r="AI6" s="99">
        <v>45837</v>
      </c>
      <c r="AJ6" s="99">
        <v>45838</v>
      </c>
      <c r="AK6" s="94" t="s">
        <v>735</v>
      </c>
      <c r="AL6" s="94"/>
      <c r="AM6" s="94"/>
    </row>
    <row r="7" spans="1:39" ht="15" customHeight="1" thickBot="1">
      <c r="A7" s="116"/>
      <c r="B7" s="116"/>
      <c r="C7" s="116"/>
      <c r="D7" s="116"/>
      <c r="E7" s="116"/>
      <c r="F7" s="116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4"/>
      <c r="AL7" s="94"/>
      <c r="AM7" s="94"/>
    </row>
    <row r="8" spans="1:39" ht="15.75" customHeight="1" thickBot="1">
      <c r="A8" s="116"/>
      <c r="B8" s="116"/>
      <c r="C8" s="116"/>
      <c r="D8" s="116"/>
      <c r="E8" s="116"/>
      <c r="F8" s="116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4"/>
      <c r="AL8" s="94"/>
      <c r="AM8" s="94"/>
    </row>
    <row r="9" spans="1:39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7" t="s">
        <v>5</v>
      </c>
      <c r="AL9" s="8" t="s">
        <v>6</v>
      </c>
      <c r="AM9" s="9" t="s">
        <v>7</v>
      </c>
    </row>
    <row r="10" spans="1:39">
      <c r="A10" s="62" t="s">
        <v>871</v>
      </c>
      <c r="B10" s="32">
        <v>4</v>
      </c>
      <c r="C10" s="33" t="s">
        <v>142</v>
      </c>
      <c r="D10" s="33" t="s">
        <v>143</v>
      </c>
      <c r="E10" s="33" t="s">
        <v>15</v>
      </c>
      <c r="F10" s="32">
        <v>9739792</v>
      </c>
      <c r="G10" s="46"/>
      <c r="H10" s="46"/>
      <c r="I10" s="46"/>
      <c r="J10" s="46"/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  <c r="V10" s="34">
        <v>1</v>
      </c>
      <c r="W10" s="34">
        <v>1</v>
      </c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42">
        <f t="shared" ref="AK10:AK23" si="0">SUM(G10:AJ10)</f>
        <v>13</v>
      </c>
      <c r="AL10" s="11">
        <v>32000</v>
      </c>
      <c r="AM10" s="11">
        <f t="shared" ref="AM10:AM46" si="1">AL10*AK10</f>
        <v>416000</v>
      </c>
    </row>
    <row r="11" spans="1:39">
      <c r="A11" s="62" t="s">
        <v>871</v>
      </c>
      <c r="B11" s="32">
        <v>4</v>
      </c>
      <c r="C11" s="33" t="s">
        <v>161</v>
      </c>
      <c r="D11" s="33" t="s">
        <v>162</v>
      </c>
      <c r="E11" s="33" t="s">
        <v>163</v>
      </c>
      <c r="F11" s="32">
        <v>45359428</v>
      </c>
      <c r="G11" s="46"/>
      <c r="H11" s="46"/>
      <c r="I11" s="46"/>
      <c r="J11" s="46"/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  <c r="V11" s="34">
        <v>1</v>
      </c>
      <c r="W11" s="34">
        <v>1</v>
      </c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10">
        <f t="shared" si="0"/>
        <v>13</v>
      </c>
      <c r="AL11" s="11">
        <v>32000</v>
      </c>
      <c r="AM11" s="12">
        <f t="shared" si="1"/>
        <v>416000</v>
      </c>
    </row>
    <row r="12" spans="1:39">
      <c r="A12" s="62" t="s">
        <v>871</v>
      </c>
      <c r="B12" s="32">
        <v>9</v>
      </c>
      <c r="C12" s="33" t="s">
        <v>258</v>
      </c>
      <c r="D12" s="33" t="s">
        <v>412</v>
      </c>
      <c r="E12" s="33" t="s">
        <v>413</v>
      </c>
      <c r="F12" s="32">
        <v>44246612</v>
      </c>
      <c r="G12" s="46"/>
      <c r="H12" s="46"/>
      <c r="I12" s="46"/>
      <c r="J12" s="46"/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  <c r="V12" s="34">
        <v>1</v>
      </c>
      <c r="W12" s="34">
        <v>1</v>
      </c>
      <c r="X12" s="34">
        <v>1</v>
      </c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10">
        <f t="shared" si="0"/>
        <v>14</v>
      </c>
      <c r="AL12" s="11">
        <v>32000</v>
      </c>
      <c r="AM12" s="12">
        <f t="shared" si="1"/>
        <v>448000</v>
      </c>
    </row>
    <row r="13" spans="1:39">
      <c r="A13" s="62" t="s">
        <v>871</v>
      </c>
      <c r="B13" s="32">
        <v>9</v>
      </c>
      <c r="C13" s="33" t="s">
        <v>66</v>
      </c>
      <c r="D13" s="33" t="s">
        <v>415</v>
      </c>
      <c r="E13" s="33" t="s">
        <v>416</v>
      </c>
      <c r="F13" s="32">
        <v>46185887</v>
      </c>
      <c r="G13" s="46"/>
      <c r="H13" s="46"/>
      <c r="I13" s="46"/>
      <c r="J13" s="46"/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  <c r="V13" s="34">
        <v>1</v>
      </c>
      <c r="W13" s="34">
        <v>1</v>
      </c>
      <c r="X13" s="34">
        <v>1</v>
      </c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10">
        <f t="shared" si="0"/>
        <v>14</v>
      </c>
      <c r="AL13" s="11">
        <v>32000</v>
      </c>
      <c r="AM13" s="12">
        <f t="shared" si="1"/>
        <v>448000</v>
      </c>
    </row>
    <row r="14" spans="1:39">
      <c r="A14" s="62" t="s">
        <v>871</v>
      </c>
      <c r="B14" s="32">
        <v>11</v>
      </c>
      <c r="C14" s="33" t="s">
        <v>872</v>
      </c>
      <c r="D14" s="33" t="s">
        <v>873</v>
      </c>
      <c r="E14" s="33" t="s">
        <v>419</v>
      </c>
      <c r="F14" s="32">
        <v>23269394</v>
      </c>
      <c r="G14" s="46"/>
      <c r="H14" s="46"/>
      <c r="I14" s="46"/>
      <c r="J14" s="46"/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1</v>
      </c>
      <c r="W14" s="34">
        <v>1</v>
      </c>
      <c r="X14" s="34">
        <v>1</v>
      </c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10">
        <f t="shared" si="0"/>
        <v>14</v>
      </c>
      <c r="AL14" s="11">
        <v>32000</v>
      </c>
      <c r="AM14" s="12">
        <f t="shared" si="1"/>
        <v>448000</v>
      </c>
    </row>
    <row r="15" spans="1:39">
      <c r="A15" s="62" t="s">
        <v>871</v>
      </c>
      <c r="B15" s="32">
        <v>11</v>
      </c>
      <c r="C15" s="33" t="s">
        <v>203</v>
      </c>
      <c r="D15" s="33" t="s">
        <v>420</v>
      </c>
      <c r="E15" s="33" t="s">
        <v>312</v>
      </c>
      <c r="F15" s="32">
        <v>31934043</v>
      </c>
      <c r="G15" s="46"/>
      <c r="H15" s="46"/>
      <c r="I15" s="46"/>
      <c r="J15" s="46"/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1</v>
      </c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10">
        <f t="shared" si="0"/>
        <v>14</v>
      </c>
      <c r="AL15" s="11">
        <v>32000</v>
      </c>
      <c r="AM15" s="12">
        <f t="shared" si="1"/>
        <v>448000</v>
      </c>
    </row>
    <row r="16" spans="1:39">
      <c r="A16" s="62" t="s">
        <v>871</v>
      </c>
      <c r="B16" s="32">
        <v>13</v>
      </c>
      <c r="C16" s="33" t="s">
        <v>133</v>
      </c>
      <c r="D16" s="33" t="s">
        <v>162</v>
      </c>
      <c r="E16" s="33" t="s">
        <v>134</v>
      </c>
      <c r="F16" s="32">
        <v>40707275</v>
      </c>
      <c r="G16" s="46"/>
      <c r="H16" s="46"/>
      <c r="I16" s="46"/>
      <c r="J16" s="46"/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10">
        <f t="shared" si="0"/>
        <v>13</v>
      </c>
      <c r="AL16" s="11">
        <v>32000</v>
      </c>
      <c r="AM16" s="12">
        <f t="shared" si="1"/>
        <v>416000</v>
      </c>
    </row>
    <row r="17" spans="1:39">
      <c r="A17" s="62" t="s">
        <v>871</v>
      </c>
      <c r="B17" s="32">
        <v>13</v>
      </c>
      <c r="C17" s="33" t="s">
        <v>130</v>
      </c>
      <c r="D17" s="33" t="s">
        <v>874</v>
      </c>
      <c r="E17" s="33" t="s">
        <v>135</v>
      </c>
      <c r="F17" s="32">
        <v>46081253</v>
      </c>
      <c r="G17" s="46"/>
      <c r="H17" s="46"/>
      <c r="I17" s="46"/>
      <c r="J17" s="46"/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10">
        <f t="shared" si="0"/>
        <v>13</v>
      </c>
      <c r="AL17" s="11">
        <v>32000</v>
      </c>
      <c r="AM17" s="12">
        <f t="shared" si="1"/>
        <v>416000</v>
      </c>
    </row>
    <row r="18" spans="1:39">
      <c r="A18" s="62" t="s">
        <v>871</v>
      </c>
      <c r="B18" s="32">
        <v>14</v>
      </c>
      <c r="C18" s="33" t="s">
        <v>418</v>
      </c>
      <c r="D18" s="33" t="s">
        <v>95</v>
      </c>
      <c r="E18" s="33" t="s">
        <v>25</v>
      </c>
      <c r="F18" s="32">
        <v>40769939</v>
      </c>
      <c r="G18" s="46"/>
      <c r="H18" s="46"/>
      <c r="I18" s="46"/>
      <c r="J18" s="46"/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10">
        <f t="shared" si="0"/>
        <v>14</v>
      </c>
      <c r="AL18" s="11">
        <v>32000</v>
      </c>
      <c r="AM18" s="12">
        <f t="shared" si="1"/>
        <v>448000</v>
      </c>
    </row>
    <row r="19" spans="1:39">
      <c r="A19" s="62" t="s">
        <v>871</v>
      </c>
      <c r="B19" s="32">
        <v>15</v>
      </c>
      <c r="C19" s="33" t="s">
        <v>164</v>
      </c>
      <c r="D19" s="33" t="s">
        <v>165</v>
      </c>
      <c r="E19" s="33" t="s">
        <v>166</v>
      </c>
      <c r="F19" s="32">
        <v>80088096</v>
      </c>
      <c r="G19" s="46"/>
      <c r="H19" s="46"/>
      <c r="I19" s="46"/>
      <c r="J19" s="46"/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10">
        <f t="shared" ref="AK19:AK21" si="2">SUM(G19:AJ19)</f>
        <v>13</v>
      </c>
      <c r="AL19" s="11">
        <v>32000</v>
      </c>
      <c r="AM19" s="12">
        <f t="shared" ref="AM19:AM21" si="3">AL19*AK19</f>
        <v>416000</v>
      </c>
    </row>
    <row r="20" spans="1:39">
      <c r="A20" s="62" t="s">
        <v>871</v>
      </c>
      <c r="B20" s="32">
        <v>15</v>
      </c>
      <c r="C20" s="33" t="s">
        <v>111</v>
      </c>
      <c r="D20" s="33" t="s">
        <v>889</v>
      </c>
      <c r="E20" s="33" t="s">
        <v>25</v>
      </c>
      <c r="F20" s="32">
        <v>444719257</v>
      </c>
      <c r="G20" s="46"/>
      <c r="H20" s="46"/>
      <c r="I20" s="46"/>
      <c r="J20" s="46"/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10">
        <f t="shared" si="2"/>
        <v>13</v>
      </c>
      <c r="AL20" s="11">
        <v>32000</v>
      </c>
      <c r="AM20" s="12">
        <f t="shared" si="3"/>
        <v>416000</v>
      </c>
    </row>
    <row r="21" spans="1:39">
      <c r="A21" s="62" t="s">
        <v>871</v>
      </c>
      <c r="B21" s="32">
        <v>16</v>
      </c>
      <c r="C21" s="33" t="s">
        <v>128</v>
      </c>
      <c r="D21" s="33" t="s">
        <v>158</v>
      </c>
      <c r="E21" s="33" t="s">
        <v>127</v>
      </c>
      <c r="F21" s="32">
        <v>44181783</v>
      </c>
      <c r="G21" s="46"/>
      <c r="H21" s="46"/>
      <c r="I21" s="46"/>
      <c r="J21" s="46"/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10">
        <f t="shared" si="2"/>
        <v>13</v>
      </c>
      <c r="AL21" s="11">
        <v>32000</v>
      </c>
      <c r="AM21" s="12">
        <f t="shared" si="3"/>
        <v>416000</v>
      </c>
    </row>
    <row r="22" spans="1:39">
      <c r="A22" s="62" t="s">
        <v>871</v>
      </c>
      <c r="B22" s="35">
        <v>16</v>
      </c>
      <c r="C22" s="36" t="s">
        <v>149</v>
      </c>
      <c r="D22" s="36" t="s">
        <v>46</v>
      </c>
      <c r="E22" s="36" t="s">
        <v>150</v>
      </c>
      <c r="F22" s="35">
        <v>9771848</v>
      </c>
      <c r="G22" s="53"/>
      <c r="H22" s="53"/>
      <c r="I22" s="53"/>
      <c r="J22" s="53"/>
      <c r="K22" s="37">
        <v>1</v>
      </c>
      <c r="L22" s="37">
        <v>1</v>
      </c>
      <c r="M22" s="37">
        <v>1</v>
      </c>
      <c r="N22" s="37">
        <v>1</v>
      </c>
      <c r="O22" s="37">
        <v>1</v>
      </c>
      <c r="P22" s="37">
        <v>1</v>
      </c>
      <c r="Q22" s="37">
        <v>1</v>
      </c>
      <c r="R22" s="37">
        <v>1</v>
      </c>
      <c r="S22" s="37">
        <v>1</v>
      </c>
      <c r="T22" s="37">
        <v>1</v>
      </c>
      <c r="U22" s="37">
        <v>1</v>
      </c>
      <c r="V22" s="37">
        <v>1</v>
      </c>
      <c r="W22" s="37">
        <v>1</v>
      </c>
      <c r="X22" s="68"/>
      <c r="Y22" s="67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10">
        <f t="shared" si="0"/>
        <v>13</v>
      </c>
      <c r="AL22" s="12">
        <v>32000</v>
      </c>
      <c r="AM22" s="12">
        <f t="shared" si="1"/>
        <v>416000</v>
      </c>
    </row>
    <row r="23" spans="1:39">
      <c r="A23" s="62" t="s">
        <v>871</v>
      </c>
      <c r="B23" s="35">
        <v>18</v>
      </c>
      <c r="C23" s="36" t="s">
        <v>152</v>
      </c>
      <c r="D23" s="36" t="s">
        <v>153</v>
      </c>
      <c r="E23" s="36" t="s">
        <v>154</v>
      </c>
      <c r="F23" s="35">
        <v>48343664</v>
      </c>
      <c r="G23" s="53"/>
      <c r="H23" s="53"/>
      <c r="I23" s="53"/>
      <c r="J23" s="53"/>
      <c r="K23" s="37">
        <v>1</v>
      </c>
      <c r="L23" s="37">
        <v>1</v>
      </c>
      <c r="M23" s="37">
        <v>1</v>
      </c>
      <c r="N23" s="37">
        <v>1</v>
      </c>
      <c r="O23" s="37">
        <v>1</v>
      </c>
      <c r="P23" s="37">
        <v>1</v>
      </c>
      <c r="Q23" s="37">
        <v>1</v>
      </c>
      <c r="R23" s="37">
        <v>1</v>
      </c>
      <c r="S23" s="37">
        <v>1</v>
      </c>
      <c r="T23" s="37">
        <v>1</v>
      </c>
      <c r="U23" s="37">
        <v>1</v>
      </c>
      <c r="V23" s="37">
        <v>1</v>
      </c>
      <c r="W23" s="37">
        <v>1</v>
      </c>
      <c r="X23" s="68"/>
      <c r="Y23" s="67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10">
        <f t="shared" si="0"/>
        <v>13</v>
      </c>
      <c r="AL23" s="12">
        <v>32000</v>
      </c>
      <c r="AM23" s="12">
        <f t="shared" si="1"/>
        <v>416000</v>
      </c>
    </row>
    <row r="24" spans="1:39">
      <c r="A24" s="62" t="s">
        <v>871</v>
      </c>
      <c r="B24" s="35">
        <v>18</v>
      </c>
      <c r="C24" s="36" t="s">
        <v>155</v>
      </c>
      <c r="D24" s="36" t="s">
        <v>156</v>
      </c>
      <c r="E24" s="36" t="s">
        <v>157</v>
      </c>
      <c r="F24" s="35">
        <v>45198592</v>
      </c>
      <c r="G24" s="53"/>
      <c r="H24" s="53"/>
      <c r="I24" s="53"/>
      <c r="J24" s="53"/>
      <c r="K24" s="37">
        <v>1</v>
      </c>
      <c r="L24" s="37">
        <v>1</v>
      </c>
      <c r="M24" s="37">
        <v>1</v>
      </c>
      <c r="N24" s="37">
        <v>1</v>
      </c>
      <c r="O24" s="37">
        <v>1</v>
      </c>
      <c r="P24" s="37">
        <v>1</v>
      </c>
      <c r="Q24" s="37">
        <v>1</v>
      </c>
      <c r="R24" s="37">
        <v>1</v>
      </c>
      <c r="S24" s="37">
        <v>1</v>
      </c>
      <c r="T24" s="37">
        <v>1</v>
      </c>
      <c r="U24" s="37">
        <v>1</v>
      </c>
      <c r="V24" s="37">
        <v>1</v>
      </c>
      <c r="W24" s="37">
        <v>1</v>
      </c>
      <c r="X24" s="68"/>
      <c r="Y24" s="67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10">
        <f t="shared" ref="AK24:AK46" si="4">SUM(G24:AJ24)</f>
        <v>13</v>
      </c>
      <c r="AL24" s="12">
        <v>32000</v>
      </c>
      <c r="AM24" s="12">
        <f t="shared" si="1"/>
        <v>416000</v>
      </c>
    </row>
    <row r="25" spans="1:39">
      <c r="A25" s="62" t="s">
        <v>871</v>
      </c>
      <c r="B25" s="35">
        <v>18</v>
      </c>
      <c r="C25" s="36" t="s">
        <v>417</v>
      </c>
      <c r="D25" s="36" t="s">
        <v>123</v>
      </c>
      <c r="E25" s="36" t="s">
        <v>11</v>
      </c>
      <c r="F25" s="35">
        <v>10523472</v>
      </c>
      <c r="G25" s="53"/>
      <c r="H25" s="53"/>
      <c r="I25" s="53"/>
      <c r="J25" s="53"/>
      <c r="K25" s="37">
        <v>1</v>
      </c>
      <c r="L25" s="37">
        <v>1</v>
      </c>
      <c r="M25" s="37">
        <v>1</v>
      </c>
      <c r="N25" s="37">
        <v>1</v>
      </c>
      <c r="O25" s="37">
        <v>1</v>
      </c>
      <c r="P25" s="37">
        <v>1</v>
      </c>
      <c r="Q25" s="37">
        <v>1</v>
      </c>
      <c r="R25" s="37">
        <v>1</v>
      </c>
      <c r="S25" s="37">
        <v>1</v>
      </c>
      <c r="T25" s="37">
        <v>1</v>
      </c>
      <c r="U25" s="37">
        <v>1</v>
      </c>
      <c r="V25" s="37">
        <v>1</v>
      </c>
      <c r="W25" s="37">
        <v>1</v>
      </c>
      <c r="X25" s="37">
        <v>1</v>
      </c>
      <c r="Y25" s="67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10">
        <f t="shared" si="4"/>
        <v>14</v>
      </c>
      <c r="AL25" s="12">
        <v>32000</v>
      </c>
      <c r="AM25" s="12">
        <f t="shared" si="1"/>
        <v>448000</v>
      </c>
    </row>
    <row r="26" spans="1:39">
      <c r="A26" s="62" t="s">
        <v>871</v>
      </c>
      <c r="B26" s="32">
        <v>19</v>
      </c>
      <c r="C26" s="33" t="s">
        <v>875</v>
      </c>
      <c r="D26" s="33" t="s">
        <v>147</v>
      </c>
      <c r="E26" s="33" t="s">
        <v>148</v>
      </c>
      <c r="F26" s="32">
        <v>41104021</v>
      </c>
      <c r="G26" s="46"/>
      <c r="H26" s="46"/>
      <c r="I26" s="46"/>
      <c r="J26" s="46"/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10">
        <f t="shared" si="4"/>
        <v>13</v>
      </c>
      <c r="AL26" s="11">
        <v>32000</v>
      </c>
      <c r="AM26" s="12">
        <f t="shared" si="1"/>
        <v>416000</v>
      </c>
    </row>
    <row r="27" spans="1:39">
      <c r="A27" s="62" t="s">
        <v>871</v>
      </c>
      <c r="B27" s="32">
        <v>19</v>
      </c>
      <c r="C27" s="33" t="s">
        <v>144</v>
      </c>
      <c r="D27" s="33" t="s">
        <v>145</v>
      </c>
      <c r="E27" s="33" t="s">
        <v>146</v>
      </c>
      <c r="F27" s="32">
        <v>336555392</v>
      </c>
      <c r="G27" s="46"/>
      <c r="H27" s="46"/>
      <c r="I27" s="46"/>
      <c r="J27" s="46"/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10">
        <f t="shared" si="4"/>
        <v>13</v>
      </c>
      <c r="AL27" s="11">
        <v>32000</v>
      </c>
      <c r="AM27" s="12">
        <f t="shared" si="1"/>
        <v>416000</v>
      </c>
    </row>
    <row r="28" spans="1:39">
      <c r="A28" s="62" t="s">
        <v>871</v>
      </c>
      <c r="B28" s="32">
        <v>20</v>
      </c>
      <c r="C28" s="33" t="s">
        <v>876</v>
      </c>
      <c r="D28" s="33" t="s">
        <v>140</v>
      </c>
      <c r="E28" s="33" t="s">
        <v>141</v>
      </c>
      <c r="F28" s="32">
        <v>10756831</v>
      </c>
      <c r="G28" s="46"/>
      <c r="H28" s="46"/>
      <c r="I28" s="46"/>
      <c r="J28" s="46"/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10">
        <f t="shared" si="4"/>
        <v>13</v>
      </c>
      <c r="AL28" s="11">
        <v>32000</v>
      </c>
      <c r="AM28" s="12">
        <f t="shared" si="1"/>
        <v>416000</v>
      </c>
    </row>
    <row r="29" spans="1:39">
      <c r="A29" s="62" t="s">
        <v>871</v>
      </c>
      <c r="B29" s="32">
        <v>20</v>
      </c>
      <c r="C29" s="33" t="s">
        <v>752</v>
      </c>
      <c r="D29" s="33" t="s">
        <v>151</v>
      </c>
      <c r="E29" s="33" t="s">
        <v>11</v>
      </c>
      <c r="F29" s="32">
        <v>44495014</v>
      </c>
      <c r="G29" s="46"/>
      <c r="H29" s="46"/>
      <c r="I29" s="46"/>
      <c r="J29" s="46"/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10">
        <f t="shared" si="4"/>
        <v>13</v>
      </c>
      <c r="AL29" s="11">
        <v>32000</v>
      </c>
      <c r="AM29" s="12">
        <f t="shared" si="1"/>
        <v>416000</v>
      </c>
    </row>
    <row r="30" spans="1:39">
      <c r="A30" s="62" t="s">
        <v>871</v>
      </c>
      <c r="B30" s="32">
        <v>21</v>
      </c>
      <c r="C30" s="33" t="s">
        <v>90</v>
      </c>
      <c r="D30" s="33" t="s">
        <v>138</v>
      </c>
      <c r="E30" s="33" t="s">
        <v>139</v>
      </c>
      <c r="F30" s="32">
        <v>3684789</v>
      </c>
      <c r="G30" s="46"/>
      <c r="H30" s="46"/>
      <c r="I30" s="46"/>
      <c r="J30" s="46"/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10">
        <f t="shared" si="4"/>
        <v>13</v>
      </c>
      <c r="AL30" s="11">
        <v>32000</v>
      </c>
      <c r="AM30" s="12">
        <f t="shared" si="1"/>
        <v>416000</v>
      </c>
    </row>
    <row r="31" spans="1:39">
      <c r="A31" s="62" t="s">
        <v>871</v>
      </c>
      <c r="B31" s="32">
        <v>21</v>
      </c>
      <c r="C31" s="33" t="s">
        <v>877</v>
      </c>
      <c r="D31" s="33" t="s">
        <v>136</v>
      </c>
      <c r="E31" s="33" t="s">
        <v>137</v>
      </c>
      <c r="F31" s="32">
        <v>10280884</v>
      </c>
      <c r="G31" s="46"/>
      <c r="H31" s="46"/>
      <c r="I31" s="46"/>
      <c r="J31" s="46"/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10">
        <f t="shared" si="4"/>
        <v>13</v>
      </c>
      <c r="AL31" s="11">
        <v>32000</v>
      </c>
      <c r="AM31" s="12">
        <f t="shared" si="1"/>
        <v>416000</v>
      </c>
    </row>
    <row r="32" spans="1:39">
      <c r="A32" s="62" t="s">
        <v>871</v>
      </c>
      <c r="B32" s="32">
        <v>24</v>
      </c>
      <c r="C32" s="33" t="s">
        <v>409</v>
      </c>
      <c r="D32" s="33" t="s">
        <v>162</v>
      </c>
      <c r="E32" s="33" t="s">
        <v>22</v>
      </c>
      <c r="F32" s="32">
        <v>43811755</v>
      </c>
      <c r="G32" s="46"/>
      <c r="H32" s="46"/>
      <c r="I32" s="46"/>
      <c r="J32" s="46"/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10">
        <f t="shared" si="4"/>
        <v>14</v>
      </c>
      <c r="AL32" s="11">
        <v>32000</v>
      </c>
      <c r="AM32" s="12">
        <f t="shared" si="1"/>
        <v>448000</v>
      </c>
    </row>
    <row r="33" spans="1:40">
      <c r="A33" s="62" t="s">
        <v>871</v>
      </c>
      <c r="B33" s="32">
        <v>24</v>
      </c>
      <c r="C33" s="33" t="s">
        <v>410</v>
      </c>
      <c r="D33" s="33" t="s">
        <v>411</v>
      </c>
      <c r="E33" s="33" t="s">
        <v>878</v>
      </c>
      <c r="F33" s="32">
        <v>41340550</v>
      </c>
      <c r="G33" s="46"/>
      <c r="H33" s="46"/>
      <c r="I33" s="46"/>
      <c r="J33" s="46"/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10">
        <f t="shared" si="4"/>
        <v>14</v>
      </c>
      <c r="AL33" s="11">
        <v>32000</v>
      </c>
      <c r="AM33" s="12">
        <f t="shared" si="1"/>
        <v>448000</v>
      </c>
    </row>
    <row r="34" spans="1:40">
      <c r="A34" s="62" t="s">
        <v>871</v>
      </c>
      <c r="B34" s="32">
        <v>25</v>
      </c>
      <c r="C34" s="33" t="s">
        <v>879</v>
      </c>
      <c r="D34" s="33" t="s">
        <v>299</v>
      </c>
      <c r="E34" s="33" t="s">
        <v>408</v>
      </c>
      <c r="F34" s="32">
        <v>42606296</v>
      </c>
      <c r="G34" s="46"/>
      <c r="H34" s="46"/>
      <c r="I34" s="46"/>
      <c r="J34" s="46"/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10">
        <f t="shared" si="4"/>
        <v>14</v>
      </c>
      <c r="AL34" s="11">
        <v>32000</v>
      </c>
      <c r="AM34" s="12">
        <f t="shared" si="1"/>
        <v>448000</v>
      </c>
    </row>
    <row r="35" spans="1:40">
      <c r="A35" s="62" t="s">
        <v>871</v>
      </c>
      <c r="B35" s="32">
        <v>25</v>
      </c>
      <c r="C35" s="33" t="s">
        <v>405</v>
      </c>
      <c r="D35" s="33" t="s">
        <v>514</v>
      </c>
      <c r="E35" s="33" t="s">
        <v>407</v>
      </c>
      <c r="F35" s="32">
        <v>48311078</v>
      </c>
      <c r="G35" s="46"/>
      <c r="H35" s="46"/>
      <c r="I35" s="46"/>
      <c r="J35" s="46"/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10">
        <f t="shared" si="4"/>
        <v>14</v>
      </c>
      <c r="AL35" s="11">
        <v>32000</v>
      </c>
      <c r="AM35" s="12">
        <f t="shared" si="1"/>
        <v>448000</v>
      </c>
    </row>
    <row r="36" spans="1:40">
      <c r="A36" s="62" t="s">
        <v>871</v>
      </c>
      <c r="B36" s="32">
        <v>26</v>
      </c>
      <c r="C36" s="33" t="s">
        <v>16</v>
      </c>
      <c r="D36" s="33" t="s">
        <v>125</v>
      </c>
      <c r="E36" s="33" t="s">
        <v>126</v>
      </c>
      <c r="F36" s="32">
        <v>336557895</v>
      </c>
      <c r="G36" s="46"/>
      <c r="H36" s="46"/>
      <c r="I36" s="46"/>
      <c r="J36" s="46"/>
      <c r="K36" s="34">
        <v>1</v>
      </c>
      <c r="L36" s="34">
        <v>1</v>
      </c>
      <c r="M36" s="34">
        <v>1</v>
      </c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10">
        <f t="shared" ref="AK36:AK40" si="5">SUM(G36:AJ36)</f>
        <v>13</v>
      </c>
      <c r="AL36" s="11">
        <v>32000</v>
      </c>
      <c r="AM36" s="12">
        <f t="shared" ref="AM36:AM40" si="6">AL36*AK36</f>
        <v>416000</v>
      </c>
    </row>
    <row r="37" spans="1:40">
      <c r="A37" s="62" t="s">
        <v>871</v>
      </c>
      <c r="B37" s="32">
        <v>26</v>
      </c>
      <c r="C37" s="33" t="s">
        <v>130</v>
      </c>
      <c r="D37" s="33" t="s">
        <v>131</v>
      </c>
      <c r="E37" s="33" t="s">
        <v>132</v>
      </c>
      <c r="F37" s="32">
        <v>444849118</v>
      </c>
      <c r="G37" s="46"/>
      <c r="H37" s="46"/>
      <c r="I37" s="46"/>
      <c r="J37" s="46"/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10">
        <f t="shared" si="5"/>
        <v>13</v>
      </c>
      <c r="AL37" s="11">
        <v>32000</v>
      </c>
      <c r="AM37" s="12">
        <f t="shared" si="6"/>
        <v>416000</v>
      </c>
    </row>
    <row r="38" spans="1:40">
      <c r="A38" s="62" t="s">
        <v>871</v>
      </c>
      <c r="B38" s="32">
        <v>27</v>
      </c>
      <c r="C38" s="33" t="s">
        <v>885</v>
      </c>
      <c r="D38" s="33" t="s">
        <v>128</v>
      </c>
      <c r="E38" s="33" t="s">
        <v>886</v>
      </c>
      <c r="F38" s="32">
        <v>336557623</v>
      </c>
      <c r="G38" s="46"/>
      <c r="H38" s="46"/>
      <c r="I38" s="46"/>
      <c r="J38" s="46"/>
      <c r="K38" s="34">
        <v>1</v>
      </c>
      <c r="L38" s="34">
        <v>1</v>
      </c>
      <c r="M38" s="34">
        <v>1</v>
      </c>
      <c r="N38" s="34">
        <v>1</v>
      </c>
      <c r="O38" s="34">
        <v>1</v>
      </c>
      <c r="P38" s="34">
        <v>1</v>
      </c>
      <c r="Q38" s="34">
        <v>1</v>
      </c>
      <c r="R38" s="34">
        <v>1</v>
      </c>
      <c r="S38" s="34">
        <v>1</v>
      </c>
      <c r="T38" s="34">
        <v>1</v>
      </c>
      <c r="U38" s="34">
        <v>1</v>
      </c>
      <c r="V38" s="34">
        <v>1</v>
      </c>
      <c r="W38" s="34">
        <v>1</v>
      </c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10">
        <f t="shared" si="5"/>
        <v>13</v>
      </c>
      <c r="AL38" s="11">
        <v>32000</v>
      </c>
      <c r="AM38" s="12">
        <f t="shared" si="6"/>
        <v>416000</v>
      </c>
    </row>
    <row r="39" spans="1:40">
      <c r="A39" s="62" t="s">
        <v>871</v>
      </c>
      <c r="B39" s="32">
        <v>27</v>
      </c>
      <c r="C39" s="33" t="s">
        <v>887</v>
      </c>
      <c r="D39" s="33" t="s">
        <v>888</v>
      </c>
      <c r="E39" s="33" t="s">
        <v>127</v>
      </c>
      <c r="F39" s="32">
        <v>444849967</v>
      </c>
      <c r="G39" s="46"/>
      <c r="H39" s="46"/>
      <c r="I39" s="46"/>
      <c r="J39" s="46"/>
      <c r="K39" s="34">
        <v>1</v>
      </c>
      <c r="L39" s="34">
        <v>1</v>
      </c>
      <c r="M39" s="34">
        <v>1</v>
      </c>
      <c r="N39" s="34">
        <v>1</v>
      </c>
      <c r="O39" s="34">
        <v>1</v>
      </c>
      <c r="P39" s="34">
        <v>1</v>
      </c>
      <c r="Q39" s="34">
        <v>1</v>
      </c>
      <c r="R39" s="34">
        <v>1</v>
      </c>
      <c r="S39" s="34">
        <v>1</v>
      </c>
      <c r="T39" s="34">
        <v>1</v>
      </c>
      <c r="U39" s="34">
        <v>1</v>
      </c>
      <c r="V39" s="34">
        <v>1</v>
      </c>
      <c r="W39" s="34">
        <v>1</v>
      </c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10">
        <f t="shared" si="5"/>
        <v>13</v>
      </c>
      <c r="AL39" s="11">
        <v>32000</v>
      </c>
      <c r="AM39" s="12">
        <f t="shared" si="6"/>
        <v>416000</v>
      </c>
    </row>
    <row r="40" spans="1:40">
      <c r="A40" s="62" t="s">
        <v>871</v>
      </c>
      <c r="B40" s="32">
        <v>28</v>
      </c>
      <c r="C40" s="33" t="s">
        <v>400</v>
      </c>
      <c r="D40" s="33" t="s">
        <v>401</v>
      </c>
      <c r="E40" s="33" t="s">
        <v>402</v>
      </c>
      <c r="F40" s="32">
        <v>43530762</v>
      </c>
      <c r="G40" s="46"/>
      <c r="H40" s="46"/>
      <c r="I40" s="46"/>
      <c r="J40" s="46"/>
      <c r="K40" s="34">
        <v>1</v>
      </c>
      <c r="L40" s="34">
        <v>1</v>
      </c>
      <c r="M40" s="34">
        <v>1</v>
      </c>
      <c r="N40" s="34">
        <v>1</v>
      </c>
      <c r="O40" s="34">
        <v>1</v>
      </c>
      <c r="P40" s="34">
        <v>1</v>
      </c>
      <c r="Q40" s="34">
        <v>1</v>
      </c>
      <c r="R40" s="34">
        <v>1</v>
      </c>
      <c r="S40" s="34">
        <v>1</v>
      </c>
      <c r="T40" s="34">
        <v>1</v>
      </c>
      <c r="U40" s="34">
        <v>1</v>
      </c>
      <c r="V40" s="34">
        <v>1</v>
      </c>
      <c r="W40" s="34">
        <v>1</v>
      </c>
      <c r="X40" s="34">
        <v>1</v>
      </c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10">
        <f t="shared" si="5"/>
        <v>14</v>
      </c>
      <c r="AL40" s="11">
        <v>32000</v>
      </c>
      <c r="AM40" s="12">
        <f t="shared" si="6"/>
        <v>448000</v>
      </c>
    </row>
    <row r="41" spans="1:40">
      <c r="A41" s="62" t="s">
        <v>871</v>
      </c>
      <c r="B41" s="32">
        <v>28</v>
      </c>
      <c r="C41" s="33" t="s">
        <v>880</v>
      </c>
      <c r="D41" s="33" t="s">
        <v>403</v>
      </c>
      <c r="E41" s="33" t="s">
        <v>404</v>
      </c>
      <c r="F41" s="32">
        <v>15427557</v>
      </c>
      <c r="G41" s="46"/>
      <c r="H41" s="46"/>
      <c r="I41" s="46"/>
      <c r="J41" s="46"/>
      <c r="K41" s="34">
        <v>1</v>
      </c>
      <c r="L41" s="34">
        <v>1</v>
      </c>
      <c r="M41" s="34">
        <v>1</v>
      </c>
      <c r="N41" s="34">
        <v>1</v>
      </c>
      <c r="O41" s="34">
        <v>1</v>
      </c>
      <c r="P41" s="34">
        <v>1</v>
      </c>
      <c r="Q41" s="34">
        <v>1</v>
      </c>
      <c r="R41" s="34">
        <v>1</v>
      </c>
      <c r="S41" s="34">
        <v>1</v>
      </c>
      <c r="T41" s="34">
        <v>1</v>
      </c>
      <c r="U41" s="34">
        <v>1</v>
      </c>
      <c r="V41" s="34">
        <v>1</v>
      </c>
      <c r="W41" s="34">
        <v>1</v>
      </c>
      <c r="X41" s="34">
        <v>1</v>
      </c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10">
        <f t="shared" si="4"/>
        <v>14</v>
      </c>
      <c r="AL41" s="11">
        <v>32000</v>
      </c>
      <c r="AM41" s="12">
        <f t="shared" si="1"/>
        <v>448000</v>
      </c>
    </row>
    <row r="42" spans="1:40">
      <c r="A42" s="62" t="s">
        <v>871</v>
      </c>
      <c r="B42" s="32">
        <v>28</v>
      </c>
      <c r="C42" s="33" t="s">
        <v>159</v>
      </c>
      <c r="D42" s="33" t="s">
        <v>160</v>
      </c>
      <c r="E42" s="33" t="s">
        <v>881</v>
      </c>
      <c r="F42" s="32">
        <v>23258255</v>
      </c>
      <c r="G42" s="46"/>
      <c r="H42" s="46"/>
      <c r="I42" s="46"/>
      <c r="J42" s="46"/>
      <c r="K42" s="34">
        <v>1</v>
      </c>
      <c r="L42" s="34">
        <v>1</v>
      </c>
      <c r="M42" s="34">
        <v>1</v>
      </c>
      <c r="N42" s="34">
        <v>1</v>
      </c>
      <c r="O42" s="34">
        <v>1</v>
      </c>
      <c r="P42" s="34">
        <v>1</v>
      </c>
      <c r="Q42" s="34">
        <v>1</v>
      </c>
      <c r="R42" s="34">
        <v>1</v>
      </c>
      <c r="S42" s="34">
        <v>1</v>
      </c>
      <c r="T42" s="34">
        <v>1</v>
      </c>
      <c r="U42" s="34">
        <v>1</v>
      </c>
      <c r="V42" s="34">
        <v>1</v>
      </c>
      <c r="W42" s="34">
        <v>1</v>
      </c>
      <c r="X42" s="34">
        <v>1</v>
      </c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10">
        <f t="shared" si="4"/>
        <v>14</v>
      </c>
      <c r="AL42" s="11">
        <v>32000</v>
      </c>
      <c r="AM42" s="12">
        <f t="shared" si="1"/>
        <v>448000</v>
      </c>
    </row>
    <row r="43" spans="1:40">
      <c r="A43" s="62" t="s">
        <v>871</v>
      </c>
      <c r="B43" s="32">
        <v>29</v>
      </c>
      <c r="C43" s="33" t="s">
        <v>514</v>
      </c>
      <c r="D43" s="33" t="s">
        <v>421</v>
      </c>
      <c r="E43" s="33" t="s">
        <v>422</v>
      </c>
      <c r="F43" s="32">
        <v>44790108</v>
      </c>
      <c r="G43" s="46"/>
      <c r="H43" s="46"/>
      <c r="I43" s="46"/>
      <c r="J43" s="46"/>
      <c r="K43" s="34">
        <v>1</v>
      </c>
      <c r="L43" s="34">
        <v>1</v>
      </c>
      <c r="M43" s="34">
        <v>1</v>
      </c>
      <c r="N43" s="34">
        <v>1</v>
      </c>
      <c r="O43" s="34">
        <v>1</v>
      </c>
      <c r="P43" s="34">
        <v>1</v>
      </c>
      <c r="Q43" s="34">
        <v>1</v>
      </c>
      <c r="R43" s="34">
        <v>1</v>
      </c>
      <c r="S43" s="34">
        <v>1</v>
      </c>
      <c r="T43" s="34">
        <v>1</v>
      </c>
      <c r="U43" s="34">
        <v>1</v>
      </c>
      <c r="V43" s="34">
        <v>1</v>
      </c>
      <c r="W43" s="34">
        <v>1</v>
      </c>
      <c r="X43" s="34">
        <v>1</v>
      </c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10">
        <f t="shared" si="4"/>
        <v>14</v>
      </c>
      <c r="AL43" s="11">
        <v>32000</v>
      </c>
      <c r="AM43" s="12">
        <f t="shared" si="1"/>
        <v>448000</v>
      </c>
    </row>
    <row r="44" spans="1:40">
      <c r="A44" s="62" t="s">
        <v>871</v>
      </c>
      <c r="B44" s="32">
        <v>29</v>
      </c>
      <c r="C44" s="33" t="s">
        <v>391</v>
      </c>
      <c r="D44" s="33" t="s">
        <v>123</v>
      </c>
      <c r="E44" s="33" t="s">
        <v>423</v>
      </c>
      <c r="F44" s="32">
        <v>9311864</v>
      </c>
      <c r="G44" s="46"/>
      <c r="H44" s="46"/>
      <c r="I44" s="46"/>
      <c r="J44" s="46"/>
      <c r="K44" s="34">
        <v>1</v>
      </c>
      <c r="L44" s="34">
        <v>1</v>
      </c>
      <c r="M44" s="34">
        <v>1</v>
      </c>
      <c r="N44" s="34">
        <v>1</v>
      </c>
      <c r="O44" s="34">
        <v>1</v>
      </c>
      <c r="P44" s="34">
        <v>1</v>
      </c>
      <c r="Q44" s="34">
        <v>1</v>
      </c>
      <c r="R44" s="34">
        <v>1</v>
      </c>
      <c r="S44" s="34">
        <v>1</v>
      </c>
      <c r="T44" s="34">
        <v>1</v>
      </c>
      <c r="U44" s="34">
        <v>1</v>
      </c>
      <c r="V44" s="34">
        <v>1</v>
      </c>
      <c r="W44" s="34">
        <v>1</v>
      </c>
      <c r="X44" s="34">
        <v>1</v>
      </c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10">
        <f t="shared" si="4"/>
        <v>14</v>
      </c>
      <c r="AL44" s="11">
        <v>32000</v>
      </c>
      <c r="AM44" s="12">
        <f t="shared" si="1"/>
        <v>448000</v>
      </c>
    </row>
    <row r="45" spans="1:40">
      <c r="A45" s="62" t="s">
        <v>871</v>
      </c>
      <c r="B45" s="32">
        <v>30</v>
      </c>
      <c r="C45" s="33" t="s">
        <v>397</v>
      </c>
      <c r="D45" s="33" t="s">
        <v>882</v>
      </c>
      <c r="E45" s="33" t="s">
        <v>398</v>
      </c>
      <c r="F45" s="32">
        <v>10646296</v>
      </c>
      <c r="G45" s="46"/>
      <c r="H45" s="46"/>
      <c r="I45" s="46"/>
      <c r="J45" s="46"/>
      <c r="K45" s="34">
        <v>1</v>
      </c>
      <c r="L45" s="34">
        <v>1</v>
      </c>
      <c r="M45" s="34">
        <v>1</v>
      </c>
      <c r="N45" s="34">
        <v>1</v>
      </c>
      <c r="O45" s="34">
        <v>1</v>
      </c>
      <c r="P45" s="34">
        <v>1</v>
      </c>
      <c r="Q45" s="34">
        <v>1</v>
      </c>
      <c r="R45" s="34">
        <v>1</v>
      </c>
      <c r="S45" s="34">
        <v>1</v>
      </c>
      <c r="T45" s="34">
        <v>1</v>
      </c>
      <c r="U45" s="34">
        <v>1</v>
      </c>
      <c r="V45" s="34">
        <v>1</v>
      </c>
      <c r="W45" s="34">
        <v>1</v>
      </c>
      <c r="X45" s="34">
        <v>1</v>
      </c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10">
        <f t="shared" si="4"/>
        <v>14</v>
      </c>
      <c r="AL45" s="11">
        <v>32000</v>
      </c>
      <c r="AM45" s="12">
        <f t="shared" si="1"/>
        <v>448000</v>
      </c>
    </row>
    <row r="46" spans="1:40">
      <c r="A46" s="62" t="s">
        <v>871</v>
      </c>
      <c r="B46" s="32">
        <v>30</v>
      </c>
      <c r="C46" s="33" t="s">
        <v>399</v>
      </c>
      <c r="D46" s="33" t="s">
        <v>123</v>
      </c>
      <c r="E46" s="33" t="s">
        <v>215</v>
      </c>
      <c r="F46" s="32">
        <v>42293469</v>
      </c>
      <c r="G46" s="46"/>
      <c r="H46" s="46"/>
      <c r="I46" s="46"/>
      <c r="J46" s="46"/>
      <c r="K46" s="34">
        <v>1</v>
      </c>
      <c r="L46" s="34">
        <v>1</v>
      </c>
      <c r="M46" s="34">
        <v>1</v>
      </c>
      <c r="N46" s="34">
        <v>1</v>
      </c>
      <c r="O46" s="34">
        <v>1</v>
      </c>
      <c r="P46" s="34">
        <v>1</v>
      </c>
      <c r="Q46" s="34">
        <v>1</v>
      </c>
      <c r="R46" s="34">
        <v>1</v>
      </c>
      <c r="S46" s="34">
        <v>1</v>
      </c>
      <c r="T46" s="34">
        <v>1</v>
      </c>
      <c r="U46" s="34">
        <v>1</v>
      </c>
      <c r="V46" s="34">
        <v>1</v>
      </c>
      <c r="W46" s="34">
        <v>1</v>
      </c>
      <c r="X46" s="34">
        <v>1</v>
      </c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10">
        <f t="shared" si="4"/>
        <v>14</v>
      </c>
      <c r="AL46" s="11">
        <v>32000</v>
      </c>
      <c r="AM46" s="12">
        <f t="shared" si="1"/>
        <v>448000</v>
      </c>
    </row>
    <row r="47" spans="1:40" ht="12.75" customHeight="1">
      <c r="A47" s="40"/>
      <c r="B47" s="40"/>
      <c r="C47" s="41"/>
      <c r="D47" s="41"/>
      <c r="E47" s="41"/>
      <c r="F47" s="40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42"/>
      <c r="AL47" s="43"/>
      <c r="AM47" s="43"/>
    </row>
    <row r="48" spans="1:40">
      <c r="A48" s="3"/>
      <c r="G48" s="16">
        <f>SUM(G10:G47)</f>
        <v>0</v>
      </c>
      <c r="H48" s="16">
        <f t="shared" ref="H48:AJ48" si="7">SUM(H10:H47)</f>
        <v>0</v>
      </c>
      <c r="I48" s="16">
        <f t="shared" si="7"/>
        <v>0</v>
      </c>
      <c r="J48" s="16">
        <f t="shared" si="7"/>
        <v>0</v>
      </c>
      <c r="K48" s="16">
        <f t="shared" si="7"/>
        <v>37</v>
      </c>
      <c r="L48" s="16">
        <f t="shared" si="7"/>
        <v>37</v>
      </c>
      <c r="M48" s="16">
        <f t="shared" si="7"/>
        <v>37</v>
      </c>
      <c r="N48" s="16">
        <f t="shared" si="7"/>
        <v>37</v>
      </c>
      <c r="O48" s="16">
        <f t="shared" si="7"/>
        <v>37</v>
      </c>
      <c r="P48" s="16">
        <f t="shared" si="7"/>
        <v>37</v>
      </c>
      <c r="Q48" s="16">
        <f t="shared" si="7"/>
        <v>37</v>
      </c>
      <c r="R48" s="16">
        <f t="shared" si="7"/>
        <v>37</v>
      </c>
      <c r="S48" s="16">
        <f t="shared" si="7"/>
        <v>37</v>
      </c>
      <c r="T48" s="16">
        <f t="shared" si="7"/>
        <v>37</v>
      </c>
      <c r="U48" s="16">
        <f t="shared" si="7"/>
        <v>37</v>
      </c>
      <c r="V48" s="16">
        <f t="shared" si="7"/>
        <v>37</v>
      </c>
      <c r="W48" s="16">
        <f t="shared" si="7"/>
        <v>37</v>
      </c>
      <c r="X48" s="16">
        <f t="shared" si="7"/>
        <v>17</v>
      </c>
      <c r="Y48" s="16">
        <f t="shared" si="7"/>
        <v>0</v>
      </c>
      <c r="Z48" s="16">
        <f t="shared" si="7"/>
        <v>0</v>
      </c>
      <c r="AA48" s="16">
        <f t="shared" si="7"/>
        <v>0</v>
      </c>
      <c r="AB48" s="16">
        <f t="shared" si="7"/>
        <v>0</v>
      </c>
      <c r="AC48" s="16">
        <f t="shared" si="7"/>
        <v>0</v>
      </c>
      <c r="AD48" s="16">
        <f t="shared" si="7"/>
        <v>0</v>
      </c>
      <c r="AE48" s="16">
        <f t="shared" si="7"/>
        <v>0</v>
      </c>
      <c r="AF48" s="16">
        <f t="shared" si="7"/>
        <v>0</v>
      </c>
      <c r="AG48" s="16">
        <f t="shared" si="7"/>
        <v>0</v>
      </c>
      <c r="AH48" s="16">
        <f t="shared" si="7"/>
        <v>0</v>
      </c>
      <c r="AI48" s="16">
        <f t="shared" si="7"/>
        <v>0</v>
      </c>
      <c r="AJ48" s="16">
        <f t="shared" si="7"/>
        <v>0</v>
      </c>
      <c r="AK48" s="16">
        <f t="shared" ref="AK48" si="8">SUM(AK10:AK47)</f>
        <v>498</v>
      </c>
      <c r="AN48" s="3" t="s">
        <v>30</v>
      </c>
    </row>
    <row r="49" spans="1:42">
      <c r="A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42">
      <c r="A50" s="3"/>
      <c r="AL50" s="17" t="s">
        <v>31</v>
      </c>
      <c r="AM50" s="18">
        <f>SUM(AM10:AM49)</f>
        <v>15936000</v>
      </c>
    </row>
    <row r="51" spans="1:42" ht="17.25" customHeight="1" thickBot="1">
      <c r="A51" s="19"/>
      <c r="B51" s="20"/>
      <c r="C51" s="19"/>
      <c r="D51" s="19"/>
      <c r="E51" s="19"/>
    </row>
    <row r="52" spans="1:42" ht="17.25" customHeight="1" thickBot="1">
      <c r="A52" s="116" t="s">
        <v>124</v>
      </c>
      <c r="B52" s="116"/>
      <c r="C52" s="116"/>
      <c r="D52" s="116"/>
      <c r="E52" s="116"/>
      <c r="F52" s="116"/>
      <c r="G52" s="99">
        <v>45809</v>
      </c>
      <c r="H52" s="99">
        <v>45810</v>
      </c>
      <c r="I52" s="99">
        <v>45811</v>
      </c>
      <c r="J52" s="99">
        <v>45812</v>
      </c>
      <c r="K52" s="99">
        <v>45813</v>
      </c>
      <c r="L52" s="99">
        <v>45814</v>
      </c>
      <c r="M52" s="99">
        <v>45815</v>
      </c>
      <c r="N52" s="99">
        <v>45816</v>
      </c>
      <c r="O52" s="99">
        <v>45817</v>
      </c>
      <c r="P52" s="99">
        <v>45818</v>
      </c>
      <c r="Q52" s="99">
        <v>45819</v>
      </c>
      <c r="R52" s="99">
        <v>45820</v>
      </c>
      <c r="S52" s="99">
        <v>45821</v>
      </c>
      <c r="T52" s="99">
        <v>45822</v>
      </c>
      <c r="U52" s="99">
        <v>45823</v>
      </c>
      <c r="V52" s="99">
        <v>45824</v>
      </c>
      <c r="W52" s="99">
        <v>45825</v>
      </c>
      <c r="X52" s="99">
        <v>45826</v>
      </c>
      <c r="Y52" s="99">
        <v>45827</v>
      </c>
      <c r="Z52" s="99">
        <v>45828</v>
      </c>
      <c r="AA52" s="99">
        <v>45829</v>
      </c>
      <c r="AB52" s="99">
        <v>45830</v>
      </c>
      <c r="AC52" s="99">
        <v>45831</v>
      </c>
      <c r="AD52" s="99">
        <v>45832</v>
      </c>
      <c r="AE52" s="99">
        <v>45833</v>
      </c>
      <c r="AF52" s="99">
        <v>45834</v>
      </c>
      <c r="AG52" s="99">
        <v>45835</v>
      </c>
      <c r="AH52" s="99">
        <v>45836</v>
      </c>
      <c r="AI52" s="99">
        <v>45837</v>
      </c>
      <c r="AJ52" s="99">
        <v>45838</v>
      </c>
      <c r="AK52" s="94" t="s">
        <v>735</v>
      </c>
      <c r="AL52" s="94"/>
      <c r="AM52" s="94"/>
    </row>
    <row r="53" spans="1:42" ht="12.75" customHeight="1" thickBot="1">
      <c r="A53" s="116"/>
      <c r="B53" s="116"/>
      <c r="C53" s="116"/>
      <c r="D53" s="116"/>
      <c r="E53" s="116"/>
      <c r="F53" s="116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4"/>
      <c r="AL53" s="94"/>
      <c r="AM53" s="94"/>
    </row>
    <row r="54" spans="1:42" ht="11.25" hidden="1" customHeight="1" thickBot="1">
      <c r="A54" s="116"/>
      <c r="B54" s="116"/>
      <c r="C54" s="116"/>
      <c r="D54" s="116"/>
      <c r="E54" s="116"/>
      <c r="F54" s="116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4"/>
      <c r="AL54" s="94"/>
      <c r="AM54" s="94"/>
    </row>
    <row r="55" spans="1:42" ht="17.25" customHeight="1">
      <c r="A55" s="120" t="s">
        <v>32</v>
      </c>
      <c r="B55" s="120"/>
      <c r="C55" s="120"/>
      <c r="D55" s="120"/>
      <c r="E55" s="120"/>
      <c r="F55" s="120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21" t="s">
        <v>5</v>
      </c>
      <c r="AL55" s="21" t="s">
        <v>6</v>
      </c>
      <c r="AM55" s="22" t="s">
        <v>7</v>
      </c>
    </row>
    <row r="56" spans="1:42" ht="17.25" customHeight="1">
      <c r="A56" s="23">
        <v>1</v>
      </c>
      <c r="B56" s="121" t="s">
        <v>33</v>
      </c>
      <c r="C56" s="121"/>
      <c r="D56" s="121"/>
      <c r="E56" s="121"/>
      <c r="F56" s="121"/>
      <c r="G56" s="50"/>
      <c r="H56" s="50"/>
      <c r="I56" s="50"/>
      <c r="J56" s="50"/>
      <c r="K56" s="44">
        <v>35</v>
      </c>
      <c r="L56" s="44">
        <v>10</v>
      </c>
      <c r="M56" s="44">
        <v>9</v>
      </c>
      <c r="N56" s="44">
        <v>5</v>
      </c>
      <c r="O56" s="44">
        <v>5</v>
      </c>
      <c r="P56" s="44">
        <v>17</v>
      </c>
      <c r="Q56" s="44">
        <v>20</v>
      </c>
      <c r="R56" s="44">
        <v>14</v>
      </c>
      <c r="S56" s="44">
        <v>17</v>
      </c>
      <c r="T56" s="44">
        <v>14</v>
      </c>
      <c r="U56" s="44">
        <v>19</v>
      </c>
      <c r="V56" s="44">
        <v>19</v>
      </c>
      <c r="W56" s="44">
        <v>18</v>
      </c>
      <c r="X56" s="44">
        <v>10</v>
      </c>
      <c r="Y56" s="44">
        <v>14</v>
      </c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24">
        <f>SUM(G56:AJ56)</f>
        <v>226</v>
      </c>
      <c r="AL56" s="15">
        <v>8500</v>
      </c>
      <c r="AM56" s="15">
        <f>AL56*AK56</f>
        <v>1921000</v>
      </c>
    </row>
    <row r="58" spans="1:42" ht="11.25" customHeight="1">
      <c r="AK58" s="25"/>
      <c r="AL58" s="26" t="s">
        <v>34</v>
      </c>
      <c r="AM58" s="27">
        <f>AM50</f>
        <v>15936000</v>
      </c>
      <c r="AN58" s="25"/>
    </row>
    <row r="59" spans="1:42" ht="11.25" customHeight="1">
      <c r="AK59" s="25"/>
      <c r="AL59" s="26" t="s">
        <v>33</v>
      </c>
      <c r="AM59" s="27">
        <f>AM56</f>
        <v>1921000</v>
      </c>
      <c r="AN59" s="25"/>
    </row>
    <row r="60" spans="1:42" ht="14.25" customHeight="1">
      <c r="AK60" s="25"/>
      <c r="AL60" s="28"/>
      <c r="AM60" s="28"/>
      <c r="AN60" s="25"/>
    </row>
    <row r="61" spans="1:42" ht="14.25" customHeight="1">
      <c r="AK61" s="25"/>
      <c r="AL61" s="25"/>
      <c r="AM61" s="25"/>
      <c r="AN61" s="25"/>
      <c r="AO61" s="2"/>
      <c r="AP61" s="2"/>
    </row>
    <row r="62" spans="1:42" ht="14.25" customHeight="1">
      <c r="AK62" s="25"/>
      <c r="AL62" s="25"/>
      <c r="AM62" s="25"/>
      <c r="AN62" s="25"/>
      <c r="AO62" s="2"/>
      <c r="AP62" s="2"/>
    </row>
    <row r="63" spans="1:42" ht="14.25" customHeight="1">
      <c r="AK63" s="28"/>
      <c r="AN63" s="28"/>
      <c r="AO63" s="2"/>
      <c r="AP63" s="2"/>
    </row>
    <row r="64" spans="1:42" ht="14.25" customHeight="1">
      <c r="AK64" s="25"/>
      <c r="AN64" s="25"/>
      <c r="AO64" s="31"/>
      <c r="AP64" s="31"/>
    </row>
    <row r="65" spans="3:42" ht="14.25" customHeight="1">
      <c r="AK65" s="25"/>
      <c r="AN65" s="25"/>
      <c r="AO65" s="31"/>
      <c r="AP65" s="31"/>
    </row>
    <row r="66" spans="3:42" ht="14.25" customHeight="1">
      <c r="AK66" s="25"/>
      <c r="AN66" s="25"/>
    </row>
    <row r="67" spans="3:42" ht="20.25">
      <c r="AK67" s="25"/>
      <c r="AN67" s="25"/>
    </row>
    <row r="68" spans="3:42" ht="20.25">
      <c r="AK68" s="25"/>
      <c r="AN68" s="25"/>
    </row>
    <row r="70" spans="3:42">
      <c r="C70" s="95"/>
      <c r="D70" s="95"/>
    </row>
  </sheetData>
  <autoFilter ref="AK9:AM9" xr:uid="{00000000-0001-0000-0000-000000000000}"/>
  <mergeCells count="70">
    <mergeCell ref="B56:F56"/>
    <mergeCell ref="C70:D70"/>
    <mergeCell ref="AG52:AG55"/>
    <mergeCell ref="AH52:AH55"/>
    <mergeCell ref="AI52:AI55"/>
    <mergeCell ref="P52:P55"/>
    <mergeCell ref="Q52:Q55"/>
    <mergeCell ref="R52:R55"/>
    <mergeCell ref="S52:S55"/>
    <mergeCell ref="T52:T55"/>
    <mergeCell ref="AJ52:AJ55"/>
    <mergeCell ref="AK52:AM54"/>
    <mergeCell ref="A55:F55"/>
    <mergeCell ref="AA52:AA55"/>
    <mergeCell ref="AB52:AB55"/>
    <mergeCell ref="AC52:AC55"/>
    <mergeCell ref="AD52:AD55"/>
    <mergeCell ref="AE52:AE55"/>
    <mergeCell ref="AF52:AF55"/>
    <mergeCell ref="U52:U55"/>
    <mergeCell ref="V52:V55"/>
    <mergeCell ref="W52:W55"/>
    <mergeCell ref="X52:X55"/>
    <mergeCell ref="Y52:Y55"/>
    <mergeCell ref="Z52:Z55"/>
    <mergeCell ref="O52:O55"/>
    <mergeCell ref="AK6:AM8"/>
    <mergeCell ref="A52:F54"/>
    <mergeCell ref="G52:G55"/>
    <mergeCell ref="H52:H55"/>
    <mergeCell ref="I52:I55"/>
    <mergeCell ref="J52:J55"/>
    <mergeCell ref="K52:K55"/>
    <mergeCell ref="L52:L55"/>
    <mergeCell ref="M52:M55"/>
    <mergeCell ref="N52:N55"/>
    <mergeCell ref="AE6:AE9"/>
    <mergeCell ref="AF6:AF9"/>
    <mergeCell ref="AG6:AG9"/>
    <mergeCell ref="AH6:AH9"/>
    <mergeCell ref="AI6:AI9"/>
    <mergeCell ref="AJ6:AJ9"/>
    <mergeCell ref="AD6:AD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R6:R9"/>
    <mergeCell ref="A1:F5"/>
    <mergeCell ref="G1:AM3"/>
    <mergeCell ref="G4:AM5"/>
    <mergeCell ref="A6:F8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</mergeCells>
  <pageMargins left="0.25" right="0.25" top="0.75" bottom="0.75" header="0.511811023622047" footer="0.511811023622047"/>
  <pageSetup scale="7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9"/>
  <sheetViews>
    <sheetView zoomScale="112" zoomScaleNormal="112" workbookViewId="0">
      <pane xSplit="6" ySplit="9" topLeftCell="G90" activePane="bottomRight" state="frozen"/>
      <selection pane="topRight" activeCell="I1" sqref="I1"/>
      <selection pane="bottomLeft" activeCell="A46" sqref="A46"/>
      <selection pane="bottomRight" activeCell="X135" sqref="X135"/>
    </sheetView>
  </sheetViews>
  <sheetFormatPr baseColWidth="10" defaultColWidth="11.42578125" defaultRowHeight="12.75"/>
  <cols>
    <col min="1" max="1" width="6.28515625" style="1" customWidth="1"/>
    <col min="2" max="2" width="5.140625" style="1" bestFit="1" customWidth="1"/>
    <col min="3" max="3" width="10.7109375" style="3" customWidth="1"/>
    <col min="4" max="4" width="11.85546875" style="3" bestFit="1" customWidth="1"/>
    <col min="5" max="5" width="13.5703125" style="3" customWidth="1"/>
    <col min="6" max="6" width="10.5703125" style="1" customWidth="1"/>
    <col min="7" max="19" width="3.7109375" style="3" customWidth="1"/>
    <col min="20" max="20" width="3.140625" style="3" customWidth="1"/>
    <col min="21" max="36" width="3.7109375" style="3" customWidth="1"/>
    <col min="37" max="37" width="5.5703125" style="3" customWidth="1"/>
    <col min="38" max="38" width="18.28515625" style="3" customWidth="1"/>
    <col min="39" max="39" width="15.5703125" style="3" customWidth="1"/>
    <col min="40" max="40" width="12.42578125" style="3" customWidth="1"/>
    <col min="41" max="43" width="3" style="3" customWidth="1"/>
    <col min="44" max="16384" width="11.42578125" style="3"/>
  </cols>
  <sheetData>
    <row r="1" spans="1:39" ht="12.75" customHeight="1" thickBot="1">
      <c r="A1" s="113"/>
      <c r="B1" s="113"/>
      <c r="C1" s="113"/>
      <c r="D1" s="113"/>
      <c r="E1" s="113"/>
      <c r="F1" s="113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</row>
    <row r="2" spans="1:39" ht="12.75" customHeight="1" thickBot="1">
      <c r="A2" s="113"/>
      <c r="B2" s="113"/>
      <c r="C2" s="113"/>
      <c r="D2" s="113"/>
      <c r="E2" s="113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</row>
    <row r="3" spans="1:39" ht="20.25" customHeight="1" thickBot="1">
      <c r="A3" s="113"/>
      <c r="B3" s="113"/>
      <c r="C3" s="113"/>
      <c r="D3" s="113"/>
      <c r="E3" s="113"/>
      <c r="F3" s="113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</row>
    <row r="4" spans="1:39" ht="12.75" customHeight="1" thickBot="1">
      <c r="A4" s="113"/>
      <c r="B4" s="113"/>
      <c r="C4" s="113"/>
      <c r="D4" s="113"/>
      <c r="E4" s="113"/>
      <c r="F4" s="113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</row>
    <row r="5" spans="1:39" ht="7.5" customHeight="1" thickBot="1">
      <c r="A5" s="113"/>
      <c r="B5" s="113"/>
      <c r="C5" s="113"/>
      <c r="D5" s="113"/>
      <c r="E5" s="113"/>
      <c r="F5" s="113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 spans="1:39" ht="12.75" customHeight="1" thickBot="1">
      <c r="A6" s="116" t="s">
        <v>736</v>
      </c>
      <c r="B6" s="116"/>
      <c r="C6" s="116"/>
      <c r="D6" s="116"/>
      <c r="E6" s="116"/>
      <c r="F6" s="116"/>
      <c r="G6" s="99">
        <v>45809</v>
      </c>
      <c r="H6" s="99">
        <v>45810</v>
      </c>
      <c r="I6" s="99">
        <v>45811</v>
      </c>
      <c r="J6" s="99">
        <v>45812</v>
      </c>
      <c r="K6" s="99">
        <v>45813</v>
      </c>
      <c r="L6" s="99">
        <v>45814</v>
      </c>
      <c r="M6" s="99">
        <v>45815</v>
      </c>
      <c r="N6" s="99">
        <v>45816</v>
      </c>
      <c r="O6" s="99">
        <v>45817</v>
      </c>
      <c r="P6" s="99">
        <v>45818</v>
      </c>
      <c r="Q6" s="99">
        <v>45819</v>
      </c>
      <c r="R6" s="99">
        <v>45820</v>
      </c>
      <c r="S6" s="99">
        <v>45821</v>
      </c>
      <c r="T6" s="99">
        <v>45822</v>
      </c>
      <c r="U6" s="99">
        <v>45823</v>
      </c>
      <c r="V6" s="99">
        <v>45824</v>
      </c>
      <c r="W6" s="99">
        <v>45825</v>
      </c>
      <c r="X6" s="99">
        <v>45826</v>
      </c>
      <c r="Y6" s="99">
        <v>45827</v>
      </c>
      <c r="Z6" s="99">
        <v>45828</v>
      </c>
      <c r="AA6" s="99">
        <v>45829</v>
      </c>
      <c r="AB6" s="99">
        <v>45830</v>
      </c>
      <c r="AC6" s="99">
        <v>45831</v>
      </c>
      <c r="AD6" s="99">
        <v>45832</v>
      </c>
      <c r="AE6" s="99">
        <v>45833</v>
      </c>
      <c r="AF6" s="99">
        <v>45834</v>
      </c>
      <c r="AG6" s="99">
        <v>45835</v>
      </c>
      <c r="AH6" s="99">
        <v>45836</v>
      </c>
      <c r="AI6" s="99">
        <v>45837</v>
      </c>
      <c r="AJ6" s="128">
        <v>45838</v>
      </c>
      <c r="AK6" s="94" t="s">
        <v>735</v>
      </c>
      <c r="AL6" s="94"/>
      <c r="AM6" s="94"/>
    </row>
    <row r="7" spans="1:39" ht="15" customHeight="1" thickBot="1">
      <c r="A7" s="116"/>
      <c r="B7" s="116"/>
      <c r="C7" s="116"/>
      <c r="D7" s="116"/>
      <c r="E7" s="116"/>
      <c r="F7" s="116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129"/>
      <c r="AK7" s="94"/>
      <c r="AL7" s="94"/>
      <c r="AM7" s="94"/>
    </row>
    <row r="8" spans="1:39" ht="15.75" customHeight="1" thickBot="1">
      <c r="A8" s="116"/>
      <c r="B8" s="116"/>
      <c r="C8" s="116"/>
      <c r="D8" s="116"/>
      <c r="E8" s="116"/>
      <c r="F8" s="116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129"/>
      <c r="AK8" s="94"/>
      <c r="AL8" s="94"/>
      <c r="AM8" s="94"/>
    </row>
    <row r="9" spans="1:39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129"/>
      <c r="AK9" s="7" t="s">
        <v>5</v>
      </c>
      <c r="AL9" s="8" t="s">
        <v>6</v>
      </c>
      <c r="AM9" s="9" t="s">
        <v>7</v>
      </c>
    </row>
    <row r="10" spans="1:39" ht="13.5" customHeight="1">
      <c r="A10" s="52" t="s">
        <v>37</v>
      </c>
      <c r="B10" s="32">
        <v>205</v>
      </c>
      <c r="C10" s="33" t="s">
        <v>406</v>
      </c>
      <c r="D10" s="33"/>
      <c r="E10" s="33" t="s">
        <v>717</v>
      </c>
      <c r="F10" s="32" t="s">
        <v>438</v>
      </c>
      <c r="G10" s="34">
        <v>1</v>
      </c>
      <c r="H10" s="34">
        <v>1</v>
      </c>
      <c r="I10" s="34">
        <v>1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10">
        <f t="shared" ref="AK10:AK39" si="0">SUM(G10:AJ10)</f>
        <v>3</v>
      </c>
      <c r="AL10" s="12">
        <v>33000</v>
      </c>
      <c r="AM10" s="12">
        <f t="shared" ref="AM10:AM23" si="1">AL10*AK10</f>
        <v>99000</v>
      </c>
    </row>
    <row r="11" spans="1:39">
      <c r="A11" s="52" t="s">
        <v>37</v>
      </c>
      <c r="B11" s="32">
        <v>205</v>
      </c>
      <c r="C11" s="33" t="s">
        <v>63</v>
      </c>
      <c r="D11" s="33"/>
      <c r="E11" s="33" t="s">
        <v>718</v>
      </c>
      <c r="F11" s="32" t="s">
        <v>734</v>
      </c>
      <c r="G11" s="34">
        <v>1</v>
      </c>
      <c r="H11" s="34">
        <v>1</v>
      </c>
      <c r="I11" s="34">
        <v>1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10">
        <f t="shared" si="0"/>
        <v>3</v>
      </c>
      <c r="AL11" s="12">
        <v>33000</v>
      </c>
      <c r="AM11" s="12">
        <f t="shared" si="1"/>
        <v>99000</v>
      </c>
    </row>
    <row r="12" spans="1:39">
      <c r="A12" s="52" t="s">
        <v>37</v>
      </c>
      <c r="B12" s="32">
        <v>302</v>
      </c>
      <c r="C12" s="33" t="s">
        <v>719</v>
      </c>
      <c r="D12" s="33"/>
      <c r="E12" s="33" t="s">
        <v>59</v>
      </c>
      <c r="F12" s="32" t="s">
        <v>73</v>
      </c>
      <c r="G12" s="34">
        <v>1</v>
      </c>
      <c r="H12" s="34">
        <v>1</v>
      </c>
      <c r="I12" s="34">
        <v>1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10">
        <f t="shared" si="0"/>
        <v>3</v>
      </c>
      <c r="AL12" s="12">
        <v>33000</v>
      </c>
      <c r="AM12" s="12">
        <f t="shared" si="1"/>
        <v>99000</v>
      </c>
    </row>
    <row r="13" spans="1:39">
      <c r="A13" s="52" t="s">
        <v>37</v>
      </c>
      <c r="B13" s="32">
        <v>302</v>
      </c>
      <c r="C13" s="33" t="s">
        <v>720</v>
      </c>
      <c r="D13" s="33"/>
      <c r="E13" s="33" t="s">
        <v>61</v>
      </c>
      <c r="F13" s="32" t="s">
        <v>62</v>
      </c>
      <c r="G13" s="34">
        <v>1</v>
      </c>
      <c r="H13" s="34">
        <v>1</v>
      </c>
      <c r="I13" s="34">
        <v>1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10">
        <f t="shared" si="0"/>
        <v>3</v>
      </c>
      <c r="AL13" s="12">
        <v>33000</v>
      </c>
      <c r="AM13" s="12">
        <f t="shared" si="1"/>
        <v>99000</v>
      </c>
    </row>
    <row r="14" spans="1:39">
      <c r="A14" s="52" t="s">
        <v>37</v>
      </c>
      <c r="B14" s="32">
        <v>404</v>
      </c>
      <c r="C14" s="33" t="s">
        <v>425</v>
      </c>
      <c r="D14" s="33"/>
      <c r="E14" s="33" t="s">
        <v>721</v>
      </c>
      <c r="F14" s="32" t="s">
        <v>428</v>
      </c>
      <c r="G14" s="34">
        <v>1</v>
      </c>
      <c r="H14" s="34">
        <v>1</v>
      </c>
      <c r="I14" s="34">
        <v>1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10">
        <f t="shared" si="0"/>
        <v>3</v>
      </c>
      <c r="AL14" s="12">
        <v>33000</v>
      </c>
      <c r="AM14" s="12">
        <f t="shared" si="1"/>
        <v>99000</v>
      </c>
    </row>
    <row r="15" spans="1:39">
      <c r="A15" s="52" t="s">
        <v>37</v>
      </c>
      <c r="B15" s="32">
        <v>404</v>
      </c>
      <c r="C15" s="33" t="s">
        <v>722</v>
      </c>
      <c r="D15" s="33"/>
      <c r="E15" s="33" t="s">
        <v>723</v>
      </c>
      <c r="F15" s="32" t="s">
        <v>81</v>
      </c>
      <c r="G15" s="34">
        <v>1</v>
      </c>
      <c r="H15" s="34">
        <v>1</v>
      </c>
      <c r="I15" s="34">
        <v>1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10">
        <f t="shared" si="0"/>
        <v>3</v>
      </c>
      <c r="AL15" s="12">
        <v>33000</v>
      </c>
      <c r="AM15" s="12">
        <f t="shared" si="1"/>
        <v>99000</v>
      </c>
    </row>
    <row r="16" spans="1:39">
      <c r="A16" s="52" t="s">
        <v>37</v>
      </c>
      <c r="B16" s="32">
        <v>604</v>
      </c>
      <c r="C16" s="33" t="s">
        <v>19</v>
      </c>
      <c r="D16" s="33" t="s">
        <v>20</v>
      </c>
      <c r="E16" s="33" t="s">
        <v>21</v>
      </c>
      <c r="F16" s="32" t="s">
        <v>724</v>
      </c>
      <c r="G16" s="34">
        <v>1</v>
      </c>
      <c r="H16" s="34">
        <v>1</v>
      </c>
      <c r="I16" s="34">
        <v>1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10">
        <f t="shared" si="0"/>
        <v>3</v>
      </c>
      <c r="AL16" s="12">
        <v>33000</v>
      </c>
      <c r="AM16" s="12">
        <f t="shared" si="1"/>
        <v>99000</v>
      </c>
    </row>
    <row r="17" spans="1:39">
      <c r="A17" s="52" t="s">
        <v>37</v>
      </c>
      <c r="B17" s="32">
        <v>604</v>
      </c>
      <c r="C17" s="33" t="s">
        <v>529</v>
      </c>
      <c r="D17" s="33"/>
      <c r="E17" s="33" t="s">
        <v>725</v>
      </c>
      <c r="F17" s="32" t="s">
        <v>726</v>
      </c>
      <c r="G17" s="34">
        <v>1</v>
      </c>
      <c r="H17" s="34">
        <v>1</v>
      </c>
      <c r="I17" s="34">
        <v>1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10">
        <f t="shared" si="0"/>
        <v>3</v>
      </c>
      <c r="AL17" s="12">
        <v>33000</v>
      </c>
      <c r="AM17" s="12">
        <f t="shared" si="1"/>
        <v>99000</v>
      </c>
    </row>
    <row r="18" spans="1:39">
      <c r="A18" s="52" t="s">
        <v>37</v>
      </c>
      <c r="B18" s="32">
        <v>903</v>
      </c>
      <c r="C18" s="33" t="s">
        <v>67</v>
      </c>
      <c r="D18" s="33"/>
      <c r="E18" s="33" t="s">
        <v>360</v>
      </c>
      <c r="F18" s="32" t="s">
        <v>68</v>
      </c>
      <c r="G18" s="34">
        <v>1</v>
      </c>
      <c r="H18" s="34">
        <v>1</v>
      </c>
      <c r="I18" s="34">
        <v>1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10">
        <f t="shared" si="0"/>
        <v>3</v>
      </c>
      <c r="AL18" s="12">
        <v>33000</v>
      </c>
      <c r="AM18" s="12">
        <f t="shared" si="1"/>
        <v>99000</v>
      </c>
    </row>
    <row r="19" spans="1:39">
      <c r="A19" s="52" t="s">
        <v>37</v>
      </c>
      <c r="B19" s="32">
        <v>903</v>
      </c>
      <c r="C19" s="33" t="s">
        <v>72</v>
      </c>
      <c r="D19" s="33"/>
      <c r="E19" s="33" t="s">
        <v>727</v>
      </c>
      <c r="F19" s="32" t="s">
        <v>728</v>
      </c>
      <c r="G19" s="34">
        <v>1</v>
      </c>
      <c r="H19" s="34">
        <v>1</v>
      </c>
      <c r="I19" s="34">
        <v>1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10">
        <f t="shared" si="0"/>
        <v>3</v>
      </c>
      <c r="AL19" s="12">
        <v>33000</v>
      </c>
      <c r="AM19" s="12">
        <f t="shared" si="1"/>
        <v>99000</v>
      </c>
    </row>
    <row r="20" spans="1:39">
      <c r="A20" s="52" t="s">
        <v>37</v>
      </c>
      <c r="B20" s="32">
        <v>1101</v>
      </c>
      <c r="C20" s="33" t="s">
        <v>82</v>
      </c>
      <c r="D20" s="33"/>
      <c r="E20" s="33" t="s">
        <v>729</v>
      </c>
      <c r="F20" s="32" t="s">
        <v>83</v>
      </c>
      <c r="G20" s="34">
        <v>1</v>
      </c>
      <c r="H20" s="34">
        <v>1</v>
      </c>
      <c r="I20" s="34">
        <v>1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10">
        <f t="shared" si="0"/>
        <v>3</v>
      </c>
      <c r="AL20" s="12">
        <v>33000</v>
      </c>
      <c r="AM20" s="12">
        <f t="shared" si="1"/>
        <v>99000</v>
      </c>
    </row>
    <row r="21" spans="1:39">
      <c r="A21" s="52" t="s">
        <v>37</v>
      </c>
      <c r="B21" s="32">
        <v>1101</v>
      </c>
      <c r="C21" s="33" t="s">
        <v>78</v>
      </c>
      <c r="D21" s="33"/>
      <c r="E21" s="33" t="s">
        <v>79</v>
      </c>
      <c r="F21" s="32" t="s">
        <v>80</v>
      </c>
      <c r="G21" s="34">
        <v>1</v>
      </c>
      <c r="H21" s="34">
        <v>1</v>
      </c>
      <c r="I21" s="34">
        <v>1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10">
        <f t="shared" si="0"/>
        <v>3</v>
      </c>
      <c r="AL21" s="12">
        <v>33000</v>
      </c>
      <c r="AM21" s="12">
        <f t="shared" si="1"/>
        <v>99000</v>
      </c>
    </row>
    <row r="22" spans="1:39">
      <c r="A22" s="52" t="s">
        <v>37</v>
      </c>
      <c r="B22" s="32">
        <v>1402</v>
      </c>
      <c r="C22" s="33" t="s">
        <v>424</v>
      </c>
      <c r="D22" s="33"/>
      <c r="E22" s="33" t="s">
        <v>730</v>
      </c>
      <c r="F22" s="32"/>
      <c r="G22" s="34">
        <v>1</v>
      </c>
      <c r="H22" s="34">
        <v>1</v>
      </c>
      <c r="I22" s="34">
        <v>1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10">
        <f t="shared" si="0"/>
        <v>3</v>
      </c>
      <c r="AL22" s="12">
        <v>33000</v>
      </c>
      <c r="AM22" s="12">
        <f t="shared" si="1"/>
        <v>99000</v>
      </c>
    </row>
    <row r="23" spans="1:39">
      <c r="A23" s="52" t="s">
        <v>37</v>
      </c>
      <c r="B23" s="32">
        <v>1402</v>
      </c>
      <c r="C23" s="33" t="s">
        <v>731</v>
      </c>
      <c r="D23" s="33"/>
      <c r="E23" s="33" t="s">
        <v>732</v>
      </c>
      <c r="F23" s="32" t="s">
        <v>733</v>
      </c>
      <c r="G23" s="34">
        <v>1</v>
      </c>
      <c r="H23" s="34">
        <v>1</v>
      </c>
      <c r="I23" s="34">
        <v>1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10">
        <f t="shared" si="0"/>
        <v>3</v>
      </c>
      <c r="AL23" s="12">
        <v>33000</v>
      </c>
      <c r="AM23" s="12">
        <f t="shared" si="1"/>
        <v>99000</v>
      </c>
    </row>
    <row r="24" spans="1:39" ht="13.5" thickBot="1">
      <c r="A24" s="47" t="s">
        <v>37</v>
      </c>
      <c r="B24" s="65">
        <v>401</v>
      </c>
      <c r="C24" s="38" t="s">
        <v>291</v>
      </c>
      <c r="D24" s="38" t="s">
        <v>456</v>
      </c>
      <c r="E24" s="38" t="s">
        <v>38</v>
      </c>
      <c r="F24" s="66" t="s">
        <v>557</v>
      </c>
      <c r="G24" s="51"/>
      <c r="H24" s="39">
        <v>1</v>
      </c>
      <c r="I24" s="39">
        <v>1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92">
        <f t="shared" si="0"/>
        <v>2</v>
      </c>
      <c r="AL24" s="12">
        <v>60000</v>
      </c>
      <c r="AM24" s="14">
        <f t="shared" ref="AM24:AM28" si="2">AL24*AK24</f>
        <v>120000</v>
      </c>
    </row>
    <row r="25" spans="1:39">
      <c r="A25" s="45" t="s">
        <v>37</v>
      </c>
      <c r="B25" s="32">
        <v>205</v>
      </c>
      <c r="C25" s="33" t="s">
        <v>56</v>
      </c>
      <c r="D25" s="33"/>
      <c r="E25" s="33" t="s">
        <v>57</v>
      </c>
      <c r="F25" s="32" t="s">
        <v>58</v>
      </c>
      <c r="G25" s="46"/>
      <c r="H25" s="46"/>
      <c r="I25" s="46"/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42">
        <f t="shared" si="0"/>
        <v>6</v>
      </c>
      <c r="AL25" s="11">
        <v>33000</v>
      </c>
      <c r="AM25" s="11">
        <f t="shared" si="2"/>
        <v>198000</v>
      </c>
    </row>
    <row r="26" spans="1:39">
      <c r="A26" s="52" t="s">
        <v>37</v>
      </c>
      <c r="B26" s="32">
        <v>205</v>
      </c>
      <c r="C26" s="33" t="s">
        <v>563</v>
      </c>
      <c r="D26" s="33"/>
      <c r="E26" s="33" t="s">
        <v>59</v>
      </c>
      <c r="F26" s="32" t="s">
        <v>60</v>
      </c>
      <c r="G26" s="46"/>
      <c r="H26" s="46"/>
      <c r="I26" s="46"/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10">
        <f t="shared" si="0"/>
        <v>6</v>
      </c>
      <c r="AL26" s="12">
        <v>33000</v>
      </c>
      <c r="AM26" s="12">
        <f t="shared" si="2"/>
        <v>198000</v>
      </c>
    </row>
    <row r="27" spans="1:39">
      <c r="A27" s="52" t="s">
        <v>37</v>
      </c>
      <c r="B27" s="32">
        <v>302</v>
      </c>
      <c r="C27" s="33" t="s">
        <v>560</v>
      </c>
      <c r="D27" s="33"/>
      <c r="E27" s="33" t="s">
        <v>61</v>
      </c>
      <c r="F27" s="32" t="s">
        <v>308</v>
      </c>
      <c r="G27" s="46"/>
      <c r="H27" s="46"/>
      <c r="I27" s="46"/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10">
        <f t="shared" si="0"/>
        <v>6</v>
      </c>
      <c r="AL27" s="12">
        <v>33000</v>
      </c>
      <c r="AM27" s="12">
        <f t="shared" si="2"/>
        <v>198000</v>
      </c>
    </row>
    <row r="28" spans="1:39">
      <c r="A28" s="52" t="s">
        <v>37</v>
      </c>
      <c r="B28" s="32">
        <v>302</v>
      </c>
      <c r="C28" s="33" t="s">
        <v>313</v>
      </c>
      <c r="D28" s="33"/>
      <c r="E28" s="33" t="s">
        <v>312</v>
      </c>
      <c r="F28" s="32" t="s">
        <v>310</v>
      </c>
      <c r="G28" s="46"/>
      <c r="H28" s="46"/>
      <c r="I28" s="46"/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10">
        <f t="shared" si="0"/>
        <v>6</v>
      </c>
      <c r="AL28" s="12">
        <v>33000</v>
      </c>
      <c r="AM28" s="12">
        <f t="shared" si="2"/>
        <v>198000</v>
      </c>
    </row>
    <row r="29" spans="1:39">
      <c r="A29" s="52" t="s">
        <v>37</v>
      </c>
      <c r="B29" s="64">
        <v>401</v>
      </c>
      <c r="C29" s="33" t="s">
        <v>291</v>
      </c>
      <c r="D29" s="33" t="s">
        <v>456</v>
      </c>
      <c r="E29" s="33" t="s">
        <v>38</v>
      </c>
      <c r="F29" s="32" t="s">
        <v>557</v>
      </c>
      <c r="G29" s="46"/>
      <c r="H29" s="46"/>
      <c r="I29" s="46"/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87">
        <f t="shared" si="0"/>
        <v>6</v>
      </c>
      <c r="AL29" s="12">
        <v>60000</v>
      </c>
      <c r="AM29" s="12">
        <f t="shared" ref="AM29:AM37" si="3">AL29*AK29</f>
        <v>360000</v>
      </c>
    </row>
    <row r="30" spans="1:39">
      <c r="A30" s="52" t="s">
        <v>37</v>
      </c>
      <c r="B30" s="32">
        <v>404</v>
      </c>
      <c r="C30" s="33" t="s">
        <v>311</v>
      </c>
      <c r="D30" s="33"/>
      <c r="E30" s="33" t="s">
        <v>25</v>
      </c>
      <c r="F30" s="32" t="s">
        <v>309</v>
      </c>
      <c r="G30" s="46"/>
      <c r="H30" s="46"/>
      <c r="I30" s="46"/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10">
        <f t="shared" si="0"/>
        <v>6</v>
      </c>
      <c r="AL30" s="12">
        <v>33000</v>
      </c>
      <c r="AM30" s="12">
        <f t="shared" si="3"/>
        <v>198000</v>
      </c>
    </row>
    <row r="31" spans="1:39">
      <c r="A31" s="52" t="s">
        <v>37</v>
      </c>
      <c r="B31" s="32">
        <v>404</v>
      </c>
      <c r="C31" s="33" t="s">
        <v>63</v>
      </c>
      <c r="D31" s="33"/>
      <c r="E31" s="33" t="s">
        <v>64</v>
      </c>
      <c r="F31" s="32" t="s">
        <v>65</v>
      </c>
      <c r="G31" s="46"/>
      <c r="H31" s="46"/>
      <c r="I31" s="46"/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10">
        <f t="shared" si="0"/>
        <v>6</v>
      </c>
      <c r="AL31" s="12">
        <v>33000</v>
      </c>
      <c r="AM31" s="12">
        <f t="shared" si="3"/>
        <v>198000</v>
      </c>
    </row>
    <row r="32" spans="1:39">
      <c r="A32" s="52" t="s">
        <v>37</v>
      </c>
      <c r="B32" s="32">
        <v>604</v>
      </c>
      <c r="C32" s="33" t="s">
        <v>55</v>
      </c>
      <c r="D32" s="33"/>
      <c r="E32" s="33" t="s">
        <v>41</v>
      </c>
      <c r="F32" s="32" t="s">
        <v>557</v>
      </c>
      <c r="G32" s="46"/>
      <c r="H32" s="46"/>
      <c r="I32" s="46"/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10">
        <f t="shared" si="0"/>
        <v>6</v>
      </c>
      <c r="AL32" s="12">
        <v>33000</v>
      </c>
      <c r="AM32" s="12">
        <f t="shared" si="3"/>
        <v>198000</v>
      </c>
    </row>
    <row r="33" spans="1:39">
      <c r="A33" s="52" t="s">
        <v>37</v>
      </c>
      <c r="B33" s="32">
        <v>604</v>
      </c>
      <c r="C33" s="33" t="s">
        <v>49</v>
      </c>
      <c r="D33" s="33" t="s">
        <v>50</v>
      </c>
      <c r="E33" s="33" t="s">
        <v>51</v>
      </c>
      <c r="F33" s="32" t="s">
        <v>52</v>
      </c>
      <c r="G33" s="46"/>
      <c r="H33" s="46"/>
      <c r="I33" s="46"/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10">
        <f t="shared" si="0"/>
        <v>6</v>
      </c>
      <c r="AL33" s="12">
        <v>33000</v>
      </c>
      <c r="AM33" s="12">
        <f t="shared" si="3"/>
        <v>198000</v>
      </c>
    </row>
    <row r="34" spans="1:39">
      <c r="A34" s="52" t="s">
        <v>37</v>
      </c>
      <c r="B34" s="32">
        <v>903</v>
      </c>
      <c r="C34" s="33" t="s">
        <v>69</v>
      </c>
      <c r="D34" s="33"/>
      <c r="E34" s="33" t="s">
        <v>70</v>
      </c>
      <c r="F34" s="32" t="s">
        <v>71</v>
      </c>
      <c r="G34" s="46"/>
      <c r="H34" s="46"/>
      <c r="I34" s="46"/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10">
        <f t="shared" si="0"/>
        <v>6</v>
      </c>
      <c r="AL34" s="12">
        <v>33000</v>
      </c>
      <c r="AM34" s="12">
        <f t="shared" si="3"/>
        <v>198000</v>
      </c>
    </row>
    <row r="35" spans="1:39">
      <c r="A35" s="52" t="s">
        <v>37</v>
      </c>
      <c r="B35" s="32">
        <v>903</v>
      </c>
      <c r="C35" s="33" t="s">
        <v>14</v>
      </c>
      <c r="D35" s="33"/>
      <c r="E35" s="33" t="s">
        <v>559</v>
      </c>
      <c r="F35" s="32" t="s">
        <v>39</v>
      </c>
      <c r="G35" s="46"/>
      <c r="H35" s="46"/>
      <c r="I35" s="46"/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10">
        <f t="shared" si="0"/>
        <v>6</v>
      </c>
      <c r="AL35" s="12">
        <v>33000</v>
      </c>
      <c r="AM35" s="12">
        <f t="shared" si="3"/>
        <v>198000</v>
      </c>
    </row>
    <row r="36" spans="1:39">
      <c r="A36" s="52" t="s">
        <v>37</v>
      </c>
      <c r="B36" s="32">
        <v>1101</v>
      </c>
      <c r="C36" s="33" t="s">
        <v>43</v>
      </c>
      <c r="D36" s="33" t="s">
        <v>562</v>
      </c>
      <c r="E36" s="33" t="s">
        <v>44</v>
      </c>
      <c r="F36" s="32" t="s">
        <v>45</v>
      </c>
      <c r="G36" s="46"/>
      <c r="H36" s="46"/>
      <c r="I36" s="46"/>
      <c r="J36" s="34">
        <v>1</v>
      </c>
      <c r="K36" s="34">
        <v>1</v>
      </c>
      <c r="L36" s="34">
        <v>1</v>
      </c>
      <c r="M36" s="34">
        <v>1</v>
      </c>
      <c r="N36" s="34">
        <v>1</v>
      </c>
      <c r="O36" s="34">
        <v>1</v>
      </c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10">
        <f t="shared" si="0"/>
        <v>6</v>
      </c>
      <c r="AL36" s="12">
        <v>33000</v>
      </c>
      <c r="AM36" s="12">
        <f t="shared" si="3"/>
        <v>198000</v>
      </c>
    </row>
    <row r="37" spans="1:39">
      <c r="A37" s="52" t="s">
        <v>37</v>
      </c>
      <c r="B37" s="32">
        <v>1101</v>
      </c>
      <c r="C37" s="33" t="s">
        <v>46</v>
      </c>
      <c r="D37" s="33" t="s">
        <v>561</v>
      </c>
      <c r="E37" s="33" t="s">
        <v>47</v>
      </c>
      <c r="F37" s="32" t="s">
        <v>48</v>
      </c>
      <c r="G37" s="46"/>
      <c r="H37" s="46"/>
      <c r="I37" s="46"/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10">
        <f t="shared" si="0"/>
        <v>6</v>
      </c>
      <c r="AL37" s="12">
        <v>33000</v>
      </c>
      <c r="AM37" s="12">
        <f t="shared" si="3"/>
        <v>198000</v>
      </c>
    </row>
    <row r="38" spans="1:39">
      <c r="A38" s="52" t="s">
        <v>37</v>
      </c>
      <c r="B38" s="32">
        <v>1402</v>
      </c>
      <c r="C38" s="33" t="s">
        <v>50</v>
      </c>
      <c r="D38" s="33" t="s">
        <v>544</v>
      </c>
      <c r="E38" s="33" t="s">
        <v>53</v>
      </c>
      <c r="F38" s="32" t="s">
        <v>54</v>
      </c>
      <c r="G38" s="46"/>
      <c r="H38" s="46"/>
      <c r="I38" s="46"/>
      <c r="J38" s="34">
        <v>1</v>
      </c>
      <c r="K38" s="34">
        <v>1</v>
      </c>
      <c r="L38" s="34">
        <v>1</v>
      </c>
      <c r="M38" s="34">
        <v>1</v>
      </c>
      <c r="N38" s="34">
        <v>1</v>
      </c>
      <c r="O38" s="34">
        <v>1</v>
      </c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10">
        <f t="shared" si="0"/>
        <v>6</v>
      </c>
      <c r="AL38" s="12">
        <v>33000</v>
      </c>
      <c r="AM38" s="12">
        <f t="shared" ref="AM38:AM39" si="4">AL38*AK38</f>
        <v>198000</v>
      </c>
    </row>
    <row r="39" spans="1:39">
      <c r="A39" s="52" t="s">
        <v>37</v>
      </c>
      <c r="B39" s="32">
        <v>1402</v>
      </c>
      <c r="C39" s="33" t="s">
        <v>40</v>
      </c>
      <c r="D39" s="33" t="s">
        <v>555</v>
      </c>
      <c r="E39" s="33" t="s">
        <v>41</v>
      </c>
      <c r="F39" s="32" t="s">
        <v>42</v>
      </c>
      <c r="G39" s="46"/>
      <c r="H39" s="46"/>
      <c r="I39" s="46"/>
      <c r="J39" s="34">
        <v>1</v>
      </c>
      <c r="K39" s="34">
        <v>1</v>
      </c>
      <c r="L39" s="34">
        <v>1</v>
      </c>
      <c r="M39" s="34">
        <v>1</v>
      </c>
      <c r="N39" s="34">
        <v>1</v>
      </c>
      <c r="O39" s="34">
        <v>1</v>
      </c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10">
        <f t="shared" si="0"/>
        <v>6</v>
      </c>
      <c r="AL39" s="12">
        <v>33000</v>
      </c>
      <c r="AM39" s="12">
        <f t="shared" si="4"/>
        <v>198000</v>
      </c>
    </row>
    <row r="40" spans="1:39">
      <c r="A40" s="52" t="s">
        <v>37</v>
      </c>
      <c r="B40" s="32">
        <v>205</v>
      </c>
      <c r="C40" s="33" t="s">
        <v>56</v>
      </c>
      <c r="D40" s="33"/>
      <c r="E40" s="33" t="s">
        <v>57</v>
      </c>
      <c r="F40" s="32" t="s">
        <v>58</v>
      </c>
      <c r="G40" s="46"/>
      <c r="H40" s="46"/>
      <c r="I40" s="46"/>
      <c r="J40" s="46"/>
      <c r="K40" s="46"/>
      <c r="L40" s="46"/>
      <c r="M40" s="46"/>
      <c r="N40" s="46"/>
      <c r="O40" s="46"/>
      <c r="P40" s="34">
        <v>1</v>
      </c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10">
        <f t="shared" ref="AK40:AK53" si="5">SUM(G40:AJ40)</f>
        <v>1</v>
      </c>
      <c r="AL40" s="12">
        <v>33000</v>
      </c>
      <c r="AM40" s="12">
        <f t="shared" ref="AM40:AM53" si="6">AL40*AK40</f>
        <v>33000</v>
      </c>
    </row>
    <row r="41" spans="1:39">
      <c r="A41" s="52" t="s">
        <v>37</v>
      </c>
      <c r="B41" s="32">
        <v>205</v>
      </c>
      <c r="C41" s="33" t="s">
        <v>563</v>
      </c>
      <c r="D41" s="33"/>
      <c r="E41" s="33" t="s">
        <v>59</v>
      </c>
      <c r="F41" s="32" t="s">
        <v>60</v>
      </c>
      <c r="G41" s="46"/>
      <c r="H41" s="46"/>
      <c r="I41" s="46"/>
      <c r="J41" s="46"/>
      <c r="K41" s="46"/>
      <c r="L41" s="46"/>
      <c r="M41" s="46"/>
      <c r="N41" s="46"/>
      <c r="O41" s="46"/>
      <c r="P41" s="34">
        <v>1</v>
      </c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10">
        <f t="shared" si="5"/>
        <v>1</v>
      </c>
      <c r="AL41" s="12">
        <v>33000</v>
      </c>
      <c r="AM41" s="12">
        <f t="shared" si="6"/>
        <v>33000</v>
      </c>
    </row>
    <row r="42" spans="1:39">
      <c r="A42" s="52" t="s">
        <v>37</v>
      </c>
      <c r="B42" s="32">
        <v>302</v>
      </c>
      <c r="C42" s="33" t="s">
        <v>560</v>
      </c>
      <c r="D42" s="33"/>
      <c r="E42" s="33" t="s">
        <v>61</v>
      </c>
      <c r="F42" s="32" t="s">
        <v>308</v>
      </c>
      <c r="G42" s="46"/>
      <c r="H42" s="46"/>
      <c r="I42" s="46"/>
      <c r="J42" s="46"/>
      <c r="K42" s="46"/>
      <c r="L42" s="46"/>
      <c r="M42" s="46"/>
      <c r="N42" s="46"/>
      <c r="O42" s="46"/>
      <c r="P42" s="34">
        <v>1</v>
      </c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10">
        <f t="shared" si="5"/>
        <v>1</v>
      </c>
      <c r="AL42" s="12">
        <v>33000</v>
      </c>
      <c r="AM42" s="12">
        <f t="shared" si="6"/>
        <v>33000</v>
      </c>
    </row>
    <row r="43" spans="1:39">
      <c r="A43" s="52" t="s">
        <v>37</v>
      </c>
      <c r="B43" s="32">
        <v>302</v>
      </c>
      <c r="C43" s="33" t="s">
        <v>55</v>
      </c>
      <c r="D43" s="33"/>
      <c r="E43" s="33" t="s">
        <v>41</v>
      </c>
      <c r="F43" s="32" t="s">
        <v>564</v>
      </c>
      <c r="G43" s="46"/>
      <c r="H43" s="46"/>
      <c r="I43" s="46"/>
      <c r="J43" s="46"/>
      <c r="K43" s="46"/>
      <c r="L43" s="46"/>
      <c r="M43" s="46"/>
      <c r="N43" s="46"/>
      <c r="O43" s="46"/>
      <c r="P43" s="34">
        <v>1</v>
      </c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10">
        <f t="shared" si="5"/>
        <v>1</v>
      </c>
      <c r="AL43" s="12">
        <v>33000</v>
      </c>
      <c r="AM43" s="12">
        <f t="shared" si="6"/>
        <v>33000</v>
      </c>
    </row>
    <row r="44" spans="1:39">
      <c r="A44" s="52" t="s">
        <v>37</v>
      </c>
      <c r="B44" s="64">
        <v>401</v>
      </c>
      <c r="C44" s="33" t="s">
        <v>209</v>
      </c>
      <c r="D44" s="33" t="s">
        <v>115</v>
      </c>
      <c r="E44" s="33" t="s">
        <v>15</v>
      </c>
      <c r="F44" s="32" t="s">
        <v>996</v>
      </c>
      <c r="G44" s="46"/>
      <c r="H44" s="46"/>
      <c r="I44" s="46"/>
      <c r="J44" s="46"/>
      <c r="K44" s="46"/>
      <c r="L44" s="46"/>
      <c r="M44" s="46"/>
      <c r="N44" s="46"/>
      <c r="O44" s="46"/>
      <c r="P44" s="34">
        <v>1</v>
      </c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87">
        <f t="shared" si="5"/>
        <v>1</v>
      </c>
      <c r="AL44" s="12">
        <v>60000</v>
      </c>
      <c r="AM44" s="12">
        <f t="shared" si="6"/>
        <v>60000</v>
      </c>
    </row>
    <row r="45" spans="1:39">
      <c r="A45" s="52" t="s">
        <v>37</v>
      </c>
      <c r="B45" s="32">
        <v>404</v>
      </c>
      <c r="C45" s="33" t="s">
        <v>311</v>
      </c>
      <c r="D45" s="33"/>
      <c r="E45" s="33" t="s">
        <v>25</v>
      </c>
      <c r="F45" s="32" t="s">
        <v>309</v>
      </c>
      <c r="G45" s="46"/>
      <c r="H45" s="46"/>
      <c r="I45" s="46"/>
      <c r="J45" s="46"/>
      <c r="K45" s="46"/>
      <c r="L45" s="46"/>
      <c r="M45" s="46"/>
      <c r="N45" s="46"/>
      <c r="O45" s="46"/>
      <c r="P45" s="34">
        <v>1</v>
      </c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10">
        <f t="shared" si="5"/>
        <v>1</v>
      </c>
      <c r="AL45" s="12">
        <v>33000</v>
      </c>
      <c r="AM45" s="12">
        <f t="shared" si="6"/>
        <v>33000</v>
      </c>
    </row>
    <row r="46" spans="1:39">
      <c r="A46" s="52" t="s">
        <v>37</v>
      </c>
      <c r="B46" s="32">
        <v>404</v>
      </c>
      <c r="C46" s="33" t="s">
        <v>63</v>
      </c>
      <c r="D46" s="33"/>
      <c r="E46" s="33" t="s">
        <v>64</v>
      </c>
      <c r="F46" s="32" t="s">
        <v>65</v>
      </c>
      <c r="G46" s="46"/>
      <c r="H46" s="46"/>
      <c r="I46" s="46"/>
      <c r="J46" s="46"/>
      <c r="K46" s="46"/>
      <c r="L46" s="46"/>
      <c r="M46" s="46"/>
      <c r="N46" s="46"/>
      <c r="O46" s="46"/>
      <c r="P46" s="34">
        <v>1</v>
      </c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10">
        <f t="shared" si="5"/>
        <v>1</v>
      </c>
      <c r="AL46" s="12">
        <v>33000</v>
      </c>
      <c r="AM46" s="12">
        <f t="shared" si="6"/>
        <v>33000</v>
      </c>
    </row>
    <row r="47" spans="1:39">
      <c r="A47" s="52" t="s">
        <v>37</v>
      </c>
      <c r="B47" s="32">
        <v>604</v>
      </c>
      <c r="C47" s="33" t="s">
        <v>313</v>
      </c>
      <c r="D47" s="33"/>
      <c r="E47" s="33" t="s">
        <v>312</v>
      </c>
      <c r="F47" s="32" t="s">
        <v>310</v>
      </c>
      <c r="G47" s="46"/>
      <c r="H47" s="46"/>
      <c r="I47" s="46"/>
      <c r="J47" s="46"/>
      <c r="K47" s="46"/>
      <c r="L47" s="46"/>
      <c r="M47" s="46"/>
      <c r="N47" s="46"/>
      <c r="O47" s="46"/>
      <c r="P47" s="34">
        <v>1</v>
      </c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10">
        <f t="shared" si="5"/>
        <v>1</v>
      </c>
      <c r="AL47" s="12">
        <v>33000</v>
      </c>
      <c r="AM47" s="12">
        <f t="shared" si="6"/>
        <v>33000</v>
      </c>
    </row>
    <row r="48" spans="1:39">
      <c r="A48" s="52" t="s">
        <v>37</v>
      </c>
      <c r="B48" s="32">
        <v>604</v>
      </c>
      <c r="C48" s="33" t="s">
        <v>49</v>
      </c>
      <c r="D48" s="33" t="s">
        <v>50</v>
      </c>
      <c r="E48" s="33" t="s">
        <v>51</v>
      </c>
      <c r="F48" s="32" t="s">
        <v>52</v>
      </c>
      <c r="G48" s="46"/>
      <c r="H48" s="46"/>
      <c r="I48" s="46"/>
      <c r="J48" s="46"/>
      <c r="K48" s="46"/>
      <c r="L48" s="46"/>
      <c r="M48" s="46"/>
      <c r="N48" s="46"/>
      <c r="O48" s="46"/>
      <c r="P48" s="34">
        <v>1</v>
      </c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10">
        <f t="shared" si="5"/>
        <v>1</v>
      </c>
      <c r="AL48" s="12">
        <v>33000</v>
      </c>
      <c r="AM48" s="12">
        <f t="shared" si="6"/>
        <v>33000</v>
      </c>
    </row>
    <row r="49" spans="1:39">
      <c r="A49" s="52" t="s">
        <v>37</v>
      </c>
      <c r="B49" s="32">
        <v>903</v>
      </c>
      <c r="C49" s="33" t="s">
        <v>69</v>
      </c>
      <c r="D49" s="33"/>
      <c r="E49" s="33" t="s">
        <v>70</v>
      </c>
      <c r="F49" s="32" t="s">
        <v>71</v>
      </c>
      <c r="G49" s="46"/>
      <c r="H49" s="46"/>
      <c r="I49" s="46"/>
      <c r="J49" s="46"/>
      <c r="K49" s="46"/>
      <c r="L49" s="46"/>
      <c r="M49" s="46"/>
      <c r="N49" s="46"/>
      <c r="O49" s="46"/>
      <c r="P49" s="34">
        <v>1</v>
      </c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10">
        <f t="shared" si="5"/>
        <v>1</v>
      </c>
      <c r="AL49" s="12">
        <v>33000</v>
      </c>
      <c r="AM49" s="12">
        <f t="shared" si="6"/>
        <v>33000</v>
      </c>
    </row>
    <row r="50" spans="1:39">
      <c r="A50" s="52" t="s">
        <v>37</v>
      </c>
      <c r="B50" s="32">
        <v>903</v>
      </c>
      <c r="C50" s="33" t="s">
        <v>14</v>
      </c>
      <c r="D50" s="33"/>
      <c r="E50" s="33" t="s">
        <v>559</v>
      </c>
      <c r="F50" s="32" t="s">
        <v>39</v>
      </c>
      <c r="G50" s="46"/>
      <c r="H50" s="46"/>
      <c r="I50" s="46"/>
      <c r="J50" s="46"/>
      <c r="K50" s="46"/>
      <c r="L50" s="46"/>
      <c r="M50" s="46"/>
      <c r="N50" s="46"/>
      <c r="O50" s="46"/>
      <c r="P50" s="34">
        <v>1</v>
      </c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10">
        <f t="shared" si="5"/>
        <v>1</v>
      </c>
      <c r="AL50" s="12">
        <v>33000</v>
      </c>
      <c r="AM50" s="12">
        <f t="shared" si="6"/>
        <v>33000</v>
      </c>
    </row>
    <row r="51" spans="1:39">
      <c r="A51" s="52" t="s">
        <v>37</v>
      </c>
      <c r="B51" s="32">
        <v>1101</v>
      </c>
      <c r="C51" s="33" t="s">
        <v>43</v>
      </c>
      <c r="D51" s="33" t="s">
        <v>562</v>
      </c>
      <c r="E51" s="33" t="s">
        <v>44</v>
      </c>
      <c r="F51" s="32" t="s">
        <v>45</v>
      </c>
      <c r="G51" s="46"/>
      <c r="H51" s="46"/>
      <c r="I51" s="46"/>
      <c r="J51" s="46"/>
      <c r="K51" s="46"/>
      <c r="L51" s="46"/>
      <c r="M51" s="46"/>
      <c r="N51" s="46"/>
      <c r="O51" s="46"/>
      <c r="P51" s="34">
        <v>1</v>
      </c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10">
        <f t="shared" si="5"/>
        <v>1</v>
      </c>
      <c r="AL51" s="12">
        <v>33000</v>
      </c>
      <c r="AM51" s="12">
        <f t="shared" si="6"/>
        <v>33000</v>
      </c>
    </row>
    <row r="52" spans="1:39">
      <c r="A52" s="52" t="s">
        <v>37</v>
      </c>
      <c r="B52" s="32">
        <v>1101</v>
      </c>
      <c r="C52" s="33" t="s">
        <v>46</v>
      </c>
      <c r="D52" s="33" t="s">
        <v>561</v>
      </c>
      <c r="E52" s="33" t="s">
        <v>47</v>
      </c>
      <c r="F52" s="32" t="s">
        <v>48</v>
      </c>
      <c r="G52" s="46"/>
      <c r="H52" s="46"/>
      <c r="I52" s="46"/>
      <c r="J52" s="46"/>
      <c r="K52" s="46"/>
      <c r="L52" s="46"/>
      <c r="M52" s="46"/>
      <c r="N52" s="46"/>
      <c r="O52" s="46"/>
      <c r="P52" s="34">
        <v>1</v>
      </c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10">
        <f t="shared" si="5"/>
        <v>1</v>
      </c>
      <c r="AL52" s="12">
        <v>33000</v>
      </c>
      <c r="AM52" s="12">
        <f t="shared" si="6"/>
        <v>33000</v>
      </c>
    </row>
    <row r="53" spans="1:39">
      <c r="A53" s="52" t="s">
        <v>37</v>
      </c>
      <c r="B53" s="32">
        <v>1402</v>
      </c>
      <c r="C53" s="33" t="s">
        <v>50</v>
      </c>
      <c r="D53" s="33" t="s">
        <v>544</v>
      </c>
      <c r="E53" s="33" t="s">
        <v>53</v>
      </c>
      <c r="F53" s="32" t="s">
        <v>54</v>
      </c>
      <c r="G53" s="46"/>
      <c r="H53" s="46"/>
      <c r="I53" s="46"/>
      <c r="J53" s="46"/>
      <c r="K53" s="46"/>
      <c r="L53" s="46"/>
      <c r="M53" s="46"/>
      <c r="N53" s="46"/>
      <c r="O53" s="46"/>
      <c r="P53" s="34">
        <v>1</v>
      </c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10">
        <f t="shared" si="5"/>
        <v>1</v>
      </c>
      <c r="AL53" s="12">
        <v>33000</v>
      </c>
      <c r="AM53" s="12">
        <f t="shared" si="6"/>
        <v>33000</v>
      </c>
    </row>
    <row r="54" spans="1:39">
      <c r="A54" s="52" t="s">
        <v>37</v>
      </c>
      <c r="B54" s="32">
        <v>1402</v>
      </c>
      <c r="C54" s="33" t="s">
        <v>40</v>
      </c>
      <c r="D54" s="33" t="s">
        <v>555</v>
      </c>
      <c r="E54" s="33" t="s">
        <v>41</v>
      </c>
      <c r="F54" s="32" t="s">
        <v>42</v>
      </c>
      <c r="G54" s="46"/>
      <c r="H54" s="46"/>
      <c r="I54" s="46"/>
      <c r="J54" s="46"/>
      <c r="K54" s="46"/>
      <c r="L54" s="46"/>
      <c r="M54" s="46"/>
      <c r="N54" s="46"/>
      <c r="O54" s="46"/>
      <c r="P54" s="34">
        <v>1</v>
      </c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10">
        <f t="shared" ref="AK54:AK122" si="7">SUM(G54:AJ54)</f>
        <v>1</v>
      </c>
      <c r="AL54" s="12">
        <v>33000</v>
      </c>
      <c r="AM54" s="12">
        <f t="shared" ref="AM54:AM122" si="8">AL54*AK54</f>
        <v>33000</v>
      </c>
    </row>
    <row r="55" spans="1:39">
      <c r="A55" s="52" t="s">
        <v>37</v>
      </c>
      <c r="B55" s="32">
        <v>205</v>
      </c>
      <c r="C55" s="33" t="s">
        <v>987</v>
      </c>
      <c r="D55" s="33"/>
      <c r="E55" s="33" t="s">
        <v>200</v>
      </c>
      <c r="F55" s="32" t="s">
        <v>989</v>
      </c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34">
        <v>1</v>
      </c>
      <c r="R55" s="34">
        <v>1</v>
      </c>
      <c r="S55" s="34">
        <v>1</v>
      </c>
      <c r="T55" s="34">
        <v>1</v>
      </c>
      <c r="U55" s="34">
        <v>1</v>
      </c>
      <c r="V55" s="34">
        <v>1</v>
      </c>
      <c r="W55" s="34">
        <v>1</v>
      </c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10">
        <f t="shared" si="7"/>
        <v>7</v>
      </c>
      <c r="AL55" s="12">
        <v>33000</v>
      </c>
      <c r="AM55" s="12">
        <f t="shared" si="8"/>
        <v>231000</v>
      </c>
    </row>
    <row r="56" spans="1:39">
      <c r="A56" s="52" t="s">
        <v>37</v>
      </c>
      <c r="B56" s="32">
        <v>205</v>
      </c>
      <c r="C56" s="33" t="s">
        <v>46</v>
      </c>
      <c r="D56" s="33"/>
      <c r="E56" s="33" t="s">
        <v>590</v>
      </c>
      <c r="F56" s="32" t="s">
        <v>988</v>
      </c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34">
        <v>1</v>
      </c>
      <c r="R56" s="34">
        <v>1</v>
      </c>
      <c r="S56" s="34">
        <v>1</v>
      </c>
      <c r="T56" s="34">
        <v>1</v>
      </c>
      <c r="U56" s="34">
        <v>1</v>
      </c>
      <c r="V56" s="34">
        <v>1</v>
      </c>
      <c r="W56" s="34">
        <v>1</v>
      </c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10">
        <f t="shared" si="7"/>
        <v>7</v>
      </c>
      <c r="AL56" s="12">
        <v>33000</v>
      </c>
      <c r="AM56" s="12">
        <f t="shared" si="8"/>
        <v>231000</v>
      </c>
    </row>
    <row r="57" spans="1:39">
      <c r="A57" s="52" t="s">
        <v>37</v>
      </c>
      <c r="B57" s="32">
        <v>302</v>
      </c>
      <c r="C57" s="33" t="s">
        <v>719</v>
      </c>
      <c r="D57" s="33"/>
      <c r="E57" s="33" t="s">
        <v>59</v>
      </c>
      <c r="F57" s="32" t="s">
        <v>73</v>
      </c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34">
        <v>1</v>
      </c>
      <c r="R57" s="34">
        <v>1</v>
      </c>
      <c r="S57" s="34">
        <v>1</v>
      </c>
      <c r="T57" s="34">
        <v>1</v>
      </c>
      <c r="U57" s="34">
        <v>1</v>
      </c>
      <c r="V57" s="34">
        <v>1</v>
      </c>
      <c r="W57" s="34">
        <v>1</v>
      </c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10">
        <f t="shared" si="7"/>
        <v>7</v>
      </c>
      <c r="AL57" s="12">
        <v>33000</v>
      </c>
      <c r="AM57" s="12">
        <f t="shared" si="8"/>
        <v>231000</v>
      </c>
    </row>
    <row r="58" spans="1:39">
      <c r="A58" s="52" t="s">
        <v>37</v>
      </c>
      <c r="B58" s="32">
        <v>302</v>
      </c>
      <c r="C58" s="33" t="s">
        <v>424</v>
      </c>
      <c r="D58" s="33"/>
      <c r="E58" s="33" t="s">
        <v>730</v>
      </c>
      <c r="F58" s="32" t="s">
        <v>990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34">
        <v>1</v>
      </c>
      <c r="R58" s="34">
        <v>1</v>
      </c>
      <c r="S58" s="34">
        <v>1</v>
      </c>
      <c r="T58" s="34">
        <v>1</v>
      </c>
      <c r="U58" s="34">
        <v>1</v>
      </c>
      <c r="V58" s="34">
        <v>1</v>
      </c>
      <c r="W58" s="34">
        <v>1</v>
      </c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10">
        <f t="shared" si="7"/>
        <v>7</v>
      </c>
      <c r="AL58" s="12">
        <v>33000</v>
      </c>
      <c r="AM58" s="12">
        <f t="shared" si="8"/>
        <v>231000</v>
      </c>
    </row>
    <row r="59" spans="1:39">
      <c r="A59" s="52" t="s">
        <v>37</v>
      </c>
      <c r="B59" s="64">
        <v>401</v>
      </c>
      <c r="C59" s="33" t="s">
        <v>209</v>
      </c>
      <c r="D59" s="33" t="s">
        <v>115</v>
      </c>
      <c r="E59" s="33" t="s">
        <v>15</v>
      </c>
      <c r="F59" s="32" t="s">
        <v>996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34">
        <v>1</v>
      </c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87">
        <f t="shared" ref="AK59:AK63" si="9">SUM(G59:AJ59)</f>
        <v>1</v>
      </c>
      <c r="AL59" s="12">
        <v>60000</v>
      </c>
      <c r="AM59" s="12">
        <f t="shared" ref="AM59:AM63" si="10">AL59*AK59</f>
        <v>60000</v>
      </c>
    </row>
    <row r="60" spans="1:39">
      <c r="A60" s="52" t="s">
        <v>37</v>
      </c>
      <c r="B60" s="64">
        <v>401</v>
      </c>
      <c r="C60" s="33" t="s">
        <v>12</v>
      </c>
      <c r="D60" s="33"/>
      <c r="E60" s="33" t="s">
        <v>77</v>
      </c>
      <c r="F60" s="32" t="s">
        <v>992</v>
      </c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34">
        <v>1</v>
      </c>
      <c r="S60" s="34">
        <v>1</v>
      </c>
      <c r="T60" s="34">
        <v>1</v>
      </c>
      <c r="U60" s="34">
        <v>1</v>
      </c>
      <c r="V60" s="34">
        <v>1</v>
      </c>
      <c r="W60" s="34">
        <v>1</v>
      </c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87">
        <f t="shared" si="9"/>
        <v>6</v>
      </c>
      <c r="AL60" s="12">
        <v>60000</v>
      </c>
      <c r="AM60" s="12">
        <f t="shared" si="10"/>
        <v>360000</v>
      </c>
    </row>
    <row r="61" spans="1:39">
      <c r="A61" s="52" t="s">
        <v>37</v>
      </c>
      <c r="B61" s="32">
        <v>404</v>
      </c>
      <c r="C61" s="33" t="s">
        <v>722</v>
      </c>
      <c r="D61" s="33"/>
      <c r="E61" s="33" t="s">
        <v>723</v>
      </c>
      <c r="F61" s="32" t="s">
        <v>81</v>
      </c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34">
        <v>1</v>
      </c>
      <c r="R61" s="34">
        <v>1</v>
      </c>
      <c r="S61" s="34">
        <v>1</v>
      </c>
      <c r="T61" s="34">
        <v>1</v>
      </c>
      <c r="U61" s="34">
        <v>1</v>
      </c>
      <c r="V61" s="34">
        <v>1</v>
      </c>
      <c r="W61" s="34">
        <v>1</v>
      </c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10">
        <f t="shared" si="9"/>
        <v>7</v>
      </c>
      <c r="AL61" s="12">
        <v>33000</v>
      </c>
      <c r="AM61" s="12">
        <f t="shared" si="10"/>
        <v>231000</v>
      </c>
    </row>
    <row r="62" spans="1:39">
      <c r="A62" s="52" t="s">
        <v>37</v>
      </c>
      <c r="B62" s="32">
        <v>404</v>
      </c>
      <c r="C62" s="33" t="s">
        <v>980</v>
      </c>
      <c r="D62" s="33" t="s">
        <v>1101</v>
      </c>
      <c r="E62" s="33" t="s">
        <v>41</v>
      </c>
      <c r="F62" s="32" t="s">
        <v>991</v>
      </c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34">
        <v>1</v>
      </c>
      <c r="R62" s="34">
        <v>1</v>
      </c>
      <c r="S62" s="34">
        <v>1</v>
      </c>
      <c r="T62" s="34">
        <v>1</v>
      </c>
      <c r="U62" s="34">
        <v>1</v>
      </c>
      <c r="V62" s="34">
        <v>1</v>
      </c>
      <c r="W62" s="34">
        <v>1</v>
      </c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10">
        <f t="shared" si="9"/>
        <v>7</v>
      </c>
      <c r="AL62" s="12">
        <v>33000</v>
      </c>
      <c r="AM62" s="12">
        <f t="shared" si="10"/>
        <v>231000</v>
      </c>
    </row>
    <row r="63" spans="1:39">
      <c r="A63" s="52" t="s">
        <v>37</v>
      </c>
      <c r="B63" s="32">
        <v>604</v>
      </c>
      <c r="C63" s="33" t="s">
        <v>63</v>
      </c>
      <c r="D63" s="33"/>
      <c r="E63" s="33" t="s">
        <v>718</v>
      </c>
      <c r="F63" s="32" t="s">
        <v>993</v>
      </c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34">
        <v>1</v>
      </c>
      <c r="R63" s="34">
        <v>1</v>
      </c>
      <c r="S63" s="34">
        <v>1</v>
      </c>
      <c r="T63" s="34">
        <v>1</v>
      </c>
      <c r="U63" s="34">
        <v>1</v>
      </c>
      <c r="V63" s="34">
        <v>1</v>
      </c>
      <c r="W63" s="34">
        <v>1</v>
      </c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10">
        <f t="shared" si="9"/>
        <v>7</v>
      </c>
      <c r="AL63" s="12">
        <v>33000</v>
      </c>
      <c r="AM63" s="12">
        <f t="shared" si="10"/>
        <v>231000</v>
      </c>
    </row>
    <row r="64" spans="1:39">
      <c r="A64" s="52" t="s">
        <v>37</v>
      </c>
      <c r="B64" s="32">
        <v>604</v>
      </c>
      <c r="C64" s="33" t="s">
        <v>1102</v>
      </c>
      <c r="D64" s="33"/>
      <c r="E64" s="33" t="s">
        <v>972</v>
      </c>
      <c r="F64" s="32" t="s">
        <v>973</v>
      </c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34">
        <v>1</v>
      </c>
      <c r="R64" s="34">
        <v>1</v>
      </c>
      <c r="S64" s="34">
        <v>1</v>
      </c>
      <c r="T64" s="34">
        <v>1</v>
      </c>
      <c r="U64" s="34">
        <v>1</v>
      </c>
      <c r="V64" s="34">
        <v>1</v>
      </c>
      <c r="W64" s="34">
        <v>1</v>
      </c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10">
        <f t="shared" ref="AK64:AK71" si="11">SUM(G64:AJ64)</f>
        <v>7</v>
      </c>
      <c r="AL64" s="12">
        <v>33000</v>
      </c>
      <c r="AM64" s="12">
        <f t="shared" ref="AM64:AM71" si="12">AL64*AK64</f>
        <v>231000</v>
      </c>
    </row>
    <row r="65" spans="1:39">
      <c r="A65" s="52" t="s">
        <v>37</v>
      </c>
      <c r="B65" s="32">
        <v>903</v>
      </c>
      <c r="C65" s="33" t="s">
        <v>72</v>
      </c>
      <c r="D65" s="33"/>
      <c r="E65" s="33" t="s">
        <v>727</v>
      </c>
      <c r="F65" s="32" t="s">
        <v>728</v>
      </c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34">
        <v>1</v>
      </c>
      <c r="R65" s="34">
        <v>1</v>
      </c>
      <c r="S65" s="34">
        <v>1</v>
      </c>
      <c r="T65" s="34">
        <v>1</v>
      </c>
      <c r="U65" s="34">
        <v>1</v>
      </c>
      <c r="V65" s="34">
        <v>1</v>
      </c>
      <c r="W65" s="34">
        <v>1</v>
      </c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10">
        <f t="shared" si="11"/>
        <v>7</v>
      </c>
      <c r="AL65" s="12">
        <v>33000</v>
      </c>
      <c r="AM65" s="12">
        <f t="shared" si="12"/>
        <v>231000</v>
      </c>
    </row>
    <row r="66" spans="1:39">
      <c r="A66" s="52" t="s">
        <v>37</v>
      </c>
      <c r="B66" s="32">
        <v>903</v>
      </c>
      <c r="C66" s="33" t="s">
        <v>1103</v>
      </c>
      <c r="D66" s="33"/>
      <c r="E66" s="33" t="s">
        <v>360</v>
      </c>
      <c r="F66" s="32" t="s">
        <v>68</v>
      </c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34">
        <v>1</v>
      </c>
      <c r="R66" s="34">
        <v>1</v>
      </c>
      <c r="S66" s="34">
        <v>1</v>
      </c>
      <c r="T66" s="34">
        <v>1</v>
      </c>
      <c r="U66" s="34">
        <v>1</v>
      </c>
      <c r="V66" s="34">
        <v>1</v>
      </c>
      <c r="W66" s="34">
        <v>1</v>
      </c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10">
        <f t="shared" si="11"/>
        <v>7</v>
      </c>
      <c r="AL66" s="12">
        <v>33000</v>
      </c>
      <c r="AM66" s="12">
        <f t="shared" si="12"/>
        <v>231000</v>
      </c>
    </row>
    <row r="67" spans="1:39">
      <c r="A67" s="52" t="s">
        <v>37</v>
      </c>
      <c r="B67" s="32">
        <v>1101</v>
      </c>
      <c r="C67" s="33" t="s">
        <v>82</v>
      </c>
      <c r="D67" s="33"/>
      <c r="E67" s="33" t="s">
        <v>729</v>
      </c>
      <c r="F67" s="32" t="s">
        <v>83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34">
        <v>1</v>
      </c>
      <c r="R67" s="34">
        <v>1</v>
      </c>
      <c r="S67" s="34">
        <v>1</v>
      </c>
      <c r="T67" s="34">
        <v>1</v>
      </c>
      <c r="U67" s="34">
        <v>1</v>
      </c>
      <c r="V67" s="34">
        <v>1</v>
      </c>
      <c r="W67" s="34">
        <v>1</v>
      </c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10">
        <f t="shared" si="11"/>
        <v>7</v>
      </c>
      <c r="AL67" s="12">
        <v>33000</v>
      </c>
      <c r="AM67" s="12">
        <f t="shared" si="12"/>
        <v>231000</v>
      </c>
    </row>
    <row r="68" spans="1:39">
      <c r="A68" s="52" t="s">
        <v>37</v>
      </c>
      <c r="B68" s="32">
        <v>1101</v>
      </c>
      <c r="C68" s="33" t="s">
        <v>1104</v>
      </c>
      <c r="D68" s="33"/>
      <c r="E68" s="33" t="s">
        <v>79</v>
      </c>
      <c r="F68" s="32" t="s">
        <v>80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34">
        <v>1</v>
      </c>
      <c r="R68" s="34">
        <v>1</v>
      </c>
      <c r="S68" s="34">
        <v>1</v>
      </c>
      <c r="T68" s="34">
        <v>1</v>
      </c>
      <c r="U68" s="34">
        <v>1</v>
      </c>
      <c r="V68" s="34">
        <v>1</v>
      </c>
      <c r="W68" s="34">
        <v>1</v>
      </c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10">
        <f t="shared" si="11"/>
        <v>7</v>
      </c>
      <c r="AL68" s="12">
        <v>33000</v>
      </c>
      <c r="AM68" s="12">
        <f t="shared" si="12"/>
        <v>231000</v>
      </c>
    </row>
    <row r="69" spans="1:39">
      <c r="A69" s="52" t="s">
        <v>37</v>
      </c>
      <c r="B69" s="32">
        <v>1402</v>
      </c>
      <c r="C69" s="33" t="s">
        <v>425</v>
      </c>
      <c r="D69" s="33"/>
      <c r="E69" s="33" t="s">
        <v>721</v>
      </c>
      <c r="F69" s="32" t="s">
        <v>428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34">
        <v>1</v>
      </c>
      <c r="R69" s="34">
        <v>1</v>
      </c>
      <c r="S69" s="34">
        <v>1</v>
      </c>
      <c r="T69" s="34">
        <v>1</v>
      </c>
      <c r="U69" s="34">
        <v>1</v>
      </c>
      <c r="V69" s="34">
        <v>1</v>
      </c>
      <c r="W69" s="34">
        <v>1</v>
      </c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10">
        <f t="shared" si="11"/>
        <v>7</v>
      </c>
      <c r="AL69" s="12">
        <v>33000</v>
      </c>
      <c r="AM69" s="12">
        <f t="shared" si="12"/>
        <v>231000</v>
      </c>
    </row>
    <row r="70" spans="1:39">
      <c r="A70" s="52" t="s">
        <v>37</v>
      </c>
      <c r="B70" s="32">
        <v>1402</v>
      </c>
      <c r="C70" s="33" t="s">
        <v>731</v>
      </c>
      <c r="D70" s="33"/>
      <c r="E70" s="33" t="s">
        <v>732</v>
      </c>
      <c r="F70" s="32" t="s">
        <v>733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34">
        <v>1</v>
      </c>
      <c r="R70" s="34">
        <v>1</v>
      </c>
      <c r="S70" s="34">
        <v>1</v>
      </c>
      <c r="T70" s="34">
        <v>1</v>
      </c>
      <c r="U70" s="34">
        <v>1</v>
      </c>
      <c r="V70" s="34">
        <v>1</v>
      </c>
      <c r="W70" s="34">
        <v>1</v>
      </c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10">
        <f t="shared" si="11"/>
        <v>7</v>
      </c>
      <c r="AL70" s="12">
        <v>33000</v>
      </c>
      <c r="AM70" s="12">
        <f t="shared" si="12"/>
        <v>231000</v>
      </c>
    </row>
    <row r="71" spans="1:39">
      <c r="A71" s="52" t="s">
        <v>37</v>
      </c>
      <c r="B71" s="64">
        <v>506</v>
      </c>
      <c r="C71" s="33" t="s">
        <v>563</v>
      </c>
      <c r="D71" s="33"/>
      <c r="E71" s="33" t="s">
        <v>61</v>
      </c>
      <c r="F71" s="32" t="s">
        <v>62</v>
      </c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34">
        <v>1</v>
      </c>
      <c r="S71" s="34">
        <v>1</v>
      </c>
      <c r="T71" s="34">
        <v>1</v>
      </c>
      <c r="U71" s="34">
        <v>1</v>
      </c>
      <c r="V71" s="34">
        <v>1</v>
      </c>
      <c r="W71" s="34">
        <v>1</v>
      </c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87">
        <f t="shared" si="11"/>
        <v>6</v>
      </c>
      <c r="AL71" s="12">
        <v>60000</v>
      </c>
      <c r="AM71" s="12">
        <f t="shared" si="12"/>
        <v>360000</v>
      </c>
    </row>
    <row r="72" spans="1:39">
      <c r="A72" s="52" t="s">
        <v>37</v>
      </c>
      <c r="B72" s="32">
        <v>304</v>
      </c>
      <c r="C72" s="33" t="s">
        <v>207</v>
      </c>
      <c r="D72" s="33"/>
      <c r="E72" s="33" t="s">
        <v>22</v>
      </c>
      <c r="F72" s="32" t="s">
        <v>1106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34">
        <v>1</v>
      </c>
      <c r="T72" s="34">
        <v>1</v>
      </c>
      <c r="U72" s="34">
        <v>1</v>
      </c>
      <c r="V72" s="34">
        <v>1</v>
      </c>
      <c r="W72" s="34">
        <v>1</v>
      </c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10">
        <f t="shared" ref="AK72:AK77" si="13">SUM(G72:AJ72)</f>
        <v>5</v>
      </c>
      <c r="AL72" s="12">
        <v>33000</v>
      </c>
      <c r="AM72" s="12">
        <f t="shared" ref="AM72:AM77" si="14">AL72*AK72</f>
        <v>165000</v>
      </c>
    </row>
    <row r="73" spans="1:39">
      <c r="A73" s="52" t="s">
        <v>37</v>
      </c>
      <c r="B73" s="32">
        <v>304</v>
      </c>
      <c r="C73" s="33" t="s">
        <v>316</v>
      </c>
      <c r="D73" s="33"/>
      <c r="E73" s="33" t="s">
        <v>217</v>
      </c>
      <c r="F73" s="32" t="s">
        <v>1105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34">
        <v>1</v>
      </c>
      <c r="T73" s="34">
        <v>1</v>
      </c>
      <c r="U73" s="34">
        <v>1</v>
      </c>
      <c r="V73" s="34">
        <v>1</v>
      </c>
      <c r="W73" s="34">
        <v>1</v>
      </c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10">
        <f t="shared" si="13"/>
        <v>5</v>
      </c>
      <c r="AL73" s="12">
        <v>33000</v>
      </c>
      <c r="AM73" s="12">
        <f t="shared" si="14"/>
        <v>165000</v>
      </c>
    </row>
    <row r="74" spans="1:39">
      <c r="A74" s="52" t="s">
        <v>37</v>
      </c>
      <c r="B74" s="32">
        <v>203</v>
      </c>
      <c r="C74" s="33" t="s">
        <v>74</v>
      </c>
      <c r="D74" s="33" t="s">
        <v>18</v>
      </c>
      <c r="E74" s="33" t="s">
        <v>75</v>
      </c>
      <c r="F74" s="32" t="s">
        <v>76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34">
        <v>1</v>
      </c>
      <c r="W74" s="34">
        <v>1</v>
      </c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10">
        <f t="shared" si="13"/>
        <v>2</v>
      </c>
      <c r="AL74" s="12">
        <v>33000</v>
      </c>
      <c r="AM74" s="12">
        <f t="shared" si="14"/>
        <v>66000</v>
      </c>
    </row>
    <row r="75" spans="1:39">
      <c r="A75" s="52" t="s">
        <v>37</v>
      </c>
      <c r="B75" s="32">
        <v>203</v>
      </c>
      <c r="C75" s="80" t="s">
        <v>106</v>
      </c>
      <c r="D75" s="81"/>
      <c r="E75" s="81" t="s">
        <v>75</v>
      </c>
      <c r="F75" s="82" t="s">
        <v>884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34">
        <v>1</v>
      </c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10">
        <f t="shared" si="13"/>
        <v>1</v>
      </c>
      <c r="AL75" s="12">
        <v>33000</v>
      </c>
      <c r="AM75" s="12">
        <f t="shared" si="14"/>
        <v>33000</v>
      </c>
    </row>
    <row r="76" spans="1:39">
      <c r="A76" s="52" t="s">
        <v>37</v>
      </c>
      <c r="B76" s="88">
        <v>203</v>
      </c>
      <c r="C76" s="122" t="s">
        <v>1107</v>
      </c>
      <c r="D76" s="123"/>
      <c r="E76" s="123"/>
      <c r="F76" s="124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34">
        <v>1</v>
      </c>
      <c r="U76" s="34">
        <v>1</v>
      </c>
      <c r="V76" s="34">
        <v>1</v>
      </c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90">
        <f t="shared" si="13"/>
        <v>3</v>
      </c>
      <c r="AL76" s="12">
        <v>20500</v>
      </c>
      <c r="AM76" s="12">
        <f t="shared" si="14"/>
        <v>61500</v>
      </c>
    </row>
    <row r="77" spans="1:39" ht="13.5" thickBot="1">
      <c r="A77" s="47" t="s">
        <v>37</v>
      </c>
      <c r="B77" s="89">
        <v>203</v>
      </c>
      <c r="C77" s="125" t="s">
        <v>1107</v>
      </c>
      <c r="D77" s="126"/>
      <c r="E77" s="126"/>
      <c r="F77" s="127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39">
        <v>1</v>
      </c>
      <c r="U77" s="39">
        <v>1</v>
      </c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91">
        <f t="shared" si="13"/>
        <v>2</v>
      </c>
      <c r="AL77" s="14">
        <v>20500</v>
      </c>
      <c r="AM77" s="14">
        <f t="shared" si="14"/>
        <v>41000</v>
      </c>
    </row>
    <row r="78" spans="1:39">
      <c r="A78" s="45" t="s">
        <v>37</v>
      </c>
      <c r="B78" s="32">
        <v>203</v>
      </c>
      <c r="C78" s="33" t="s">
        <v>74</v>
      </c>
      <c r="D78" s="33"/>
      <c r="E78" s="33" t="s">
        <v>75</v>
      </c>
      <c r="F78" s="32" t="s">
        <v>76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34">
        <v>1</v>
      </c>
      <c r="Y78" s="34">
        <v>1</v>
      </c>
      <c r="Z78" s="34">
        <v>1</v>
      </c>
      <c r="AA78" s="34">
        <v>1</v>
      </c>
      <c r="AB78" s="34">
        <v>1</v>
      </c>
      <c r="AC78" s="34">
        <v>1</v>
      </c>
      <c r="AD78" s="34">
        <v>1</v>
      </c>
      <c r="AE78" s="67"/>
      <c r="AF78" s="67"/>
      <c r="AG78" s="67"/>
      <c r="AH78" s="67"/>
      <c r="AI78" s="67"/>
      <c r="AJ78" s="67"/>
      <c r="AK78" s="42">
        <f t="shared" ref="AK78:AK98" si="15">SUM(G78:AJ78)</f>
        <v>7</v>
      </c>
      <c r="AL78" s="11">
        <v>33000</v>
      </c>
      <c r="AM78" s="11">
        <f t="shared" ref="AM78:AM98" si="16">AL78*AK78</f>
        <v>231000</v>
      </c>
    </row>
    <row r="79" spans="1:39">
      <c r="A79" s="45" t="s">
        <v>37</v>
      </c>
      <c r="B79" s="32">
        <v>203</v>
      </c>
      <c r="C79" s="80" t="s">
        <v>27</v>
      </c>
      <c r="D79" s="86"/>
      <c r="E79" s="81" t="s">
        <v>61</v>
      </c>
      <c r="F79" s="82" t="s">
        <v>62</v>
      </c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34">
        <v>1</v>
      </c>
      <c r="AE79" s="67"/>
      <c r="AF79" s="67"/>
      <c r="AG79" s="67"/>
      <c r="AH79" s="67"/>
      <c r="AI79" s="67"/>
      <c r="AJ79" s="67"/>
      <c r="AK79" s="10">
        <f t="shared" ref="AK79" si="17">SUM(G79:AJ79)</f>
        <v>1</v>
      </c>
      <c r="AL79" s="12">
        <v>33000</v>
      </c>
      <c r="AM79" s="12">
        <f t="shared" ref="AM79" si="18">AL79*AK79</f>
        <v>33000</v>
      </c>
    </row>
    <row r="80" spans="1:39">
      <c r="A80" s="52" t="s">
        <v>37</v>
      </c>
      <c r="B80" s="88">
        <v>203</v>
      </c>
      <c r="C80" s="122" t="s">
        <v>1107</v>
      </c>
      <c r="D80" s="123"/>
      <c r="E80" s="123"/>
      <c r="F80" s="124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34">
        <v>1</v>
      </c>
      <c r="Y80" s="34">
        <v>1</v>
      </c>
      <c r="Z80" s="34">
        <v>1</v>
      </c>
      <c r="AA80" s="34">
        <v>1</v>
      </c>
      <c r="AB80" s="34">
        <v>1</v>
      </c>
      <c r="AC80" s="34">
        <v>1</v>
      </c>
      <c r="AD80" s="67"/>
      <c r="AE80" s="67"/>
      <c r="AF80" s="67"/>
      <c r="AG80" s="67"/>
      <c r="AH80" s="67"/>
      <c r="AI80" s="67"/>
      <c r="AJ80" s="67"/>
      <c r="AK80" s="90">
        <f t="shared" si="15"/>
        <v>6</v>
      </c>
      <c r="AL80" s="12">
        <v>20500</v>
      </c>
      <c r="AM80" s="12">
        <f t="shared" si="16"/>
        <v>123000</v>
      </c>
    </row>
    <row r="81" spans="1:39">
      <c r="A81" s="52" t="s">
        <v>37</v>
      </c>
      <c r="B81" s="32">
        <v>205</v>
      </c>
      <c r="C81" s="33" t="s">
        <v>56</v>
      </c>
      <c r="D81" s="33"/>
      <c r="E81" s="33" t="s">
        <v>57</v>
      </c>
      <c r="F81" s="32" t="s">
        <v>58</v>
      </c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34">
        <v>1</v>
      </c>
      <c r="Y81" s="34">
        <v>1</v>
      </c>
      <c r="Z81" s="34">
        <v>1</v>
      </c>
      <c r="AA81" s="34">
        <v>1</v>
      </c>
      <c r="AB81" s="34">
        <v>1</v>
      </c>
      <c r="AC81" s="34">
        <v>1</v>
      </c>
      <c r="AD81" s="34">
        <v>1</v>
      </c>
      <c r="AE81" s="67"/>
      <c r="AF81" s="67"/>
      <c r="AG81" s="67"/>
      <c r="AH81" s="67"/>
      <c r="AI81" s="67"/>
      <c r="AJ81" s="67"/>
      <c r="AK81" s="10">
        <f t="shared" si="15"/>
        <v>7</v>
      </c>
      <c r="AL81" s="12">
        <v>33000</v>
      </c>
      <c r="AM81" s="12">
        <f t="shared" si="16"/>
        <v>231000</v>
      </c>
    </row>
    <row r="82" spans="1:39">
      <c r="A82" s="52" t="s">
        <v>37</v>
      </c>
      <c r="B82" s="32">
        <v>205</v>
      </c>
      <c r="C82" s="83" t="s">
        <v>27</v>
      </c>
      <c r="D82" s="84"/>
      <c r="E82" s="84" t="s">
        <v>59</v>
      </c>
      <c r="F82" s="85" t="s">
        <v>60</v>
      </c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34">
        <v>1</v>
      </c>
      <c r="Y82" s="34">
        <v>1</v>
      </c>
      <c r="Z82" s="34">
        <v>1</v>
      </c>
      <c r="AA82" s="34">
        <v>1</v>
      </c>
      <c r="AB82" s="34">
        <v>1</v>
      </c>
      <c r="AC82" s="34">
        <v>1</v>
      </c>
      <c r="AD82" s="34">
        <v>1</v>
      </c>
      <c r="AE82" s="67"/>
      <c r="AF82" s="67"/>
      <c r="AG82" s="67"/>
      <c r="AH82" s="67"/>
      <c r="AI82" s="67"/>
      <c r="AJ82" s="67"/>
      <c r="AK82" s="10">
        <f t="shared" si="15"/>
        <v>7</v>
      </c>
      <c r="AL82" s="12">
        <v>33000</v>
      </c>
      <c r="AM82" s="12">
        <f t="shared" si="16"/>
        <v>231000</v>
      </c>
    </row>
    <row r="83" spans="1:39">
      <c r="A83" s="52" t="s">
        <v>37</v>
      </c>
      <c r="B83" s="32">
        <v>302</v>
      </c>
      <c r="C83" s="33" t="s">
        <v>869</v>
      </c>
      <c r="D83" s="33"/>
      <c r="E83" s="33" t="s">
        <v>61</v>
      </c>
      <c r="F83" s="32" t="s">
        <v>308</v>
      </c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34">
        <v>1</v>
      </c>
      <c r="Y83" s="34">
        <v>1</v>
      </c>
      <c r="Z83" s="34">
        <v>1</v>
      </c>
      <c r="AA83" s="34">
        <v>1</v>
      </c>
      <c r="AB83" s="34">
        <v>1</v>
      </c>
      <c r="AC83" s="34">
        <v>1</v>
      </c>
      <c r="AD83" s="34">
        <v>1</v>
      </c>
      <c r="AE83" s="67"/>
      <c r="AF83" s="67"/>
      <c r="AG83" s="67"/>
      <c r="AH83" s="67"/>
      <c r="AI83" s="67"/>
      <c r="AJ83" s="67"/>
      <c r="AK83" s="10">
        <f t="shared" si="15"/>
        <v>7</v>
      </c>
      <c r="AL83" s="12">
        <v>33000</v>
      </c>
      <c r="AM83" s="12">
        <f t="shared" si="16"/>
        <v>231000</v>
      </c>
    </row>
    <row r="84" spans="1:39">
      <c r="A84" s="52" t="s">
        <v>37</v>
      </c>
      <c r="B84" s="32">
        <v>302</v>
      </c>
      <c r="C84" s="33" t="s">
        <v>313</v>
      </c>
      <c r="D84" s="33"/>
      <c r="E84" s="33" t="s">
        <v>312</v>
      </c>
      <c r="F84" s="32" t="s">
        <v>310</v>
      </c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34">
        <v>1</v>
      </c>
      <c r="Y84" s="34">
        <v>1</v>
      </c>
      <c r="Z84" s="34">
        <v>1</v>
      </c>
      <c r="AA84" s="34">
        <v>1</v>
      </c>
      <c r="AB84" s="34">
        <v>1</v>
      </c>
      <c r="AC84" s="34">
        <v>1</v>
      </c>
      <c r="AD84" s="34">
        <v>1</v>
      </c>
      <c r="AE84" s="67"/>
      <c r="AF84" s="67"/>
      <c r="AG84" s="67"/>
      <c r="AH84" s="67"/>
      <c r="AI84" s="67"/>
      <c r="AJ84" s="67"/>
      <c r="AK84" s="10">
        <f t="shared" si="15"/>
        <v>7</v>
      </c>
      <c r="AL84" s="12">
        <v>33000</v>
      </c>
      <c r="AM84" s="12">
        <f t="shared" si="16"/>
        <v>231000</v>
      </c>
    </row>
    <row r="85" spans="1:39">
      <c r="A85" s="52" t="s">
        <v>37</v>
      </c>
      <c r="B85" s="32">
        <v>304</v>
      </c>
      <c r="C85" s="33" t="s">
        <v>55</v>
      </c>
      <c r="D85" s="33"/>
      <c r="E85" s="33" t="s">
        <v>41</v>
      </c>
      <c r="F85" s="32" t="s">
        <v>564</v>
      </c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34">
        <v>1</v>
      </c>
      <c r="Y85" s="34">
        <v>1</v>
      </c>
      <c r="Z85" s="34">
        <v>1</v>
      </c>
      <c r="AA85" s="34">
        <v>1</v>
      </c>
      <c r="AB85" s="34">
        <v>1</v>
      </c>
      <c r="AC85" s="34">
        <v>1</v>
      </c>
      <c r="AD85" s="34">
        <v>1</v>
      </c>
      <c r="AE85" s="67"/>
      <c r="AF85" s="67"/>
      <c r="AG85" s="67"/>
      <c r="AH85" s="67"/>
      <c r="AI85" s="67"/>
      <c r="AJ85" s="67"/>
      <c r="AK85" s="10">
        <f t="shared" si="15"/>
        <v>7</v>
      </c>
      <c r="AL85" s="12">
        <v>33000</v>
      </c>
      <c r="AM85" s="12">
        <f t="shared" si="16"/>
        <v>231000</v>
      </c>
    </row>
    <row r="86" spans="1:39">
      <c r="A86" s="52" t="s">
        <v>37</v>
      </c>
      <c r="B86" s="32">
        <v>304</v>
      </c>
      <c r="C86" s="33" t="s">
        <v>49</v>
      </c>
      <c r="D86" s="33"/>
      <c r="E86" s="33" t="s">
        <v>51</v>
      </c>
      <c r="F86" s="32" t="s">
        <v>52</v>
      </c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34">
        <v>1</v>
      </c>
      <c r="Y86" s="34">
        <v>1</v>
      </c>
      <c r="Z86" s="34">
        <v>1</v>
      </c>
      <c r="AA86" s="34">
        <v>1</v>
      </c>
      <c r="AB86" s="34">
        <v>1</v>
      </c>
      <c r="AC86" s="34">
        <v>1</v>
      </c>
      <c r="AD86" s="34">
        <v>1</v>
      </c>
      <c r="AE86" s="67"/>
      <c r="AF86" s="67"/>
      <c r="AG86" s="67"/>
      <c r="AH86" s="67"/>
      <c r="AI86" s="67"/>
      <c r="AJ86" s="67"/>
      <c r="AK86" s="10">
        <f t="shared" si="15"/>
        <v>7</v>
      </c>
      <c r="AL86" s="12">
        <v>33000</v>
      </c>
      <c r="AM86" s="12">
        <f t="shared" si="16"/>
        <v>231000</v>
      </c>
    </row>
    <row r="87" spans="1:39">
      <c r="A87" s="52" t="s">
        <v>37</v>
      </c>
      <c r="B87" s="64">
        <v>401</v>
      </c>
      <c r="C87" s="83" t="s">
        <v>123</v>
      </c>
      <c r="D87" s="84"/>
      <c r="E87" s="84" t="s">
        <v>1108</v>
      </c>
      <c r="F87" s="85" t="s">
        <v>1109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34">
        <v>1</v>
      </c>
      <c r="Y87" s="34">
        <v>1</v>
      </c>
      <c r="Z87" s="34">
        <v>1</v>
      </c>
      <c r="AA87" s="34">
        <v>1</v>
      </c>
      <c r="AB87" s="34">
        <v>1</v>
      </c>
      <c r="AC87" s="34">
        <v>1</v>
      </c>
      <c r="AD87" s="34">
        <v>1</v>
      </c>
      <c r="AE87" s="67"/>
      <c r="AF87" s="67"/>
      <c r="AG87" s="67"/>
      <c r="AH87" s="67"/>
      <c r="AI87" s="67"/>
      <c r="AJ87" s="67"/>
      <c r="AK87" s="10">
        <f t="shared" si="15"/>
        <v>7</v>
      </c>
      <c r="AL87" s="12">
        <v>33000</v>
      </c>
      <c r="AM87" s="12">
        <f t="shared" si="16"/>
        <v>231000</v>
      </c>
    </row>
    <row r="88" spans="1:39">
      <c r="A88" s="52" t="s">
        <v>37</v>
      </c>
      <c r="B88" s="32">
        <v>404</v>
      </c>
      <c r="C88" s="33" t="s">
        <v>63</v>
      </c>
      <c r="D88" s="33"/>
      <c r="E88" s="33" t="s">
        <v>64</v>
      </c>
      <c r="F88" s="32" t="s">
        <v>65</v>
      </c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34">
        <v>1</v>
      </c>
      <c r="Y88" s="34">
        <v>1</v>
      </c>
      <c r="Z88" s="34">
        <v>1</v>
      </c>
      <c r="AA88" s="34">
        <v>1</v>
      </c>
      <c r="AB88" s="34">
        <v>1</v>
      </c>
      <c r="AC88" s="34">
        <v>1</v>
      </c>
      <c r="AD88" s="34">
        <v>1</v>
      </c>
      <c r="AE88" s="67"/>
      <c r="AF88" s="67"/>
      <c r="AG88" s="67"/>
      <c r="AH88" s="67"/>
      <c r="AI88" s="67"/>
      <c r="AJ88" s="67"/>
      <c r="AK88" s="10">
        <f t="shared" si="15"/>
        <v>7</v>
      </c>
      <c r="AL88" s="12">
        <v>33000</v>
      </c>
      <c r="AM88" s="12">
        <f t="shared" si="16"/>
        <v>231000</v>
      </c>
    </row>
    <row r="89" spans="1:39">
      <c r="A89" s="52" t="s">
        <v>37</v>
      </c>
      <c r="B89" s="32">
        <v>404</v>
      </c>
      <c r="C89" s="33" t="s">
        <v>311</v>
      </c>
      <c r="D89" s="33"/>
      <c r="E89" s="33" t="s">
        <v>25</v>
      </c>
      <c r="F89" s="32" t="s">
        <v>309</v>
      </c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34">
        <v>1</v>
      </c>
      <c r="Y89" s="34">
        <v>1</v>
      </c>
      <c r="Z89" s="34">
        <v>1</v>
      </c>
      <c r="AA89" s="34">
        <v>1</v>
      </c>
      <c r="AB89" s="34">
        <v>1</v>
      </c>
      <c r="AC89" s="34">
        <v>1</v>
      </c>
      <c r="AD89" s="34">
        <v>1</v>
      </c>
      <c r="AE89" s="67"/>
      <c r="AF89" s="67"/>
      <c r="AG89" s="67"/>
      <c r="AH89" s="67"/>
      <c r="AI89" s="67"/>
      <c r="AJ89" s="67"/>
      <c r="AK89" s="10">
        <f t="shared" si="15"/>
        <v>7</v>
      </c>
      <c r="AL89" s="12">
        <v>33000</v>
      </c>
      <c r="AM89" s="12">
        <f t="shared" si="16"/>
        <v>231000</v>
      </c>
    </row>
    <row r="90" spans="1:39">
      <c r="A90" s="52" t="s">
        <v>37</v>
      </c>
      <c r="B90" s="64">
        <v>406</v>
      </c>
      <c r="C90" s="33" t="s">
        <v>514</v>
      </c>
      <c r="D90" s="33"/>
      <c r="E90" s="33" t="s">
        <v>717</v>
      </c>
      <c r="F90" s="32" t="s">
        <v>438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34">
        <v>1</v>
      </c>
      <c r="Y90" s="34">
        <v>1</v>
      </c>
      <c r="Z90" s="34">
        <v>1</v>
      </c>
      <c r="AA90" s="34">
        <v>1</v>
      </c>
      <c r="AB90" s="34">
        <v>1</v>
      </c>
      <c r="AC90" s="34">
        <v>1</v>
      </c>
      <c r="AD90" s="34">
        <v>1</v>
      </c>
      <c r="AE90" s="67"/>
      <c r="AF90" s="67"/>
      <c r="AG90" s="67"/>
      <c r="AH90" s="67"/>
      <c r="AI90" s="67"/>
      <c r="AJ90" s="67"/>
      <c r="AK90" s="10">
        <f t="shared" si="15"/>
        <v>7</v>
      </c>
      <c r="AL90" s="12">
        <v>33000</v>
      </c>
      <c r="AM90" s="12">
        <f t="shared" si="16"/>
        <v>231000</v>
      </c>
    </row>
    <row r="91" spans="1:39">
      <c r="A91" s="52" t="s">
        <v>37</v>
      </c>
      <c r="B91" s="32">
        <v>604</v>
      </c>
      <c r="C91" s="33" t="s">
        <v>19</v>
      </c>
      <c r="D91" s="33"/>
      <c r="E91" s="33" t="s">
        <v>21</v>
      </c>
      <c r="F91" s="32" t="s">
        <v>724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34">
        <v>1</v>
      </c>
      <c r="Y91" s="34">
        <v>1</v>
      </c>
      <c r="Z91" s="34">
        <v>1</v>
      </c>
      <c r="AA91" s="34">
        <v>1</v>
      </c>
      <c r="AB91" s="34">
        <v>1</v>
      </c>
      <c r="AC91" s="34">
        <v>1</v>
      </c>
      <c r="AD91" s="34">
        <v>1</v>
      </c>
      <c r="AE91" s="67"/>
      <c r="AF91" s="67"/>
      <c r="AG91" s="67"/>
      <c r="AH91" s="67"/>
      <c r="AI91" s="67"/>
      <c r="AJ91" s="67"/>
      <c r="AK91" s="10">
        <f t="shared" si="15"/>
        <v>7</v>
      </c>
      <c r="AL91" s="12">
        <v>33000</v>
      </c>
      <c r="AM91" s="12">
        <f t="shared" si="16"/>
        <v>231000</v>
      </c>
    </row>
    <row r="92" spans="1:39">
      <c r="A92" s="52" t="s">
        <v>37</v>
      </c>
      <c r="B92" s="32">
        <v>604</v>
      </c>
      <c r="C92" s="33" t="s">
        <v>529</v>
      </c>
      <c r="D92" s="33"/>
      <c r="E92" s="33" t="s">
        <v>200</v>
      </c>
      <c r="F92" s="32" t="s">
        <v>726</v>
      </c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34">
        <v>1</v>
      </c>
      <c r="Y92" s="34">
        <v>1</v>
      </c>
      <c r="Z92" s="34">
        <v>1</v>
      </c>
      <c r="AA92" s="34">
        <v>1</v>
      </c>
      <c r="AB92" s="34">
        <v>1</v>
      </c>
      <c r="AC92" s="34">
        <v>1</v>
      </c>
      <c r="AD92" s="34">
        <v>1</v>
      </c>
      <c r="AE92" s="67"/>
      <c r="AF92" s="67"/>
      <c r="AG92" s="67"/>
      <c r="AH92" s="67"/>
      <c r="AI92" s="67"/>
      <c r="AJ92" s="67"/>
      <c r="AK92" s="10">
        <f t="shared" si="15"/>
        <v>7</v>
      </c>
      <c r="AL92" s="12">
        <v>33000</v>
      </c>
      <c r="AM92" s="12">
        <f t="shared" si="16"/>
        <v>231000</v>
      </c>
    </row>
    <row r="93" spans="1:39">
      <c r="A93" s="52" t="s">
        <v>37</v>
      </c>
      <c r="B93" s="32">
        <v>903</v>
      </c>
      <c r="C93" s="33" t="s">
        <v>69</v>
      </c>
      <c r="D93" s="33"/>
      <c r="E93" s="33" t="s">
        <v>70</v>
      </c>
      <c r="F93" s="32" t="s">
        <v>71</v>
      </c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34">
        <v>1</v>
      </c>
      <c r="Y93" s="34">
        <v>1</v>
      </c>
      <c r="Z93" s="34">
        <v>1</v>
      </c>
      <c r="AA93" s="34">
        <v>1</v>
      </c>
      <c r="AB93" s="34">
        <v>1</v>
      </c>
      <c r="AC93" s="34">
        <v>1</v>
      </c>
      <c r="AD93" s="34">
        <v>1</v>
      </c>
      <c r="AE93" s="67"/>
      <c r="AF93" s="67"/>
      <c r="AG93" s="67"/>
      <c r="AH93" s="67"/>
      <c r="AI93" s="67"/>
      <c r="AJ93" s="67"/>
      <c r="AK93" s="10">
        <f t="shared" si="15"/>
        <v>7</v>
      </c>
      <c r="AL93" s="12">
        <v>33000</v>
      </c>
      <c r="AM93" s="12">
        <f t="shared" si="16"/>
        <v>231000</v>
      </c>
    </row>
    <row r="94" spans="1:39">
      <c r="A94" s="52" t="s">
        <v>37</v>
      </c>
      <c r="B94" s="32">
        <v>903</v>
      </c>
      <c r="C94" s="33" t="s">
        <v>14</v>
      </c>
      <c r="D94" s="33"/>
      <c r="E94" s="33" t="s">
        <v>38</v>
      </c>
      <c r="F94" s="32" t="s">
        <v>39</v>
      </c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34">
        <v>1</v>
      </c>
      <c r="Y94" s="34">
        <v>1</v>
      </c>
      <c r="Z94" s="34">
        <v>1</v>
      </c>
      <c r="AA94" s="34">
        <v>1</v>
      </c>
      <c r="AB94" s="34">
        <v>1</v>
      </c>
      <c r="AC94" s="34">
        <v>1</v>
      </c>
      <c r="AD94" s="34">
        <v>1</v>
      </c>
      <c r="AE94" s="67"/>
      <c r="AF94" s="67"/>
      <c r="AG94" s="67"/>
      <c r="AH94" s="67"/>
      <c r="AI94" s="67"/>
      <c r="AJ94" s="67"/>
      <c r="AK94" s="10">
        <f t="shared" si="15"/>
        <v>7</v>
      </c>
      <c r="AL94" s="12">
        <v>33000</v>
      </c>
      <c r="AM94" s="12">
        <f t="shared" si="16"/>
        <v>231000</v>
      </c>
    </row>
    <row r="95" spans="1:39">
      <c r="A95" s="52" t="s">
        <v>37</v>
      </c>
      <c r="B95" s="32">
        <v>1101</v>
      </c>
      <c r="C95" s="33" t="s">
        <v>43</v>
      </c>
      <c r="D95" s="33"/>
      <c r="E95" s="33" t="s">
        <v>44</v>
      </c>
      <c r="F95" s="32" t="s">
        <v>45</v>
      </c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34">
        <v>1</v>
      </c>
      <c r="Y95" s="34">
        <v>1</v>
      </c>
      <c r="Z95" s="34">
        <v>1</v>
      </c>
      <c r="AA95" s="34">
        <v>1</v>
      </c>
      <c r="AB95" s="34">
        <v>1</v>
      </c>
      <c r="AC95" s="34">
        <v>1</v>
      </c>
      <c r="AD95" s="34">
        <v>1</v>
      </c>
      <c r="AE95" s="67"/>
      <c r="AF95" s="67"/>
      <c r="AG95" s="67"/>
      <c r="AH95" s="67"/>
      <c r="AI95" s="67"/>
      <c r="AJ95" s="67"/>
      <c r="AK95" s="10">
        <f t="shared" si="15"/>
        <v>7</v>
      </c>
      <c r="AL95" s="12">
        <v>33000</v>
      </c>
      <c r="AM95" s="12">
        <f t="shared" si="16"/>
        <v>231000</v>
      </c>
    </row>
    <row r="96" spans="1:39">
      <c r="A96" s="52" t="s">
        <v>37</v>
      </c>
      <c r="B96" s="32">
        <v>1101</v>
      </c>
      <c r="C96" s="33" t="s">
        <v>46</v>
      </c>
      <c r="D96" s="33"/>
      <c r="E96" s="33" t="s">
        <v>47</v>
      </c>
      <c r="F96" s="32" t="s">
        <v>48</v>
      </c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34">
        <v>1</v>
      </c>
      <c r="Y96" s="34">
        <v>1</v>
      </c>
      <c r="Z96" s="34">
        <v>1</v>
      </c>
      <c r="AA96" s="34">
        <v>1</v>
      </c>
      <c r="AB96" s="34">
        <v>1</v>
      </c>
      <c r="AC96" s="34">
        <v>1</v>
      </c>
      <c r="AD96" s="34">
        <v>1</v>
      </c>
      <c r="AE96" s="67"/>
      <c r="AF96" s="67"/>
      <c r="AG96" s="67"/>
      <c r="AH96" s="67"/>
      <c r="AI96" s="67"/>
      <c r="AJ96" s="67"/>
      <c r="AK96" s="10">
        <f t="shared" si="15"/>
        <v>7</v>
      </c>
      <c r="AL96" s="12">
        <v>33000</v>
      </c>
      <c r="AM96" s="12">
        <f t="shared" si="16"/>
        <v>231000</v>
      </c>
    </row>
    <row r="97" spans="1:39">
      <c r="A97" s="52" t="s">
        <v>37</v>
      </c>
      <c r="B97" s="32">
        <v>1402</v>
      </c>
      <c r="C97" s="33" t="s">
        <v>50</v>
      </c>
      <c r="D97" s="33"/>
      <c r="E97" s="33" t="s">
        <v>53</v>
      </c>
      <c r="F97" s="32" t="s">
        <v>54</v>
      </c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34">
        <v>1</v>
      </c>
      <c r="Y97" s="34">
        <v>1</v>
      </c>
      <c r="Z97" s="34">
        <v>1</v>
      </c>
      <c r="AA97" s="34">
        <v>1</v>
      </c>
      <c r="AB97" s="34">
        <v>1</v>
      </c>
      <c r="AC97" s="34">
        <v>1</v>
      </c>
      <c r="AD97" s="34">
        <v>1</v>
      </c>
      <c r="AE97" s="67"/>
      <c r="AF97" s="67"/>
      <c r="AG97" s="67"/>
      <c r="AH97" s="67"/>
      <c r="AI97" s="67"/>
      <c r="AJ97" s="67"/>
      <c r="AK97" s="10">
        <f t="shared" si="15"/>
        <v>7</v>
      </c>
      <c r="AL97" s="12">
        <v>33000</v>
      </c>
      <c r="AM97" s="12">
        <f t="shared" si="16"/>
        <v>231000</v>
      </c>
    </row>
    <row r="98" spans="1:39">
      <c r="A98" s="52" t="s">
        <v>37</v>
      </c>
      <c r="B98" s="32">
        <v>1402</v>
      </c>
      <c r="C98" s="33" t="s">
        <v>40</v>
      </c>
      <c r="D98" s="33"/>
      <c r="E98" s="33" t="s">
        <v>41</v>
      </c>
      <c r="F98" s="32" t="s">
        <v>42</v>
      </c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34">
        <v>1</v>
      </c>
      <c r="Y98" s="34">
        <v>1</v>
      </c>
      <c r="Z98" s="34">
        <v>1</v>
      </c>
      <c r="AA98" s="34">
        <v>1</v>
      </c>
      <c r="AB98" s="34">
        <v>1</v>
      </c>
      <c r="AC98" s="34">
        <v>1</v>
      </c>
      <c r="AD98" s="34">
        <v>1</v>
      </c>
      <c r="AE98" s="67"/>
      <c r="AF98" s="67"/>
      <c r="AG98" s="67"/>
      <c r="AH98" s="67"/>
      <c r="AI98" s="67"/>
      <c r="AJ98" s="67"/>
      <c r="AK98" s="10">
        <f t="shared" si="15"/>
        <v>7</v>
      </c>
      <c r="AL98" s="12">
        <v>33000</v>
      </c>
      <c r="AM98" s="12">
        <f t="shared" si="16"/>
        <v>231000</v>
      </c>
    </row>
    <row r="99" spans="1:39">
      <c r="A99" s="52" t="s">
        <v>37</v>
      </c>
      <c r="B99" s="32">
        <v>203</v>
      </c>
      <c r="C99" s="33" t="s">
        <v>74</v>
      </c>
      <c r="D99" s="33" t="s">
        <v>18</v>
      </c>
      <c r="E99" s="33" t="s">
        <v>75</v>
      </c>
      <c r="F99" s="32" t="s">
        <v>76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67"/>
      <c r="X99" s="67"/>
      <c r="Y99" s="67"/>
      <c r="Z99" s="67"/>
      <c r="AA99" s="67"/>
      <c r="AB99" s="67"/>
      <c r="AC99" s="67"/>
      <c r="AD99" s="67"/>
      <c r="AE99" s="34">
        <v>1</v>
      </c>
      <c r="AF99" s="34">
        <v>1</v>
      </c>
      <c r="AG99" s="34">
        <v>1</v>
      </c>
      <c r="AH99" s="34">
        <v>1</v>
      </c>
      <c r="AI99" s="34">
        <v>1</v>
      </c>
      <c r="AJ99" s="34">
        <v>1</v>
      </c>
      <c r="AK99" s="10">
        <f t="shared" ref="AK99:AK118" si="19">SUM(G99:AJ99)</f>
        <v>6</v>
      </c>
      <c r="AL99" s="12">
        <v>33000</v>
      </c>
      <c r="AM99" s="12">
        <f t="shared" ref="AM99:AM118" si="20">AL99*AK99</f>
        <v>198000</v>
      </c>
    </row>
    <row r="100" spans="1:39">
      <c r="A100" s="52" t="s">
        <v>37</v>
      </c>
      <c r="B100" s="32">
        <v>203</v>
      </c>
      <c r="C100" s="33" t="s">
        <v>27</v>
      </c>
      <c r="D100" s="33" t="s">
        <v>122</v>
      </c>
      <c r="E100" s="33" t="s">
        <v>61</v>
      </c>
      <c r="F100" s="32" t="s">
        <v>62</v>
      </c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67"/>
      <c r="X100" s="67"/>
      <c r="Y100" s="67"/>
      <c r="Z100" s="67"/>
      <c r="AA100" s="67"/>
      <c r="AB100" s="67"/>
      <c r="AC100" s="67"/>
      <c r="AD100" s="67"/>
      <c r="AE100" s="34">
        <v>1</v>
      </c>
      <c r="AF100" s="34">
        <v>1</v>
      </c>
      <c r="AG100" s="34">
        <v>1</v>
      </c>
      <c r="AH100" s="34">
        <v>1</v>
      </c>
      <c r="AI100" s="34">
        <v>1</v>
      </c>
      <c r="AJ100" s="34">
        <v>1</v>
      </c>
      <c r="AK100" s="10">
        <f t="shared" si="19"/>
        <v>6</v>
      </c>
      <c r="AL100" s="12">
        <v>33000</v>
      </c>
      <c r="AM100" s="12">
        <f t="shared" si="20"/>
        <v>198000</v>
      </c>
    </row>
    <row r="101" spans="1:39">
      <c r="A101" s="52" t="s">
        <v>37</v>
      </c>
      <c r="B101" s="32">
        <v>205</v>
      </c>
      <c r="C101" s="33" t="s">
        <v>1125</v>
      </c>
      <c r="D101" s="33" t="s">
        <v>415</v>
      </c>
      <c r="E101" s="33" t="s">
        <v>200</v>
      </c>
      <c r="F101" s="32" t="s">
        <v>989</v>
      </c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67"/>
      <c r="X101" s="67"/>
      <c r="Y101" s="67"/>
      <c r="Z101" s="67"/>
      <c r="AA101" s="67"/>
      <c r="AB101" s="67"/>
      <c r="AC101" s="67"/>
      <c r="AD101" s="67"/>
      <c r="AE101" s="34">
        <v>1</v>
      </c>
      <c r="AF101" s="34">
        <v>1</v>
      </c>
      <c r="AG101" s="34">
        <v>1</v>
      </c>
      <c r="AH101" s="34">
        <v>1</v>
      </c>
      <c r="AI101" s="34">
        <v>1</v>
      </c>
      <c r="AJ101" s="34">
        <v>1</v>
      </c>
      <c r="AK101" s="10">
        <f t="shared" si="19"/>
        <v>6</v>
      </c>
      <c r="AL101" s="12">
        <v>33000</v>
      </c>
      <c r="AM101" s="12">
        <f t="shared" si="20"/>
        <v>198000</v>
      </c>
    </row>
    <row r="102" spans="1:39">
      <c r="A102" s="52" t="s">
        <v>37</v>
      </c>
      <c r="B102" s="32">
        <v>205</v>
      </c>
      <c r="C102" s="33" t="s">
        <v>46</v>
      </c>
      <c r="D102" s="33" t="s">
        <v>629</v>
      </c>
      <c r="E102" s="33" t="s">
        <v>590</v>
      </c>
      <c r="F102" s="32" t="s">
        <v>988</v>
      </c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67"/>
      <c r="X102" s="67"/>
      <c r="Y102" s="67"/>
      <c r="Z102" s="67"/>
      <c r="AA102" s="67"/>
      <c r="AB102" s="67"/>
      <c r="AC102" s="67"/>
      <c r="AD102" s="67"/>
      <c r="AE102" s="34">
        <v>1</v>
      </c>
      <c r="AF102" s="34">
        <v>1</v>
      </c>
      <c r="AG102" s="34">
        <v>1</v>
      </c>
      <c r="AH102" s="34">
        <v>1</v>
      </c>
      <c r="AI102" s="34">
        <v>1</v>
      </c>
      <c r="AJ102" s="34">
        <v>1</v>
      </c>
      <c r="AK102" s="10">
        <f t="shared" si="19"/>
        <v>6</v>
      </c>
      <c r="AL102" s="12">
        <v>33000</v>
      </c>
      <c r="AM102" s="12">
        <f t="shared" si="20"/>
        <v>198000</v>
      </c>
    </row>
    <row r="103" spans="1:39">
      <c r="A103" s="52" t="s">
        <v>37</v>
      </c>
      <c r="B103" s="32">
        <v>302</v>
      </c>
      <c r="C103" s="33" t="s">
        <v>8</v>
      </c>
      <c r="D103" s="33" t="s">
        <v>984</v>
      </c>
      <c r="E103" s="33" t="s">
        <v>59</v>
      </c>
      <c r="F103" s="32" t="s">
        <v>73</v>
      </c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67"/>
      <c r="X103" s="67"/>
      <c r="Y103" s="67"/>
      <c r="Z103" s="67"/>
      <c r="AA103" s="67"/>
      <c r="AB103" s="67"/>
      <c r="AC103" s="67"/>
      <c r="AD103" s="67"/>
      <c r="AE103" s="34">
        <v>1</v>
      </c>
      <c r="AF103" s="34">
        <v>1</v>
      </c>
      <c r="AG103" s="34">
        <v>1</v>
      </c>
      <c r="AH103" s="34">
        <v>1</v>
      </c>
      <c r="AI103" s="34">
        <v>1</v>
      </c>
      <c r="AJ103" s="34">
        <v>1</v>
      </c>
      <c r="AK103" s="10">
        <f t="shared" si="19"/>
        <v>6</v>
      </c>
      <c r="AL103" s="12">
        <v>33000</v>
      </c>
      <c r="AM103" s="12">
        <f t="shared" si="20"/>
        <v>198000</v>
      </c>
    </row>
    <row r="104" spans="1:39">
      <c r="A104" s="52" t="s">
        <v>37</v>
      </c>
      <c r="B104" s="32">
        <v>302</v>
      </c>
      <c r="C104" s="33" t="s">
        <v>424</v>
      </c>
      <c r="D104" s="33" t="s">
        <v>985</v>
      </c>
      <c r="E104" s="33" t="s">
        <v>730</v>
      </c>
      <c r="F104" s="32" t="s">
        <v>990</v>
      </c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67"/>
      <c r="X104" s="67"/>
      <c r="Y104" s="67"/>
      <c r="Z104" s="67"/>
      <c r="AA104" s="67"/>
      <c r="AB104" s="67"/>
      <c r="AC104" s="67"/>
      <c r="AD104" s="67"/>
      <c r="AE104" s="34">
        <v>1</v>
      </c>
      <c r="AF104" s="34">
        <v>1</v>
      </c>
      <c r="AG104" s="34">
        <v>1</v>
      </c>
      <c r="AH104" s="34">
        <v>1</v>
      </c>
      <c r="AI104" s="34">
        <v>1</v>
      </c>
      <c r="AJ104" s="34">
        <v>1</v>
      </c>
      <c r="AK104" s="10">
        <f t="shared" si="19"/>
        <v>6</v>
      </c>
      <c r="AL104" s="12">
        <v>33000</v>
      </c>
      <c r="AM104" s="12">
        <f t="shared" si="20"/>
        <v>198000</v>
      </c>
    </row>
    <row r="105" spans="1:39">
      <c r="A105" s="52" t="s">
        <v>37</v>
      </c>
      <c r="B105" s="32">
        <v>304</v>
      </c>
      <c r="C105" s="33" t="s">
        <v>63</v>
      </c>
      <c r="D105" s="33" t="s">
        <v>1126</v>
      </c>
      <c r="E105" s="33" t="s">
        <v>1127</v>
      </c>
      <c r="F105" s="32" t="s">
        <v>993</v>
      </c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67"/>
      <c r="X105" s="67"/>
      <c r="Y105" s="67"/>
      <c r="Z105" s="67"/>
      <c r="AA105" s="67"/>
      <c r="AB105" s="67"/>
      <c r="AC105" s="67"/>
      <c r="AD105" s="67"/>
      <c r="AE105" s="34">
        <v>1</v>
      </c>
      <c r="AF105" s="34">
        <v>1</v>
      </c>
      <c r="AG105" s="34">
        <v>1</v>
      </c>
      <c r="AH105" s="34">
        <v>1</v>
      </c>
      <c r="AI105" s="34">
        <v>1</v>
      </c>
      <c r="AJ105" s="34">
        <v>1</v>
      </c>
      <c r="AK105" s="10">
        <f t="shared" si="19"/>
        <v>6</v>
      </c>
      <c r="AL105" s="12">
        <v>33000</v>
      </c>
      <c r="AM105" s="12">
        <f t="shared" si="20"/>
        <v>198000</v>
      </c>
    </row>
    <row r="106" spans="1:39">
      <c r="A106" s="52" t="s">
        <v>37</v>
      </c>
      <c r="B106" s="32">
        <v>304</v>
      </c>
      <c r="C106" s="33" t="s">
        <v>72</v>
      </c>
      <c r="D106" s="33" t="s">
        <v>209</v>
      </c>
      <c r="E106" s="33" t="s">
        <v>977</v>
      </c>
      <c r="F106" s="32" t="s">
        <v>994</v>
      </c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67"/>
      <c r="X106" s="67"/>
      <c r="Y106" s="67"/>
      <c r="Z106" s="67"/>
      <c r="AA106" s="67"/>
      <c r="AB106" s="67"/>
      <c r="AC106" s="67"/>
      <c r="AD106" s="67"/>
      <c r="AE106" s="34">
        <v>1</v>
      </c>
      <c r="AF106" s="34">
        <v>1</v>
      </c>
      <c r="AG106" s="34">
        <v>1</v>
      </c>
      <c r="AH106" s="34">
        <v>1</v>
      </c>
      <c r="AI106" s="34">
        <v>1</v>
      </c>
      <c r="AJ106" s="34">
        <v>1</v>
      </c>
      <c r="AK106" s="10">
        <f t="shared" si="19"/>
        <v>6</v>
      </c>
      <c r="AL106" s="12">
        <v>33000</v>
      </c>
      <c r="AM106" s="12">
        <f t="shared" si="20"/>
        <v>198000</v>
      </c>
    </row>
    <row r="107" spans="1:39">
      <c r="A107" s="52" t="s">
        <v>37</v>
      </c>
      <c r="B107" s="32">
        <v>404</v>
      </c>
      <c r="C107" s="33" t="s">
        <v>981</v>
      </c>
      <c r="D107" s="33" t="s">
        <v>982</v>
      </c>
      <c r="E107" s="33" t="s">
        <v>723</v>
      </c>
      <c r="F107" s="32" t="s">
        <v>81</v>
      </c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67"/>
      <c r="X107" s="67"/>
      <c r="Y107" s="67"/>
      <c r="Z107" s="67"/>
      <c r="AA107" s="67"/>
      <c r="AB107" s="67"/>
      <c r="AC107" s="67"/>
      <c r="AD107" s="67"/>
      <c r="AE107" s="34">
        <v>1</v>
      </c>
      <c r="AF107" s="34">
        <v>1</v>
      </c>
      <c r="AG107" s="34">
        <v>1</v>
      </c>
      <c r="AH107" s="34">
        <v>1</v>
      </c>
      <c r="AI107" s="34">
        <v>1</v>
      </c>
      <c r="AJ107" s="34">
        <v>1</v>
      </c>
      <c r="AK107" s="10">
        <f t="shared" si="19"/>
        <v>6</v>
      </c>
      <c r="AL107" s="12">
        <v>33000</v>
      </c>
      <c r="AM107" s="12">
        <f t="shared" si="20"/>
        <v>198000</v>
      </c>
    </row>
    <row r="108" spans="1:39">
      <c r="A108" s="52" t="s">
        <v>37</v>
      </c>
      <c r="B108" s="32">
        <v>404</v>
      </c>
      <c r="C108" s="33" t="s">
        <v>980</v>
      </c>
      <c r="D108" s="33" t="s">
        <v>1101</v>
      </c>
      <c r="E108" s="33" t="s">
        <v>41</v>
      </c>
      <c r="F108" s="32" t="s">
        <v>991</v>
      </c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67"/>
      <c r="X108" s="67"/>
      <c r="Y108" s="67"/>
      <c r="Z108" s="67"/>
      <c r="AA108" s="67"/>
      <c r="AB108" s="67"/>
      <c r="AC108" s="67"/>
      <c r="AD108" s="67"/>
      <c r="AE108" s="34">
        <v>1</v>
      </c>
      <c r="AF108" s="34">
        <v>1</v>
      </c>
      <c r="AG108" s="34">
        <v>1</v>
      </c>
      <c r="AH108" s="34">
        <v>1</v>
      </c>
      <c r="AI108" s="34">
        <v>1</v>
      </c>
      <c r="AJ108" s="34">
        <v>1</v>
      </c>
      <c r="AK108" s="10">
        <f t="shared" si="19"/>
        <v>6</v>
      </c>
      <c r="AL108" s="12">
        <v>33000</v>
      </c>
      <c r="AM108" s="12">
        <f t="shared" si="20"/>
        <v>198000</v>
      </c>
    </row>
    <row r="109" spans="1:39">
      <c r="A109" s="52" t="s">
        <v>37</v>
      </c>
      <c r="B109" s="32">
        <v>604</v>
      </c>
      <c r="C109" s="33" t="s">
        <v>19</v>
      </c>
      <c r="D109" s="33" t="s">
        <v>20</v>
      </c>
      <c r="E109" s="33" t="s">
        <v>21</v>
      </c>
      <c r="F109" s="32" t="s">
        <v>724</v>
      </c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67"/>
      <c r="X109" s="67"/>
      <c r="Y109" s="67"/>
      <c r="Z109" s="67"/>
      <c r="AA109" s="67"/>
      <c r="AB109" s="67"/>
      <c r="AC109" s="67"/>
      <c r="AD109" s="67"/>
      <c r="AE109" s="34">
        <v>1</v>
      </c>
      <c r="AF109" s="34">
        <v>1</v>
      </c>
      <c r="AG109" s="34">
        <v>1</v>
      </c>
      <c r="AH109" s="34">
        <v>1</v>
      </c>
      <c r="AI109" s="34">
        <v>1</v>
      </c>
      <c r="AJ109" s="34">
        <v>1</v>
      </c>
      <c r="AK109" s="10">
        <f t="shared" si="19"/>
        <v>6</v>
      </c>
      <c r="AL109" s="12">
        <v>33000</v>
      </c>
      <c r="AM109" s="12">
        <f t="shared" si="20"/>
        <v>198000</v>
      </c>
    </row>
    <row r="110" spans="1:39">
      <c r="A110" s="52" t="s">
        <v>37</v>
      </c>
      <c r="B110" s="32">
        <v>604</v>
      </c>
      <c r="C110" s="33" t="s">
        <v>529</v>
      </c>
      <c r="D110" s="33" t="s">
        <v>501</v>
      </c>
      <c r="E110" s="33" t="s">
        <v>200</v>
      </c>
      <c r="F110" s="32" t="s">
        <v>726</v>
      </c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67"/>
      <c r="X110" s="67"/>
      <c r="Y110" s="67"/>
      <c r="Z110" s="67"/>
      <c r="AA110" s="67"/>
      <c r="AB110" s="67"/>
      <c r="AC110" s="67"/>
      <c r="AD110" s="67"/>
      <c r="AE110" s="34">
        <v>1</v>
      </c>
      <c r="AF110" s="34">
        <v>1</v>
      </c>
      <c r="AG110" s="34">
        <v>1</v>
      </c>
      <c r="AH110" s="34">
        <v>1</v>
      </c>
      <c r="AI110" s="34">
        <v>1</v>
      </c>
      <c r="AJ110" s="34">
        <v>1</v>
      </c>
      <c r="AK110" s="10">
        <f t="shared" si="19"/>
        <v>6</v>
      </c>
      <c r="AL110" s="12">
        <v>33000</v>
      </c>
      <c r="AM110" s="12">
        <f t="shared" si="20"/>
        <v>198000</v>
      </c>
    </row>
    <row r="111" spans="1:39">
      <c r="A111" s="52" t="s">
        <v>37</v>
      </c>
      <c r="B111" s="32">
        <v>903</v>
      </c>
      <c r="C111" s="33" t="s">
        <v>970</v>
      </c>
      <c r="D111" s="33" t="s">
        <v>971</v>
      </c>
      <c r="E111" s="33" t="s">
        <v>1128</v>
      </c>
      <c r="F111" s="32" t="s">
        <v>973</v>
      </c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67"/>
      <c r="X111" s="67"/>
      <c r="Y111" s="67"/>
      <c r="Z111" s="67"/>
      <c r="AA111" s="67"/>
      <c r="AB111" s="67"/>
      <c r="AC111" s="67"/>
      <c r="AD111" s="67"/>
      <c r="AE111" s="34">
        <v>1</v>
      </c>
      <c r="AF111" s="34">
        <v>1</v>
      </c>
      <c r="AG111" s="34">
        <v>1</v>
      </c>
      <c r="AH111" s="34">
        <v>1</v>
      </c>
      <c r="AI111" s="34">
        <v>1</v>
      </c>
      <c r="AJ111" s="34">
        <v>1</v>
      </c>
      <c r="AK111" s="10">
        <f t="shared" si="19"/>
        <v>6</v>
      </c>
      <c r="AL111" s="12">
        <v>33000</v>
      </c>
      <c r="AM111" s="12">
        <f t="shared" si="20"/>
        <v>198000</v>
      </c>
    </row>
    <row r="112" spans="1:39">
      <c r="A112" s="52" t="s">
        <v>37</v>
      </c>
      <c r="B112" s="32">
        <v>903</v>
      </c>
      <c r="C112" s="33" t="s">
        <v>1103</v>
      </c>
      <c r="D112" s="33" t="s">
        <v>978</v>
      </c>
      <c r="E112" s="33" t="s">
        <v>360</v>
      </c>
      <c r="F112" s="32" t="s">
        <v>68</v>
      </c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67"/>
      <c r="X112" s="67"/>
      <c r="Y112" s="67"/>
      <c r="Z112" s="67"/>
      <c r="AA112" s="67"/>
      <c r="AB112" s="67"/>
      <c r="AC112" s="67"/>
      <c r="AD112" s="67"/>
      <c r="AE112" s="34">
        <v>1</v>
      </c>
      <c r="AF112" s="34">
        <v>1</v>
      </c>
      <c r="AG112" s="34">
        <v>1</v>
      </c>
      <c r="AH112" s="34">
        <v>1</v>
      </c>
      <c r="AI112" s="34">
        <v>1</v>
      </c>
      <c r="AJ112" s="34">
        <v>1</v>
      </c>
      <c r="AK112" s="10">
        <f t="shared" si="19"/>
        <v>6</v>
      </c>
      <c r="AL112" s="12">
        <v>33000</v>
      </c>
      <c r="AM112" s="12">
        <f t="shared" si="20"/>
        <v>198000</v>
      </c>
    </row>
    <row r="113" spans="1:40">
      <c r="A113" s="52" t="s">
        <v>37</v>
      </c>
      <c r="B113" s="32">
        <v>1101</v>
      </c>
      <c r="C113" s="33" t="s">
        <v>82</v>
      </c>
      <c r="D113" s="33" t="s">
        <v>17</v>
      </c>
      <c r="E113" s="33" t="s">
        <v>974</v>
      </c>
      <c r="F113" s="32" t="s">
        <v>83</v>
      </c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67"/>
      <c r="X113" s="67"/>
      <c r="Y113" s="67"/>
      <c r="Z113" s="67"/>
      <c r="AA113" s="67"/>
      <c r="AB113" s="67"/>
      <c r="AC113" s="67"/>
      <c r="AD113" s="67"/>
      <c r="AE113" s="34">
        <v>1</v>
      </c>
      <c r="AF113" s="34">
        <v>1</v>
      </c>
      <c r="AG113" s="34">
        <v>1</v>
      </c>
      <c r="AH113" s="34">
        <v>1</v>
      </c>
      <c r="AI113" s="34">
        <v>1</v>
      </c>
      <c r="AJ113" s="34">
        <v>1</v>
      </c>
      <c r="AK113" s="10">
        <f t="shared" si="19"/>
        <v>6</v>
      </c>
      <c r="AL113" s="12">
        <v>33000</v>
      </c>
      <c r="AM113" s="12">
        <f t="shared" si="20"/>
        <v>198000</v>
      </c>
    </row>
    <row r="114" spans="1:40">
      <c r="A114" s="52" t="s">
        <v>37</v>
      </c>
      <c r="B114" s="32">
        <v>1101</v>
      </c>
      <c r="C114" s="33" t="s">
        <v>78</v>
      </c>
      <c r="D114" s="33" t="s">
        <v>975</v>
      </c>
      <c r="E114" s="33" t="s">
        <v>79</v>
      </c>
      <c r="F114" s="32" t="s">
        <v>80</v>
      </c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67"/>
      <c r="X114" s="67"/>
      <c r="Y114" s="67"/>
      <c r="Z114" s="67"/>
      <c r="AA114" s="67"/>
      <c r="AB114" s="67"/>
      <c r="AC114" s="67"/>
      <c r="AD114" s="67"/>
      <c r="AE114" s="34">
        <v>1</v>
      </c>
      <c r="AF114" s="34">
        <v>1</v>
      </c>
      <c r="AG114" s="34">
        <v>1</v>
      </c>
      <c r="AH114" s="34">
        <v>1</v>
      </c>
      <c r="AI114" s="34">
        <v>1</v>
      </c>
      <c r="AJ114" s="34">
        <v>1</v>
      </c>
      <c r="AK114" s="10">
        <f t="shared" si="19"/>
        <v>6</v>
      </c>
      <c r="AL114" s="12">
        <v>33000</v>
      </c>
      <c r="AM114" s="12">
        <f t="shared" si="20"/>
        <v>198000</v>
      </c>
    </row>
    <row r="115" spans="1:40">
      <c r="A115" s="52" t="s">
        <v>37</v>
      </c>
      <c r="B115" s="32">
        <v>1302</v>
      </c>
      <c r="C115" s="33" t="s">
        <v>12</v>
      </c>
      <c r="D115" s="33" t="s">
        <v>97</v>
      </c>
      <c r="E115" s="33" t="s">
        <v>1129</v>
      </c>
      <c r="F115" s="32" t="s">
        <v>992</v>
      </c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67"/>
      <c r="X115" s="67"/>
      <c r="Y115" s="67"/>
      <c r="Z115" s="67"/>
      <c r="AA115" s="67"/>
      <c r="AB115" s="67"/>
      <c r="AC115" s="67"/>
      <c r="AD115" s="67"/>
      <c r="AE115" s="34">
        <v>1</v>
      </c>
      <c r="AF115" s="34">
        <v>1</v>
      </c>
      <c r="AG115" s="34">
        <v>1</v>
      </c>
      <c r="AH115" s="34">
        <v>1</v>
      </c>
      <c r="AI115" s="34">
        <v>1</v>
      </c>
      <c r="AJ115" s="34">
        <v>1</v>
      </c>
      <c r="AK115" s="10">
        <f t="shared" si="19"/>
        <v>6</v>
      </c>
      <c r="AL115" s="12">
        <v>33000</v>
      </c>
      <c r="AM115" s="12">
        <f t="shared" si="20"/>
        <v>198000</v>
      </c>
    </row>
    <row r="116" spans="1:40">
      <c r="A116" s="52" t="s">
        <v>37</v>
      </c>
      <c r="B116" s="32">
        <v>1302</v>
      </c>
      <c r="C116" s="33" t="s">
        <v>514</v>
      </c>
      <c r="D116" s="33" t="s">
        <v>1130</v>
      </c>
      <c r="E116" s="33" t="s">
        <v>717</v>
      </c>
      <c r="F116" s="32" t="s">
        <v>438</v>
      </c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67"/>
      <c r="X116" s="67"/>
      <c r="Y116" s="67"/>
      <c r="Z116" s="67"/>
      <c r="AA116" s="67"/>
      <c r="AB116" s="67"/>
      <c r="AC116" s="67"/>
      <c r="AD116" s="67"/>
      <c r="AE116" s="34">
        <v>1</v>
      </c>
      <c r="AF116" s="34">
        <v>1</v>
      </c>
      <c r="AG116" s="34">
        <v>1</v>
      </c>
      <c r="AH116" s="34">
        <v>1</v>
      </c>
      <c r="AI116" s="34">
        <v>1</v>
      </c>
      <c r="AJ116" s="34">
        <v>1</v>
      </c>
      <c r="AK116" s="10">
        <f t="shared" si="19"/>
        <v>6</v>
      </c>
      <c r="AL116" s="12">
        <v>33000</v>
      </c>
      <c r="AM116" s="12">
        <f t="shared" si="20"/>
        <v>198000</v>
      </c>
    </row>
    <row r="117" spans="1:40">
      <c r="A117" s="52" t="s">
        <v>37</v>
      </c>
      <c r="B117" s="32">
        <v>1402</v>
      </c>
      <c r="C117" s="33" t="s">
        <v>425</v>
      </c>
      <c r="D117" s="33" t="s">
        <v>426</v>
      </c>
      <c r="E117" s="33" t="s">
        <v>427</v>
      </c>
      <c r="F117" s="32" t="s">
        <v>428</v>
      </c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67"/>
      <c r="X117" s="67"/>
      <c r="Y117" s="67"/>
      <c r="Z117" s="67"/>
      <c r="AA117" s="67"/>
      <c r="AB117" s="67"/>
      <c r="AC117" s="67"/>
      <c r="AD117" s="67"/>
      <c r="AE117" s="34">
        <v>1</v>
      </c>
      <c r="AF117" s="34">
        <v>1</v>
      </c>
      <c r="AG117" s="34">
        <v>1</v>
      </c>
      <c r="AH117" s="34">
        <v>1</v>
      </c>
      <c r="AI117" s="34">
        <v>1</v>
      </c>
      <c r="AJ117" s="34">
        <v>1</v>
      </c>
      <c r="AK117" s="10">
        <f t="shared" si="19"/>
        <v>6</v>
      </c>
      <c r="AL117" s="12">
        <v>33000</v>
      </c>
      <c r="AM117" s="12">
        <f t="shared" si="20"/>
        <v>198000</v>
      </c>
    </row>
    <row r="118" spans="1:40">
      <c r="A118" s="52" t="s">
        <v>37</v>
      </c>
      <c r="B118" s="32">
        <v>1402</v>
      </c>
      <c r="C118" s="33" t="s">
        <v>773</v>
      </c>
      <c r="D118" s="33" t="s">
        <v>983</v>
      </c>
      <c r="E118" s="33" t="s">
        <v>324</v>
      </c>
      <c r="F118" s="32" t="s">
        <v>733</v>
      </c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67"/>
      <c r="X118" s="67"/>
      <c r="Y118" s="67"/>
      <c r="Z118" s="67"/>
      <c r="AA118" s="67"/>
      <c r="AB118" s="67"/>
      <c r="AC118" s="67"/>
      <c r="AD118" s="67"/>
      <c r="AE118" s="34">
        <v>1</v>
      </c>
      <c r="AF118" s="34">
        <v>1</v>
      </c>
      <c r="AG118" s="34">
        <v>1</v>
      </c>
      <c r="AH118" s="34">
        <v>1</v>
      </c>
      <c r="AI118" s="34">
        <v>1</v>
      </c>
      <c r="AJ118" s="34">
        <v>1</v>
      </c>
      <c r="AK118" s="10">
        <f t="shared" si="19"/>
        <v>6</v>
      </c>
      <c r="AL118" s="12">
        <v>33000</v>
      </c>
      <c r="AM118" s="12">
        <f t="shared" si="20"/>
        <v>198000</v>
      </c>
    </row>
    <row r="119" spans="1:40">
      <c r="A119" s="63" t="s">
        <v>883</v>
      </c>
      <c r="B119" s="64">
        <v>712</v>
      </c>
      <c r="C119" s="33" t="s">
        <v>74</v>
      </c>
      <c r="D119" s="33"/>
      <c r="E119" s="33" t="s">
        <v>75</v>
      </c>
      <c r="F119" s="32" t="s">
        <v>76</v>
      </c>
      <c r="G119" s="46"/>
      <c r="H119" s="34">
        <v>1</v>
      </c>
      <c r="I119" s="34">
        <v>1</v>
      </c>
      <c r="J119" s="34">
        <v>1</v>
      </c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10">
        <f t="shared" ref="AK119" si="21">SUM(G119:AJ119)</f>
        <v>3</v>
      </c>
      <c r="AL119" s="12">
        <v>33000</v>
      </c>
      <c r="AM119" s="12">
        <f t="shared" ref="AM119" si="22">AL119*AK119</f>
        <v>99000</v>
      </c>
    </row>
    <row r="120" spans="1:40">
      <c r="A120" s="63" t="s">
        <v>883</v>
      </c>
      <c r="B120" s="64">
        <v>403</v>
      </c>
      <c r="C120" s="33" t="s">
        <v>106</v>
      </c>
      <c r="D120" s="33" t="s">
        <v>373</v>
      </c>
      <c r="E120" s="33" t="s">
        <v>77</v>
      </c>
      <c r="F120" s="32" t="s">
        <v>884</v>
      </c>
      <c r="G120" s="46"/>
      <c r="H120" s="46"/>
      <c r="I120" s="34">
        <v>1</v>
      </c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10">
        <f t="shared" si="7"/>
        <v>1</v>
      </c>
      <c r="AL120" s="12">
        <v>33000</v>
      </c>
      <c r="AM120" s="12">
        <f t="shared" si="8"/>
        <v>33000</v>
      </c>
    </row>
    <row r="121" spans="1:40">
      <c r="A121" s="63" t="s">
        <v>883</v>
      </c>
      <c r="B121" s="64">
        <v>310</v>
      </c>
      <c r="C121" s="33" t="s">
        <v>74</v>
      </c>
      <c r="D121" s="33" t="s">
        <v>18</v>
      </c>
      <c r="E121" s="33" t="s">
        <v>75</v>
      </c>
      <c r="F121" s="32" t="s">
        <v>76</v>
      </c>
      <c r="G121" s="46"/>
      <c r="H121" s="46"/>
      <c r="I121" s="46"/>
      <c r="J121" s="46"/>
      <c r="K121" s="46"/>
      <c r="L121" s="46"/>
      <c r="M121" s="46"/>
      <c r="N121" s="46"/>
      <c r="O121" s="34">
        <v>1</v>
      </c>
      <c r="P121" s="34">
        <v>1</v>
      </c>
      <c r="Q121" s="34">
        <v>1</v>
      </c>
      <c r="R121" s="34">
        <v>1</v>
      </c>
      <c r="S121" s="34">
        <v>1</v>
      </c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10">
        <f t="shared" si="7"/>
        <v>5</v>
      </c>
      <c r="AL121" s="12">
        <v>33000</v>
      </c>
      <c r="AM121" s="12">
        <f t="shared" si="8"/>
        <v>165000</v>
      </c>
    </row>
    <row r="122" spans="1:40">
      <c r="A122" s="63" t="s">
        <v>883</v>
      </c>
      <c r="B122" s="64">
        <v>712</v>
      </c>
      <c r="C122" s="33" t="s">
        <v>997</v>
      </c>
      <c r="D122" s="33" t="s">
        <v>998</v>
      </c>
      <c r="E122" s="33" t="s">
        <v>347</v>
      </c>
      <c r="F122" s="32" t="s">
        <v>999</v>
      </c>
      <c r="G122" s="46"/>
      <c r="H122" s="46"/>
      <c r="I122" s="46"/>
      <c r="J122" s="46"/>
      <c r="K122" s="46"/>
      <c r="L122" s="46"/>
      <c r="M122" s="46"/>
      <c r="N122" s="46"/>
      <c r="O122" s="34">
        <v>1</v>
      </c>
      <c r="P122" s="34">
        <v>1</v>
      </c>
      <c r="Q122" s="34">
        <v>1</v>
      </c>
      <c r="R122" s="34">
        <v>1</v>
      </c>
      <c r="S122" s="34">
        <v>1</v>
      </c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10">
        <f t="shared" si="7"/>
        <v>5</v>
      </c>
      <c r="AL122" s="12">
        <v>33000</v>
      </c>
      <c r="AM122" s="12">
        <f t="shared" si="8"/>
        <v>165000</v>
      </c>
    </row>
    <row r="123" spans="1:40" ht="12.75" customHeight="1">
      <c r="A123" s="40"/>
      <c r="B123" s="40"/>
      <c r="C123" s="41"/>
      <c r="D123" s="41"/>
      <c r="E123" s="41"/>
      <c r="F123" s="40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42"/>
      <c r="AL123" s="43"/>
      <c r="AM123" s="43"/>
    </row>
    <row r="124" spans="1:40">
      <c r="A124" s="3"/>
      <c r="G124" s="16">
        <f>SUM(G10:G123)</f>
        <v>14</v>
      </c>
      <c r="H124" s="16">
        <f t="shared" ref="H124:AJ124" si="23">SUM(H10:H123)</f>
        <v>16</v>
      </c>
      <c r="I124" s="16">
        <f t="shared" si="23"/>
        <v>17</v>
      </c>
      <c r="J124" s="16">
        <f t="shared" si="23"/>
        <v>16</v>
      </c>
      <c r="K124" s="16">
        <f t="shared" si="23"/>
        <v>15</v>
      </c>
      <c r="L124" s="16">
        <f t="shared" si="23"/>
        <v>15</v>
      </c>
      <c r="M124" s="16">
        <f t="shared" si="23"/>
        <v>15</v>
      </c>
      <c r="N124" s="16">
        <f t="shared" si="23"/>
        <v>15</v>
      </c>
      <c r="O124" s="16">
        <f t="shared" si="23"/>
        <v>17</v>
      </c>
      <c r="P124" s="16">
        <f t="shared" si="23"/>
        <v>17</v>
      </c>
      <c r="Q124" s="16">
        <f t="shared" si="23"/>
        <v>17</v>
      </c>
      <c r="R124" s="16">
        <f t="shared" si="23"/>
        <v>18</v>
      </c>
      <c r="S124" s="16">
        <f t="shared" si="23"/>
        <v>20</v>
      </c>
      <c r="T124" s="16">
        <f t="shared" si="23"/>
        <v>20</v>
      </c>
      <c r="U124" s="16">
        <f t="shared" si="23"/>
        <v>20</v>
      </c>
      <c r="V124" s="16">
        <f t="shared" si="23"/>
        <v>20</v>
      </c>
      <c r="W124" s="16">
        <f t="shared" si="23"/>
        <v>20</v>
      </c>
      <c r="X124" s="16">
        <f t="shared" si="23"/>
        <v>20</v>
      </c>
      <c r="Y124" s="16">
        <f t="shared" si="23"/>
        <v>20</v>
      </c>
      <c r="Z124" s="16">
        <f t="shared" si="23"/>
        <v>20</v>
      </c>
      <c r="AA124" s="16">
        <f t="shared" si="23"/>
        <v>20</v>
      </c>
      <c r="AB124" s="16">
        <f t="shared" si="23"/>
        <v>20</v>
      </c>
      <c r="AC124" s="16">
        <f t="shared" si="23"/>
        <v>20</v>
      </c>
      <c r="AD124" s="16">
        <f t="shared" si="23"/>
        <v>20</v>
      </c>
      <c r="AE124" s="16">
        <f t="shared" si="23"/>
        <v>20</v>
      </c>
      <c r="AF124" s="16">
        <f t="shared" si="23"/>
        <v>20</v>
      </c>
      <c r="AG124" s="16">
        <f t="shared" si="23"/>
        <v>20</v>
      </c>
      <c r="AH124" s="16">
        <f t="shared" si="23"/>
        <v>20</v>
      </c>
      <c r="AI124" s="16">
        <f t="shared" si="23"/>
        <v>20</v>
      </c>
      <c r="AJ124" s="16">
        <f t="shared" si="23"/>
        <v>20</v>
      </c>
      <c r="AK124" s="16">
        <f t="shared" ref="AK124" si="24">SUM(AK10:AK123)</f>
        <v>552</v>
      </c>
      <c r="AN124" s="3" t="s">
        <v>30</v>
      </c>
    </row>
    <row r="125" spans="1:40">
      <c r="A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40">
      <c r="A126" s="3"/>
      <c r="AL126" s="17" t="s">
        <v>31</v>
      </c>
      <c r="AM126" s="18">
        <f>SUM(AM10:AM125)</f>
        <v>18672500</v>
      </c>
    </row>
    <row r="127" spans="1:40" ht="17.25" customHeight="1" thickBot="1">
      <c r="A127" s="19"/>
      <c r="B127" s="20"/>
      <c r="C127" s="19"/>
      <c r="D127" s="19"/>
      <c r="E127" s="19"/>
    </row>
    <row r="128" spans="1:40" ht="17.25" customHeight="1" thickBot="1">
      <c r="A128" s="116" t="s">
        <v>736</v>
      </c>
      <c r="B128" s="116"/>
      <c r="C128" s="116"/>
      <c r="D128" s="116"/>
      <c r="E128" s="116"/>
      <c r="F128" s="116"/>
      <c r="G128" s="99">
        <v>45809</v>
      </c>
      <c r="H128" s="99">
        <v>45810</v>
      </c>
      <c r="I128" s="99">
        <v>45811</v>
      </c>
      <c r="J128" s="99">
        <v>45812</v>
      </c>
      <c r="K128" s="99">
        <v>45813</v>
      </c>
      <c r="L128" s="99">
        <v>45814</v>
      </c>
      <c r="M128" s="99">
        <v>45815</v>
      </c>
      <c r="N128" s="99">
        <v>45816</v>
      </c>
      <c r="O128" s="99">
        <v>45817</v>
      </c>
      <c r="P128" s="99">
        <v>45818</v>
      </c>
      <c r="Q128" s="99">
        <v>45819</v>
      </c>
      <c r="R128" s="99">
        <v>45820</v>
      </c>
      <c r="S128" s="99">
        <v>45821</v>
      </c>
      <c r="T128" s="99">
        <v>45822</v>
      </c>
      <c r="U128" s="99">
        <v>45823</v>
      </c>
      <c r="V128" s="99">
        <v>45824</v>
      </c>
      <c r="W128" s="99">
        <v>45825</v>
      </c>
      <c r="X128" s="99">
        <v>45826</v>
      </c>
      <c r="Y128" s="99">
        <v>45827</v>
      </c>
      <c r="Z128" s="99">
        <v>45828</v>
      </c>
      <c r="AA128" s="99">
        <v>45829</v>
      </c>
      <c r="AB128" s="99">
        <v>45830</v>
      </c>
      <c r="AC128" s="99">
        <v>45831</v>
      </c>
      <c r="AD128" s="99">
        <v>45832</v>
      </c>
      <c r="AE128" s="99">
        <v>45833</v>
      </c>
      <c r="AF128" s="99">
        <v>45834</v>
      </c>
      <c r="AG128" s="99">
        <v>45835</v>
      </c>
      <c r="AH128" s="99">
        <v>45836</v>
      </c>
      <c r="AI128" s="99">
        <v>45837</v>
      </c>
      <c r="AJ128" s="99">
        <v>45838</v>
      </c>
      <c r="AK128" s="94" t="s">
        <v>735</v>
      </c>
      <c r="AL128" s="94"/>
      <c r="AM128" s="94"/>
    </row>
    <row r="129" spans="1:42" ht="12.75" customHeight="1" thickBot="1">
      <c r="A129" s="116"/>
      <c r="B129" s="116"/>
      <c r="C129" s="116"/>
      <c r="D129" s="116"/>
      <c r="E129" s="116"/>
      <c r="F129" s="116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4"/>
      <c r="AL129" s="94"/>
      <c r="AM129" s="94"/>
    </row>
    <row r="130" spans="1:42" ht="11.25" hidden="1" customHeight="1" thickBot="1">
      <c r="A130" s="116"/>
      <c r="B130" s="116"/>
      <c r="C130" s="116"/>
      <c r="D130" s="116"/>
      <c r="E130" s="116"/>
      <c r="F130" s="116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4"/>
      <c r="AL130" s="94"/>
      <c r="AM130" s="94"/>
    </row>
    <row r="131" spans="1:42" ht="17.25" customHeight="1">
      <c r="A131" s="120" t="s">
        <v>32</v>
      </c>
      <c r="B131" s="120"/>
      <c r="C131" s="120"/>
      <c r="D131" s="120"/>
      <c r="E131" s="120"/>
      <c r="F131" s="120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21" t="s">
        <v>5</v>
      </c>
      <c r="AL131" s="21" t="s">
        <v>6</v>
      </c>
      <c r="AM131" s="22" t="s">
        <v>7</v>
      </c>
    </row>
    <row r="132" spans="1:42" ht="17.25" customHeight="1">
      <c r="A132" s="23">
        <v>1</v>
      </c>
      <c r="B132" s="121" t="s">
        <v>33</v>
      </c>
      <c r="C132" s="121"/>
      <c r="D132" s="121"/>
      <c r="E132" s="121"/>
      <c r="F132" s="121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44">
        <v>1</v>
      </c>
      <c r="S132" s="44">
        <v>1</v>
      </c>
      <c r="T132" s="44">
        <v>1</v>
      </c>
      <c r="U132" s="44">
        <v>1</v>
      </c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24">
        <f>SUM(G132:AJ132)</f>
        <v>4</v>
      </c>
      <c r="AL132" s="15">
        <v>8500</v>
      </c>
      <c r="AM132" s="15">
        <f>AL132*AK132</f>
        <v>34000</v>
      </c>
    </row>
    <row r="134" spans="1:42" ht="11.25" customHeight="1">
      <c r="AK134" s="25"/>
      <c r="AL134" s="26" t="s">
        <v>34</v>
      </c>
      <c r="AM134" s="27">
        <f>AM126</f>
        <v>18672500</v>
      </c>
      <c r="AN134" s="25"/>
    </row>
    <row r="135" spans="1:42" ht="11.25" customHeight="1">
      <c r="AK135" s="25"/>
      <c r="AL135" s="26" t="s">
        <v>33</v>
      </c>
      <c r="AM135" s="27">
        <f>AM132</f>
        <v>34000</v>
      </c>
      <c r="AN135" s="25"/>
    </row>
    <row r="136" spans="1:42" ht="14.25" customHeight="1">
      <c r="AK136" s="25"/>
      <c r="AL136" s="28"/>
      <c r="AM136" s="28"/>
      <c r="AN136" s="25"/>
    </row>
    <row r="137" spans="1:42" ht="14.25" customHeight="1">
      <c r="AK137" s="25"/>
      <c r="AL137" s="29" t="s">
        <v>35</v>
      </c>
      <c r="AM137" s="30">
        <f>SUM(AM134:AM135)</f>
        <v>18706500</v>
      </c>
      <c r="AN137" s="25"/>
    </row>
    <row r="138" spans="1:42" ht="14.25" customHeight="1">
      <c r="AK138" s="25"/>
      <c r="AL138" s="29" t="s">
        <v>36</v>
      </c>
      <c r="AM138" s="30">
        <f>AM137*0.19</f>
        <v>3554235</v>
      </c>
      <c r="AN138" s="25"/>
      <c r="AO138" s="93"/>
      <c r="AP138" s="93"/>
    </row>
    <row r="139" spans="1:42" ht="14.25" customHeight="1">
      <c r="AK139" s="25"/>
      <c r="AL139" s="29" t="s">
        <v>31</v>
      </c>
      <c r="AM139" s="30">
        <f>+AM137+AM138</f>
        <v>22260735</v>
      </c>
      <c r="AN139" s="25"/>
      <c r="AO139" s="2"/>
      <c r="AP139" s="2"/>
    </row>
    <row r="140" spans="1:42" ht="14.25" customHeight="1">
      <c r="AK140" s="25"/>
      <c r="AL140" s="25"/>
      <c r="AM140" s="25"/>
      <c r="AN140" s="25"/>
      <c r="AO140" s="2"/>
      <c r="AP140" s="2"/>
    </row>
    <row r="141" spans="1:42" ht="14.25" customHeight="1">
      <c r="AK141" s="25"/>
      <c r="AL141" s="25"/>
      <c r="AM141" s="25"/>
      <c r="AN141" s="25"/>
      <c r="AO141" s="2"/>
      <c r="AP141" s="2"/>
    </row>
    <row r="142" spans="1:42" ht="14.25" customHeight="1">
      <c r="AK142" s="28"/>
      <c r="AN142" s="28"/>
      <c r="AO142" s="2"/>
      <c r="AP142" s="2"/>
    </row>
    <row r="143" spans="1:42" ht="14.25" customHeight="1">
      <c r="AK143" s="25"/>
      <c r="AN143" s="25"/>
      <c r="AO143" s="31"/>
      <c r="AP143" s="31"/>
    </row>
    <row r="144" spans="1:42" ht="14.25" customHeight="1">
      <c r="AK144" s="25"/>
      <c r="AN144" s="25"/>
      <c r="AO144" s="31"/>
      <c r="AP144" s="31"/>
    </row>
    <row r="145" spans="3:40" ht="14.25" customHeight="1">
      <c r="AK145" s="25"/>
      <c r="AN145" s="25"/>
    </row>
    <row r="146" spans="3:40" ht="20.25">
      <c r="AK146" s="25"/>
      <c r="AN146" s="25"/>
    </row>
    <row r="147" spans="3:40" ht="20.25">
      <c r="AK147" s="25"/>
      <c r="AN147" s="25"/>
    </row>
    <row r="149" spans="3:40">
      <c r="C149" s="95"/>
      <c r="D149" s="95"/>
    </row>
  </sheetData>
  <autoFilter ref="AK9:AM23" xr:uid="{00000000-0001-0000-0000-000000000000}"/>
  <sortState xmlns:xlrd2="http://schemas.microsoft.com/office/spreadsheetml/2017/richdata2" ref="A78:AM98">
    <sortCondition ref="B78:B98"/>
  </sortState>
  <mergeCells count="74">
    <mergeCell ref="AC128:AC131"/>
    <mergeCell ref="AD128:AD131"/>
    <mergeCell ref="O128:O131"/>
    <mergeCell ref="P128:P131"/>
    <mergeCell ref="Q128:Q131"/>
    <mergeCell ref="R128:R131"/>
    <mergeCell ref="S128:S131"/>
    <mergeCell ref="T128:T131"/>
    <mergeCell ref="U128:U131"/>
    <mergeCell ref="V128:V131"/>
    <mergeCell ref="W128:W131"/>
    <mergeCell ref="X128:X131"/>
    <mergeCell ref="Y128:Y131"/>
    <mergeCell ref="Z128:Z131"/>
    <mergeCell ref="AI6:AI9"/>
    <mergeCell ref="AJ6:AJ9"/>
    <mergeCell ref="AE128:AE131"/>
    <mergeCell ref="AF128:AF131"/>
    <mergeCell ref="AG128:AG131"/>
    <mergeCell ref="AH128:AH131"/>
    <mergeCell ref="AI128:AI131"/>
    <mergeCell ref="AJ128:AJ131"/>
    <mergeCell ref="AC6:AC9"/>
    <mergeCell ref="AD6:AD9"/>
    <mergeCell ref="AE6:AE9"/>
    <mergeCell ref="AG6:AG9"/>
    <mergeCell ref="AH6:AH9"/>
    <mergeCell ref="N128:N131"/>
    <mergeCell ref="AA128:AA131"/>
    <mergeCell ref="AB128:AB131"/>
    <mergeCell ref="AA6:AA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B6:AB9"/>
    <mergeCell ref="L6:L9"/>
    <mergeCell ref="M6:M9"/>
    <mergeCell ref="N6:N9"/>
    <mergeCell ref="AO138:AP138"/>
    <mergeCell ref="C149:D149"/>
    <mergeCell ref="AK128:AM130"/>
    <mergeCell ref="A131:F131"/>
    <mergeCell ref="B132:F132"/>
    <mergeCell ref="A128:F130"/>
    <mergeCell ref="G128:G131"/>
    <mergeCell ref="H128:H131"/>
    <mergeCell ref="I128:I131"/>
    <mergeCell ref="J128:J131"/>
    <mergeCell ref="K128:K131"/>
    <mergeCell ref="L128:L131"/>
    <mergeCell ref="M128:M131"/>
    <mergeCell ref="C76:F76"/>
    <mergeCell ref="C77:F77"/>
    <mergeCell ref="C80:F80"/>
    <mergeCell ref="A1:F5"/>
    <mergeCell ref="G1:AM3"/>
    <mergeCell ref="G4:AM5"/>
    <mergeCell ref="A6:F8"/>
    <mergeCell ref="G6:G9"/>
    <mergeCell ref="AK6:AM8"/>
    <mergeCell ref="AF6:AF9"/>
    <mergeCell ref="H6:H9"/>
    <mergeCell ref="I6:I9"/>
    <mergeCell ref="O6:O9"/>
    <mergeCell ref="P6:P9"/>
    <mergeCell ref="J6:J9"/>
    <mergeCell ref="K6:K9"/>
  </mergeCells>
  <pageMargins left="0.25" right="0.25" top="0.75" bottom="0.75" header="0.511811023622047" footer="0.511811023622047"/>
  <pageSetup scale="7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H1</vt:lpstr>
      <vt:lpstr>H3</vt:lpstr>
      <vt:lpstr>H7</vt:lpstr>
      <vt:lpstr>ACONCAGUA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</dc:creator>
  <dc:description/>
  <cp:lastModifiedBy>CAROLINA W</cp:lastModifiedBy>
  <cp:revision>9</cp:revision>
  <cp:lastPrinted>2023-06-16T15:04:25Z</cp:lastPrinted>
  <dcterms:created xsi:type="dcterms:W3CDTF">2013-10-02T16:06:41Z</dcterms:created>
  <dcterms:modified xsi:type="dcterms:W3CDTF">2025-07-17T15:06:00Z</dcterms:modified>
  <dc:language>es-CL</dc:language>
</cp:coreProperties>
</file>